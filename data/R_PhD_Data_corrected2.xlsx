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<sst xmlns="http://schemas.openxmlformats.org/spreadsheetml/2006/main" count="2353" uniqueCount="836">
  <si>
    <t xml:space="preserve">Shade_tree_species</t>
  </si>
  <si>
    <t xml:space="preserve">Shade_tree_soil_sample_CODE</t>
  </si>
  <si>
    <t xml:space="preserve">Section_of_Kaweri</t>
  </si>
  <si>
    <t xml:space="preserve">Replicate_No</t>
  </si>
  <si>
    <t xml:space="preserve">Plot_No</t>
  </si>
  <si>
    <t xml:space="preserve">Coffee_soil _sample_CODE</t>
  </si>
  <si>
    <t xml:space="preserve">Coffee_Variety</t>
  </si>
  <si>
    <t xml:space="preserve">Coffee_Age_years</t>
  </si>
  <si>
    <t xml:space="preserve">Actual_distance_from_shade_tree_m</t>
  </si>
  <si>
    <t xml:space="preserve">Distance_category_m</t>
  </si>
  <si>
    <t xml:space="preserve">Latitude</t>
  </si>
  <si>
    <t xml:space="preserve">Longitude</t>
  </si>
  <si>
    <t xml:space="preserve">Altitude_in_m asl</t>
  </si>
  <si>
    <t xml:space="preserve">Date_of_collection</t>
  </si>
  <si>
    <t xml:space="preserve">Season_of_year</t>
  </si>
  <si>
    <t xml:space="preserve">unique_identifier</t>
  </si>
  <si>
    <t xml:space="preserve">Shade_tree_Canopy_Cover</t>
  </si>
  <si>
    <t xml:space="preserve">distance_m_sunto</t>
  </si>
  <si>
    <t xml:space="preserve">bottom_reading_sunto</t>
  </si>
  <si>
    <t xml:space="preserve">Top_reading_sunto</t>
  </si>
  <si>
    <t xml:space="preserve">Height_shade_tree</t>
  </si>
  <si>
    <t xml:space="preserve">DbH_Shade_tree</t>
  </si>
  <si>
    <t xml:space="preserve">Shade_tree_spp_diversity and abundance_40m_circular_plot</t>
  </si>
  <si>
    <t xml:space="preserve">incidence_CWD_0_1_lower_portion_1st_branch</t>
  </si>
  <si>
    <t xml:space="preserve">incidence_CWD_0_1_lower_portion_2nd_branch</t>
  </si>
  <si>
    <t xml:space="preserve">incidence_CWD_0_1_lower_portion_3rd_branch</t>
  </si>
  <si>
    <t xml:space="preserve">incidence_CWD_0_1_lower_portion_4th_branch</t>
  </si>
  <si>
    <t xml:space="preserve">Aver_incidence_CWD_0_1_lower_portion</t>
  </si>
  <si>
    <t xml:space="preserve">Incidence_CLR_0_1_lower_portion_1st_branch</t>
  </si>
  <si>
    <t xml:space="preserve">Incidence_CLR_0_1_lower_portion_2nd_branch</t>
  </si>
  <si>
    <t xml:space="preserve">Incidence_CLR_0_1_lower_portion_3rd_branch</t>
  </si>
  <si>
    <t xml:space="preserve">Incidence_CLR_0_1_lower_portion_4th_branch</t>
  </si>
  <si>
    <t xml:space="preserve">Aver_Incidence_CLR_0_1_lower_portion</t>
  </si>
  <si>
    <t xml:space="preserve">Incidence_CRBD_0_1_lower_portion_1st_branch</t>
  </si>
  <si>
    <t xml:space="preserve">Incidence_CRBD_0_1_lower_portion_2nd_branch</t>
  </si>
  <si>
    <t xml:space="preserve">Incidence_CRBD_0_1_lower_portion_3rd_branch</t>
  </si>
  <si>
    <t xml:space="preserve">Incidence_CRBD_0_1_lower_portion_4th_branch</t>
  </si>
  <si>
    <t xml:space="preserve">Aver_Incidence_CRBD_0_1_lower_portion</t>
  </si>
  <si>
    <t xml:space="preserve">No_berries_lower_portion_1st_branch</t>
  </si>
  <si>
    <t xml:space="preserve">No_berries_lower_portion_2nd_branch</t>
  </si>
  <si>
    <t xml:space="preserve">No_berries_lower_portion_3rd_branch</t>
  </si>
  <si>
    <t xml:space="preserve">No_berries_lower_portion_4th_branch</t>
  </si>
  <si>
    <t xml:space="preserve">Average_berries_lower_portion</t>
  </si>
  <si>
    <t xml:space="preserve">No_leaves_lower_portion_1st_branch</t>
  </si>
  <si>
    <t xml:space="preserve">No_leaves_lower_portion_2nd_branch</t>
  </si>
  <si>
    <t xml:space="preserve">No_leaves_lower_portion_3rd_branch</t>
  </si>
  <si>
    <t xml:space="preserve">No_leaves_lower_portion_4th_branch</t>
  </si>
  <si>
    <t xml:space="preserve">Average_leaves_lower_portion</t>
  </si>
  <si>
    <t xml:space="preserve">No_CWD_leaves_lower_portion_1st_branch</t>
  </si>
  <si>
    <t xml:space="preserve">No_CWD_leaves_lower_portion_2nd_branch</t>
  </si>
  <si>
    <t xml:space="preserve">No_CWD_leaves_lower_portion_3rd_branch</t>
  </si>
  <si>
    <t xml:space="preserve">No_CWD_leaves_lower_portion_4th_branch</t>
  </si>
  <si>
    <t xml:space="preserve">Aver_No_CWD_leaves_lower_portion</t>
  </si>
  <si>
    <t xml:space="preserve">Severity_CWD_lower_portion_1st_branch</t>
  </si>
  <si>
    <t xml:space="preserve">Severity_CWD_lower_portion_2nd_branch</t>
  </si>
  <si>
    <t xml:space="preserve">Severity_CWD_lower_portion_3rd_branch</t>
  </si>
  <si>
    <t xml:space="preserve">Severity_CWD_lower_portion_4th_branch</t>
  </si>
  <si>
    <t xml:space="preserve">Aver_Severity_CWD_lower_portion</t>
  </si>
  <si>
    <t xml:space="preserve">%_Severity_CWD_lower_portion</t>
  </si>
  <si>
    <t xml:space="preserve">Severity_score_CWD_lower_portion</t>
  </si>
  <si>
    <t xml:space="preserve">No_CLR_leaves_lower_portion_1st_branch</t>
  </si>
  <si>
    <t xml:space="preserve">No_CLR_leaves_lower_portion_2nd_branch</t>
  </si>
  <si>
    <t xml:space="preserve">No_CLR_leaves_lower_portion_3rd_branch</t>
  </si>
  <si>
    <t xml:space="preserve">No_CLR_leaves_lower_portion_4th_branch</t>
  </si>
  <si>
    <t xml:space="preserve">Aver_No_CLR_leaves_lower_portion</t>
  </si>
  <si>
    <t xml:space="preserve">Severity_CLR_lower_portion_1st_branch</t>
  </si>
  <si>
    <t xml:space="preserve">Severity_CLR_lower_portion_2nd_branch</t>
  </si>
  <si>
    <t xml:space="preserve">Severity_CLR_lower_portion_3rd_branch</t>
  </si>
  <si>
    <t xml:space="preserve">Severity_CLR_lower_portion_4th_branch</t>
  </si>
  <si>
    <t xml:space="preserve">Aver_Severity_CLR_lower_portion</t>
  </si>
  <si>
    <t xml:space="preserve">%_Severity_CLR_lower_portion</t>
  </si>
  <si>
    <t xml:space="preserve">Severity_score_CLR_lower_portion</t>
  </si>
  <si>
    <t xml:space="preserve">No_CRBD_leaves_lower_portion_1st_branch</t>
  </si>
  <si>
    <t xml:space="preserve">No_CRBD_leaves_lower_portion_2nd_branch</t>
  </si>
  <si>
    <t xml:space="preserve">No_CRBD_leaves_lower_portion_3rd_branch</t>
  </si>
  <si>
    <t xml:space="preserve">No_CRBD_leaves_lower_portion_4th_branch</t>
  </si>
  <si>
    <t xml:space="preserve">Aver_No_CRBD_leaves_lower_portion</t>
  </si>
  <si>
    <t xml:space="preserve">Severity_CRBD_lower_portion_1st_branch_leaves</t>
  </si>
  <si>
    <t xml:space="preserve">Severity_CRBD_lower_portion_2nd_branch_leaves</t>
  </si>
  <si>
    <t xml:space="preserve">Severity_CRBD_lower_portion_3rd_branch_leaves</t>
  </si>
  <si>
    <t xml:space="preserve">Severity_CRBD_lower_portion_4th_branch_leaves</t>
  </si>
  <si>
    <t xml:space="preserve">Aver_Severity_CRBD_lower_portion_leaves</t>
  </si>
  <si>
    <t xml:space="preserve">%_Severity_CRBD_lower_portion_leaves</t>
  </si>
  <si>
    <t xml:space="preserve">Severity_score_CRBD_lower_portion_leaves</t>
  </si>
  <si>
    <t xml:space="preserve">No_CRBD_berries_lower_portion_1st_branch</t>
  </si>
  <si>
    <t xml:space="preserve">No_CRBD_berries_lower_portion_2nd_branch</t>
  </si>
  <si>
    <t xml:space="preserve">No_CRBD_berries_lower_portion_3rd_branch</t>
  </si>
  <si>
    <t xml:space="preserve">No_CRBD_berries_lower_portion_4th_branch</t>
  </si>
  <si>
    <t xml:space="preserve">Aver_No_CRBD_berries_lower_portion</t>
  </si>
  <si>
    <t xml:space="preserve">Severity_CRBD_lower_portion_1st_branch_berries</t>
  </si>
  <si>
    <t xml:space="preserve">Severity_CRBD_lower_portion_2nd_branch_berries</t>
  </si>
  <si>
    <t xml:space="preserve">Severity_CRBD_lower_portion_3rd_branch_berries</t>
  </si>
  <si>
    <t xml:space="preserve">Severity_CRBD_lower_portion_4th_branch_berries</t>
  </si>
  <si>
    <t xml:space="preserve">Aver_Severity_CRBD_lower_portion_berries</t>
  </si>
  <si>
    <t xml:space="preserve">%_Severity_CRBD_lower_portion_berries</t>
  </si>
  <si>
    <t xml:space="preserve">Severity_score_CRBD_lower_portion_berries</t>
  </si>
  <si>
    <t xml:space="preserve">Average_chlorophyl_1-5_leaves_lower_portion_1st_branch</t>
  </si>
  <si>
    <t xml:space="preserve">Average_chlorophyl_1-5_leaves_lower_portion_2nd_branch</t>
  </si>
  <si>
    <t xml:space="preserve">Average_chlorophyl_1-5_leaves_lower_portion_3rd_branch</t>
  </si>
  <si>
    <t xml:space="preserve">Average_chlorophyl_1-5_leaves_lower_portion_4th_branch</t>
  </si>
  <si>
    <t xml:space="preserve">Average_chlorophyl_1-4_branches_lower_portion</t>
  </si>
  <si>
    <t xml:space="preserve">incidence_CWD_0_1_middle_portion_1st_branch</t>
  </si>
  <si>
    <t xml:space="preserve">incidence_CWD_0_1_middle_portion_2nd_branch</t>
  </si>
  <si>
    <t xml:space="preserve">incidence_CWD_0_1_middle_portion_3rd_branch</t>
  </si>
  <si>
    <t xml:space="preserve">incidence_CWD_0_1_middle_portion_4th_branch</t>
  </si>
  <si>
    <t xml:space="preserve">Aver_incidence_CWD_0_1_middle_portion</t>
  </si>
  <si>
    <t xml:space="preserve">Incidence_CLR_0_1_middle_portion_1st_branch</t>
  </si>
  <si>
    <t xml:space="preserve">Incidence_CLR_0_1_middle_portion_2nd_branch</t>
  </si>
  <si>
    <t xml:space="preserve">Incidence_CLR_0_1_middle_portion_3rd_branch</t>
  </si>
  <si>
    <t xml:space="preserve">Incidence_CLR_0_1_middle_portion_4th_branch</t>
  </si>
  <si>
    <t xml:space="preserve">Aver_Incidence_CLR_0_1_middle_portion</t>
  </si>
  <si>
    <t xml:space="preserve">Incidence_CRBD_0_1_middle_portion_1st_branch</t>
  </si>
  <si>
    <t xml:space="preserve">Incidence_CRBD_0_1_middle_portion_2nd_branch</t>
  </si>
  <si>
    <t xml:space="preserve">Incidence_CRBD_0_1_middle_portion_3rd_branch</t>
  </si>
  <si>
    <t xml:space="preserve">Incidence_CRBD_0_1_middle_portion_4th_branch</t>
  </si>
  <si>
    <t xml:space="preserve">Aver_Incidence_CRBD_0_1_middle_portion</t>
  </si>
  <si>
    <t xml:space="preserve">No_berries_middle_portion_1st_branch</t>
  </si>
  <si>
    <t xml:space="preserve">No_berries_middle_portion_2nd_branch</t>
  </si>
  <si>
    <t xml:space="preserve">No_berries_middle_portion_3rd_branch</t>
  </si>
  <si>
    <t xml:space="preserve">No_berries_middle_portion_4th_branch</t>
  </si>
  <si>
    <t xml:space="preserve">Average_berries_middle_portion</t>
  </si>
  <si>
    <t xml:space="preserve">No_leaves_middle_portion_1st_branch</t>
  </si>
  <si>
    <t xml:space="preserve">No_leaves_middle_portion_2nd_branch</t>
  </si>
  <si>
    <t xml:space="preserve">No_leaves_middle_portion_3rd_branch</t>
  </si>
  <si>
    <t xml:space="preserve">No_leaves_middle_portion_4th_branch</t>
  </si>
  <si>
    <t xml:space="preserve">Average_leaves_middle_portion</t>
  </si>
  <si>
    <t xml:space="preserve">No_CWD_leaves_middle_portion_1st_branch</t>
  </si>
  <si>
    <t xml:space="preserve">No_CWD_leaves_middle_portion_2nd_branch</t>
  </si>
  <si>
    <t xml:space="preserve">No_CWD_leaves_middle_portion_3rd_branch</t>
  </si>
  <si>
    <t xml:space="preserve">No_CWD_leaves_middle_portion_4th_branch</t>
  </si>
  <si>
    <t xml:space="preserve">Aver_No_CWD_leaves_middle_portion</t>
  </si>
  <si>
    <t xml:space="preserve">Severity_CWD_middle_portion_1st_branch</t>
  </si>
  <si>
    <t xml:space="preserve">Severity_CWD_middle_portion_2nd_branch</t>
  </si>
  <si>
    <t xml:space="preserve">Severity_CWD_middle_portion_3rd_branch</t>
  </si>
  <si>
    <t xml:space="preserve">Severity_CWD_middle_portion_4th_branch</t>
  </si>
  <si>
    <t xml:space="preserve">Aver_Severity_CWD_middle_portion</t>
  </si>
  <si>
    <t xml:space="preserve">%_Severity_CWD_middle_portion</t>
  </si>
  <si>
    <t xml:space="preserve">Severity_score_CWD_middle_portion</t>
  </si>
  <si>
    <t xml:space="preserve">No_CLR_leaves_middle_portion_1st_branch</t>
  </si>
  <si>
    <t xml:space="preserve">No_CLR_leaves_middle_portion_2nd_branch</t>
  </si>
  <si>
    <t xml:space="preserve">No_CLR_leaves_middle_portion_3rd_branch</t>
  </si>
  <si>
    <t xml:space="preserve">No_CLR_leaves_middle_portion_4th_branch</t>
  </si>
  <si>
    <t xml:space="preserve">Aver_No_CLR_leaves_middle_portion</t>
  </si>
  <si>
    <t xml:space="preserve">Severity_CLR_middle_portion_1st_branch</t>
  </si>
  <si>
    <t xml:space="preserve">Severity_CLR_middle_portion_2nd_branch</t>
  </si>
  <si>
    <t xml:space="preserve">Severity_CLR_middle_portion_3rd_branch</t>
  </si>
  <si>
    <t xml:space="preserve">Severity_CLR_middle_portion_4th_branch</t>
  </si>
  <si>
    <t xml:space="preserve">Aver_Severity_CLR_middle_portion</t>
  </si>
  <si>
    <t xml:space="preserve">%_Severity_CLR_middle_portion</t>
  </si>
  <si>
    <t xml:space="preserve">Severity_score_CLR_middle_portion</t>
  </si>
  <si>
    <t xml:space="preserve">No_CRBD_leaves_middle_portion_1st_branch</t>
  </si>
  <si>
    <t xml:space="preserve">No_CRBD_leaves_middle_portion_2nd_branch</t>
  </si>
  <si>
    <t xml:space="preserve">No_CRBD_leaves_middle_portion_3rd_branch</t>
  </si>
  <si>
    <t xml:space="preserve">No_CRBD_leaves_middle_portion_4th_branch</t>
  </si>
  <si>
    <t xml:space="preserve">Aver_No_CRBD_leaves_middle_portion</t>
  </si>
  <si>
    <t xml:space="preserve">Severity_CRBD_middle_portion_1st_branch_leaves</t>
  </si>
  <si>
    <t xml:space="preserve">Severity_CRBD_middle_portion_2nd_branch_leaves</t>
  </si>
  <si>
    <t xml:space="preserve">Severity_CRBD_middle_portion_3rd_branch_leaves</t>
  </si>
  <si>
    <t xml:space="preserve">Severity_CRBD_middle_portion_4th_branch_leaves</t>
  </si>
  <si>
    <t xml:space="preserve">Aver_Severity_CRBD_middle_portion_leaves</t>
  </si>
  <si>
    <t xml:space="preserve">%_Severity_CRBD_middle_portion_leaves</t>
  </si>
  <si>
    <t xml:space="preserve">Severity_score_CRBD_middle_portion_leaves</t>
  </si>
  <si>
    <t xml:space="preserve">No_CRBD_berries_middle_portion_1st_branch</t>
  </si>
  <si>
    <t xml:space="preserve">No_CRBD_berries_middle_portion_2nd_branch</t>
  </si>
  <si>
    <t xml:space="preserve">No_CRBD_berries_middle_portion_3rd_branch</t>
  </si>
  <si>
    <t xml:space="preserve">No_CRBD_berries_middle_portion_4th_branch</t>
  </si>
  <si>
    <t xml:space="preserve">Aver_No_CRBD_berries_middle_portion</t>
  </si>
  <si>
    <t xml:space="preserve">Severity_CRBD_middle_portion_1st_branch_berries</t>
  </si>
  <si>
    <t xml:space="preserve">Severity_CRBD_middle_portion_2nd_branch_berries</t>
  </si>
  <si>
    <t xml:space="preserve">Severity_CRBD_middle_portion_3rd_branch_berries</t>
  </si>
  <si>
    <t xml:space="preserve">Severity_CRBD_middle_portion_4th_branch_berries</t>
  </si>
  <si>
    <t xml:space="preserve">Aver_Severity_CRBD_middle_portion_berries</t>
  </si>
  <si>
    <t xml:space="preserve">%_Severity_CRBD_middle_portion_berries</t>
  </si>
  <si>
    <t xml:space="preserve">Severity_score_CRBD_middle_portion_berries</t>
  </si>
  <si>
    <t xml:space="preserve">Average_chlorophyl_1-5_leaves_middle_portion_1st_branch</t>
  </si>
  <si>
    <t xml:space="preserve">Average_chlorophyl_1-5_leaves_middle_portion_2nd_branch</t>
  </si>
  <si>
    <t xml:space="preserve">Average_chlorophyl_1-5_leaves_middle_portion_3rd_branch</t>
  </si>
  <si>
    <t xml:space="preserve">Average_chlorophyl_1-5_leaves_middle_portion_4th_branch</t>
  </si>
  <si>
    <t xml:space="preserve">Average_chlorophyl_1-4_branches_middle_portion</t>
  </si>
  <si>
    <t xml:space="preserve">incidence_CWD_0_1_Top_portion_1st_branch</t>
  </si>
  <si>
    <t xml:space="preserve">incidence_CWD_0_1_Top_portion_2nd_branch</t>
  </si>
  <si>
    <t xml:space="preserve">incidence_CWD_0_1_Top_portion_3rd_branch</t>
  </si>
  <si>
    <t xml:space="preserve">incidence_CWD_0_1_Top_portion_4th_branch</t>
  </si>
  <si>
    <t xml:space="preserve">Aver_incidence_CWD_0_1_Top_portion</t>
  </si>
  <si>
    <t xml:space="preserve">Incidence_CLR_0_1_Top_portion_1st_branch</t>
  </si>
  <si>
    <t xml:space="preserve">Incidence_CLR_0_1_Top_portion_2nd_branch</t>
  </si>
  <si>
    <t xml:space="preserve">Incidence_CLR_0_1_Top_portion_3rd_branch</t>
  </si>
  <si>
    <t xml:space="preserve">Incidence_CLR_0_1_Top_portion_4th_branch</t>
  </si>
  <si>
    <t xml:space="preserve">Aver_Incidence_CLR_0_1_Top_portion</t>
  </si>
  <si>
    <t xml:space="preserve">Incidence_CRBD_0_1_Top_portion_1st_branch</t>
  </si>
  <si>
    <t xml:space="preserve">Incidence_CRBD_0_1_Top_portion_2nd_branch</t>
  </si>
  <si>
    <t xml:space="preserve">Incidence_CRBD_0_1_Top_portion_3rd_branch</t>
  </si>
  <si>
    <t xml:space="preserve">Incidence_CRBD_0_1_Top_portion_4th_branch</t>
  </si>
  <si>
    <t xml:space="preserve">Aver_Incidence_CRBD_0_1_Top_portion</t>
  </si>
  <si>
    <t xml:space="preserve">No_berries_Top_portion_1st_branch</t>
  </si>
  <si>
    <t xml:space="preserve">No_berries_Top_portion_2nd_branch</t>
  </si>
  <si>
    <t xml:space="preserve">No_berries_Top_portion_3rd_branch</t>
  </si>
  <si>
    <t xml:space="preserve">No_berries_Top_portion_4th_branch</t>
  </si>
  <si>
    <t xml:space="preserve">Average_berries_Top_portion</t>
  </si>
  <si>
    <t xml:space="preserve">No_leaves_Top_portion_1st_branch</t>
  </si>
  <si>
    <t xml:space="preserve">No_leaves_Top_portion_2nd_branch</t>
  </si>
  <si>
    <t xml:space="preserve">No_leaves_Top_portion_3rd_branch</t>
  </si>
  <si>
    <t xml:space="preserve">No_leaves_Top_portion_4th_branch</t>
  </si>
  <si>
    <t xml:space="preserve">Average_leaves_Top_portion</t>
  </si>
  <si>
    <t xml:space="preserve">No_CWD_leaves_Top_portion_1st_branch</t>
  </si>
  <si>
    <t xml:space="preserve">No_CWD_leaves_Top_portion_2nd_branch</t>
  </si>
  <si>
    <t xml:space="preserve">No_CWD_leaves_Top_portion_3rd_branch</t>
  </si>
  <si>
    <t xml:space="preserve">No_CWD_leaves_Top_portion_4th_branch</t>
  </si>
  <si>
    <t xml:space="preserve">Aver_No_CWD_leaves_Top_portion</t>
  </si>
  <si>
    <t xml:space="preserve">Severity_CWD_Top_portion_1st_branch</t>
  </si>
  <si>
    <t xml:space="preserve">Severity_CWD_Top_portion_2nd_branch</t>
  </si>
  <si>
    <t xml:space="preserve">Severity_CWD_Top_portion_3rd_branch</t>
  </si>
  <si>
    <t xml:space="preserve">Severity_CWD_Top_portion_4th_branch</t>
  </si>
  <si>
    <t xml:space="preserve">Aver_Severity_CWD_Top_portion</t>
  </si>
  <si>
    <t xml:space="preserve">%_Severity_CWD_Top_portion</t>
  </si>
  <si>
    <t xml:space="preserve">Severity_score_CWD_Top_portion</t>
  </si>
  <si>
    <t xml:space="preserve">No_CLR_leaves_Top_portion_1st_branch</t>
  </si>
  <si>
    <t xml:space="preserve">No_CLR_leaves_Top_portion_2nd_branch</t>
  </si>
  <si>
    <t xml:space="preserve">No_CLR_leaves_Top_portion_3rd_branch</t>
  </si>
  <si>
    <t xml:space="preserve">No_CLR_leaves_Top_portion_4th_branch</t>
  </si>
  <si>
    <t xml:space="preserve">Aver_No_CLR_leaves_Top_portion</t>
  </si>
  <si>
    <t xml:space="preserve">Severity_CLR_Top_portion_1st_branch</t>
  </si>
  <si>
    <t xml:space="preserve">Severity_CLR_Top_portion_2nd_branch</t>
  </si>
  <si>
    <t xml:space="preserve">Severity_CLR_Top_portion_3rd_branch</t>
  </si>
  <si>
    <t xml:space="preserve">Severity_CLR_Top_portion_4th_branch</t>
  </si>
  <si>
    <t xml:space="preserve">Aver_Severity_CLR_Top_portion</t>
  </si>
  <si>
    <t xml:space="preserve">%_Severity_CLR_Top_portion</t>
  </si>
  <si>
    <t xml:space="preserve">Severity_Score__CLR_Top_portion</t>
  </si>
  <si>
    <t xml:space="preserve">No_CRBD_leaves_Top_portion_1st_branch</t>
  </si>
  <si>
    <t xml:space="preserve">No_CRBD_leaves_Top_portion_2nd_branch</t>
  </si>
  <si>
    <t xml:space="preserve">No_CRBD_leaves_Top_portion_3rd_branch</t>
  </si>
  <si>
    <t xml:space="preserve">No_CRBD_leaves_Top_portion_4th_branch</t>
  </si>
  <si>
    <t xml:space="preserve">Aver_No_CRBD_leaves_Top_portion</t>
  </si>
  <si>
    <t xml:space="preserve">Severity_CRBD_Top_portion_1st_branch_leaves</t>
  </si>
  <si>
    <t xml:space="preserve">Severity_CRBD_Top_portion_2nd_branch_leaves</t>
  </si>
  <si>
    <t xml:space="preserve">Severity_CRBD_Top_portion_3rd_branch_leaves</t>
  </si>
  <si>
    <t xml:space="preserve">Severity_CRBD_Top_portion_4th_branch_leaves</t>
  </si>
  <si>
    <t xml:space="preserve">Aver_Severity_CRBD_Top_portion_leaves</t>
  </si>
  <si>
    <t xml:space="preserve">%_Severity_CRBD_Top_portion_leaves</t>
  </si>
  <si>
    <t xml:space="preserve">Severity_score_CRBD_Top_portion_leaves</t>
  </si>
  <si>
    <t xml:space="preserve">No_CRBD_berries_Top_portion_1st_branch</t>
  </si>
  <si>
    <t xml:space="preserve">No_CRBD_berries_Top_portion_2nd_branch</t>
  </si>
  <si>
    <t xml:space="preserve">No_CRBD_berries_Top_portion_3rd_branch</t>
  </si>
  <si>
    <t xml:space="preserve">No_CRBD_berries_Top_portion_4th_branch</t>
  </si>
  <si>
    <t xml:space="preserve">Aver_No_CRBD_berries_Top_portion</t>
  </si>
  <si>
    <t xml:space="preserve">Severity_CRBD_Top_portion_1st_branch_berries</t>
  </si>
  <si>
    <t xml:space="preserve">Severity_CRBD_Top_portion_2nd_branch_berries</t>
  </si>
  <si>
    <t xml:space="preserve">Severity_CRBD_Top_portion_3rd_branch_berries</t>
  </si>
  <si>
    <t xml:space="preserve">Severity_CRBD_Top_portion_4th_branch_berries</t>
  </si>
  <si>
    <t xml:space="preserve">Aver_Severity_CRBD_Top_portion_berries</t>
  </si>
  <si>
    <t xml:space="preserve">%_Severity_CRBD_Top__portion_berries</t>
  </si>
  <si>
    <t xml:space="preserve">Severity_score_CRBD_Top_portion_berries</t>
  </si>
  <si>
    <t xml:space="preserve">Average_chlorophyl_1-5_leaves_Top_portion_1st_branch</t>
  </si>
  <si>
    <t xml:space="preserve">Average_chlorophyl_1-5_leaves_Top_portion_2nd_branch</t>
  </si>
  <si>
    <t xml:space="preserve">Average_chlorophyl_1-5_leaves_Top_portion_3rd_branch</t>
  </si>
  <si>
    <t xml:space="preserve">Average_chlorophyl_1-5_leaves_Top_portion_4th_branch</t>
  </si>
  <si>
    <t xml:space="preserve">Average_chlorophyl_1-4_branches_Top_portion</t>
  </si>
  <si>
    <t xml:space="preserve">Date_Disease_Data</t>
  </si>
  <si>
    <t xml:space="preserve">Season</t>
  </si>
  <si>
    <t xml:space="preserve">Ficus natalensis</t>
  </si>
  <si>
    <t xml:space="preserve">FIC1</t>
  </si>
  <si>
    <t xml:space="preserve">Kitagweta</t>
  </si>
  <si>
    <t xml:space="preserve">FIC1COF1</t>
  </si>
  <si>
    <t xml:space="preserve">Unidentified</t>
  </si>
  <si>
    <t xml:space="preserve">3 to 5</t>
  </si>
  <si>
    <t xml:space="preserve">0° 37′ 39.4″ N</t>
  </si>
  <si>
    <t xml:space="preserve">31° 29′ 7.5″ E</t>
  </si>
  <si>
    <t xml:space="preserve">Extreme Dry season</t>
  </si>
  <si>
    <t xml:space="preserve">Rainy</t>
  </si>
  <si>
    <t xml:space="preserve">FIC1COF2</t>
  </si>
  <si>
    <t xml:space="preserve">10 to 12</t>
  </si>
  <si>
    <t xml:space="preserve">FIC1COF3</t>
  </si>
  <si>
    <t xml:space="preserve">20 to 22</t>
  </si>
  <si>
    <t xml:space="preserve">FIC4</t>
  </si>
  <si>
    <t xml:space="preserve">FIC4COF1</t>
  </si>
  <si>
    <t xml:space="preserve">Clone C</t>
  </si>
  <si>
    <t xml:space="preserve">0° 37′ 38.4″ N</t>
  </si>
  <si>
    <t xml:space="preserve">31° 28′ 7.5″ E</t>
  </si>
  <si>
    <r>
      <rPr>
        <sz val="11"/>
        <color rgb="FF000000"/>
        <rFont val="Book Antiqua"/>
        <family val="0"/>
        <charset val="1"/>
      </rPr>
      <t xml:space="preserve">Flamboyant tree 2, </t>
    </r>
    <r>
      <rPr>
        <i val="true"/>
        <sz val="11"/>
        <color rgb="FF000000"/>
        <rFont val="Book Antiqua"/>
        <family val="0"/>
        <charset val="1"/>
      </rPr>
      <t xml:space="preserve">Ficus natalensis</t>
    </r>
    <r>
      <rPr>
        <sz val="11"/>
        <color rgb="FF000000"/>
        <rFont val="Book Antiqua"/>
        <family val="0"/>
        <charset val="1"/>
      </rPr>
      <t xml:space="preserve"> 1, </t>
    </r>
    <r>
      <rPr>
        <i val="true"/>
        <sz val="11"/>
        <color rgb="FF000000"/>
        <rFont val="Book Antiqua"/>
        <family val="0"/>
        <charset val="1"/>
      </rPr>
      <t xml:space="preserve">Markhamia lutea</t>
    </r>
    <r>
      <rPr>
        <sz val="11"/>
        <color rgb="FF000000"/>
        <rFont val="Book Antiqua"/>
        <family val="0"/>
        <charset val="1"/>
      </rPr>
      <t xml:space="preserve"> 1</t>
    </r>
  </si>
  <si>
    <t xml:space="preserve">FIC4COF2</t>
  </si>
  <si>
    <t xml:space="preserve">Open pollinated</t>
  </si>
  <si>
    <t xml:space="preserve">FIC4COF3</t>
  </si>
  <si>
    <t xml:space="preserve">FIC5</t>
  </si>
  <si>
    <t xml:space="preserve">FIC5COF1</t>
  </si>
  <si>
    <t xml:space="preserve">0° 37′ 38.2″ N</t>
  </si>
  <si>
    <t xml:space="preserve">31° 28′ 8.2″ E</t>
  </si>
  <si>
    <r>
      <rPr>
        <i val="true"/>
        <sz val="11"/>
        <color rgb="FF000000"/>
        <rFont val="Book Antiqua"/>
        <family val="0"/>
        <charset val="1"/>
      </rPr>
      <t xml:space="preserve">Ficus natalensis </t>
    </r>
    <r>
      <rPr>
        <sz val="11"/>
        <color rgb="FF000000"/>
        <rFont val="Book Antiqua"/>
        <family val="0"/>
        <charset val="1"/>
      </rPr>
      <t xml:space="preserve">2, </t>
    </r>
    <r>
      <rPr>
        <i val="true"/>
        <sz val="11"/>
        <color rgb="FF000000"/>
        <rFont val="Book Antiqua"/>
        <family val="0"/>
        <charset val="1"/>
      </rPr>
      <t xml:space="preserve">Markhamia lutea</t>
    </r>
    <r>
      <rPr>
        <sz val="11"/>
        <color rgb="FF000000"/>
        <rFont val="Book Antiqua"/>
        <family val="0"/>
        <charset val="1"/>
      </rPr>
      <t xml:space="preserve"> 1, </t>
    </r>
    <r>
      <rPr>
        <i val="true"/>
        <sz val="11"/>
        <color rgb="FF000000"/>
        <rFont val="Book Antiqua"/>
        <family val="0"/>
        <charset val="1"/>
      </rPr>
      <t xml:space="preserve">Spathodea campanulata </t>
    </r>
    <r>
      <rPr>
        <sz val="11"/>
        <color rgb="FF000000"/>
        <rFont val="Book Antiqua"/>
        <family val="0"/>
        <charset val="1"/>
      </rPr>
      <t xml:space="preserve">1</t>
    </r>
  </si>
  <si>
    <t xml:space="preserve">FIC5COF2</t>
  </si>
  <si>
    <t xml:space="preserve">FIC5COF3</t>
  </si>
  <si>
    <t xml:space="preserve">FIC9</t>
  </si>
  <si>
    <t xml:space="preserve">FIC9COF1</t>
  </si>
  <si>
    <t xml:space="preserve">Clone F</t>
  </si>
  <si>
    <t xml:space="preserve">0° 37′ 25.2″ N</t>
  </si>
  <si>
    <t xml:space="preserve">31° 27′ 56.6″ E</t>
  </si>
  <si>
    <t xml:space="preserve">Dry season at onset of rain</t>
  </si>
  <si>
    <r>
      <rPr>
        <i val="true"/>
        <sz val="11"/>
        <color rgb="FF000000"/>
        <rFont val="Book Antiqua"/>
        <family val="0"/>
        <charset val="1"/>
      </rPr>
      <t xml:space="preserve">Grevillea robusta</t>
    </r>
    <r>
      <rPr>
        <sz val="11"/>
        <color rgb="FF000000"/>
        <rFont val="Book Antiqua"/>
        <family val="0"/>
        <charset val="1"/>
      </rPr>
      <t xml:space="preserve"> 1, </t>
    </r>
    <r>
      <rPr>
        <i val="true"/>
        <sz val="11"/>
        <color rgb="FF000000"/>
        <rFont val="Book Antiqua"/>
        <family val="0"/>
        <charset val="1"/>
      </rPr>
      <t xml:space="preserve">Spathodea campanulata</t>
    </r>
    <r>
      <rPr>
        <sz val="11"/>
        <color rgb="FF000000"/>
        <rFont val="Book Antiqua"/>
        <family val="0"/>
        <charset val="1"/>
      </rPr>
      <t xml:space="preserve"> 2, </t>
    </r>
    <r>
      <rPr>
        <i val="true"/>
        <sz val="11"/>
        <color rgb="FF000000"/>
        <rFont val="Book Antiqua"/>
        <family val="0"/>
        <charset val="1"/>
      </rPr>
      <t xml:space="preserve">Markhamia lutea </t>
    </r>
    <r>
      <rPr>
        <sz val="11"/>
        <color rgb="FF000000"/>
        <rFont val="Book Antiqua"/>
        <family val="0"/>
        <charset val="1"/>
      </rPr>
      <t xml:space="preserve">2</t>
    </r>
  </si>
  <si>
    <t xml:space="preserve">FIC9COF2</t>
  </si>
  <si>
    <t xml:space="preserve">Clone B</t>
  </si>
  <si>
    <t xml:space="preserve">FIC9COF3</t>
  </si>
  <si>
    <t xml:space="preserve">Albizia coriaria</t>
  </si>
  <si>
    <t xml:space="preserve">ALB5</t>
  </si>
  <si>
    <t xml:space="preserve">ALB5COF1</t>
  </si>
  <si>
    <t xml:space="preserve">0° 37′ 34.5″ N</t>
  </si>
  <si>
    <t xml:space="preserve">31° 28′ 9.2″ E</t>
  </si>
  <si>
    <r>
      <rPr>
        <i val="true"/>
        <sz val="11"/>
        <color rgb="FF000000"/>
        <rFont val="Book Antiqua"/>
        <family val="0"/>
        <charset val="1"/>
      </rPr>
      <t xml:space="preserve">Spathodea campanulata </t>
    </r>
    <r>
      <rPr>
        <sz val="11"/>
        <color rgb="FF000000"/>
        <rFont val="Book Antiqua"/>
        <family val="0"/>
        <charset val="1"/>
      </rPr>
      <t xml:space="preserve">1, Flamboyant tree 2, </t>
    </r>
    <r>
      <rPr>
        <i val="true"/>
        <sz val="11"/>
        <color rgb="FF000000"/>
        <rFont val="Book Antiqua"/>
        <family val="0"/>
        <charset val="1"/>
      </rPr>
      <t xml:space="preserve">Melia azadirachta</t>
    </r>
    <r>
      <rPr>
        <sz val="11"/>
        <color rgb="FF000000"/>
        <rFont val="Book Antiqua"/>
        <family val="0"/>
        <charset val="1"/>
      </rPr>
      <t xml:space="preserve"> 1</t>
    </r>
  </si>
  <si>
    <t xml:space="preserve">ALB5COF2</t>
  </si>
  <si>
    <t xml:space="preserve">ALB5COF3</t>
  </si>
  <si>
    <t xml:space="preserve">ALB6</t>
  </si>
  <si>
    <t xml:space="preserve">ALB6COF1</t>
  </si>
  <si>
    <t xml:space="preserve">0° 37′ 33.3″ N</t>
  </si>
  <si>
    <t xml:space="preserve">31° 28′ 17.5″ E</t>
  </si>
  <si>
    <r>
      <rPr>
        <i val="true"/>
        <sz val="11"/>
        <color rgb="FF000000"/>
        <rFont val="Book Antiqua"/>
        <family val="0"/>
        <charset val="1"/>
      </rPr>
      <t xml:space="preserve">Markhamia lutea</t>
    </r>
    <r>
      <rPr>
        <sz val="11"/>
        <color rgb="FF000000"/>
        <rFont val="Book Antiqua"/>
        <family val="0"/>
        <charset val="1"/>
      </rPr>
      <t xml:space="preserve"> 5, </t>
    </r>
    <r>
      <rPr>
        <i val="true"/>
        <sz val="11"/>
        <color rgb="FF000000"/>
        <rFont val="Book Antiqua"/>
        <family val="0"/>
        <charset val="1"/>
      </rPr>
      <t xml:space="preserve">Antiaris sectaria</t>
    </r>
    <r>
      <rPr>
        <sz val="11"/>
        <color rgb="FF000000"/>
        <rFont val="Book Antiqua"/>
        <family val="0"/>
        <charset val="1"/>
      </rPr>
      <t xml:space="preserve"> 1, </t>
    </r>
    <r>
      <rPr>
        <i val="true"/>
        <sz val="11"/>
        <color rgb="FF000000"/>
        <rFont val="Book Antiqua"/>
        <family val="0"/>
        <charset val="1"/>
      </rPr>
      <t xml:space="preserve">Spathodea campanulata</t>
    </r>
    <r>
      <rPr>
        <sz val="11"/>
        <color rgb="FF000000"/>
        <rFont val="Book Antiqua"/>
        <family val="0"/>
        <charset val="1"/>
      </rPr>
      <t xml:space="preserve"> 1, </t>
    </r>
    <r>
      <rPr>
        <i val="true"/>
        <sz val="11"/>
        <color rgb="FF000000"/>
        <rFont val="Book Antiqua"/>
        <family val="0"/>
        <charset val="1"/>
      </rPr>
      <t xml:space="preserve">Albizia chinensis </t>
    </r>
    <r>
      <rPr>
        <sz val="11"/>
        <color rgb="FF000000"/>
        <rFont val="Book Antiqua"/>
        <family val="0"/>
        <charset val="1"/>
      </rPr>
      <t xml:space="preserve">1, </t>
    </r>
    <r>
      <rPr>
        <i val="true"/>
        <sz val="11"/>
        <color rgb="FF000000"/>
        <rFont val="Book Antiqua"/>
        <family val="0"/>
        <charset val="1"/>
      </rPr>
      <t xml:space="preserve">Ficus exasparata</t>
    </r>
    <r>
      <rPr>
        <sz val="11"/>
        <color rgb="FF000000"/>
        <rFont val="Book Antiqua"/>
        <family val="0"/>
        <charset val="1"/>
      </rPr>
      <t xml:space="preserve"> 2, </t>
    </r>
    <r>
      <rPr>
        <i val="true"/>
        <sz val="11"/>
        <color rgb="FF000000"/>
        <rFont val="Book Antiqua"/>
        <family val="0"/>
        <charset val="1"/>
      </rPr>
      <t xml:space="preserve">Melia azadirachta </t>
    </r>
    <r>
      <rPr>
        <sz val="11"/>
        <color rgb="FF000000"/>
        <rFont val="Book Antiqua"/>
        <family val="0"/>
        <charset val="1"/>
      </rPr>
      <t xml:space="preserve">1</t>
    </r>
  </si>
  <si>
    <t xml:space="preserve">ALB6COF2</t>
  </si>
  <si>
    <t xml:space="preserve">ALB6COF3</t>
  </si>
  <si>
    <t xml:space="preserve">ALB7</t>
  </si>
  <si>
    <t xml:space="preserve">ALB7COF1</t>
  </si>
  <si>
    <t xml:space="preserve">0° 37′ 32.2″ N</t>
  </si>
  <si>
    <t xml:space="preserve">31° 28′ 17.1″ E</t>
  </si>
  <si>
    <r>
      <rPr>
        <i val="true"/>
        <sz val="11"/>
        <color rgb="FF000000"/>
        <rFont val="Book Antiqua"/>
        <family val="0"/>
        <charset val="1"/>
      </rPr>
      <t xml:space="preserve">Albizia coriaria</t>
    </r>
    <r>
      <rPr>
        <sz val="11"/>
        <color rgb="FF000000"/>
        <rFont val="Book Antiqua"/>
        <family val="0"/>
        <charset val="1"/>
      </rPr>
      <t xml:space="preserve"> 1, </t>
    </r>
    <r>
      <rPr>
        <i val="true"/>
        <sz val="11"/>
        <color rgb="FF000000"/>
        <rFont val="Book Antiqua"/>
        <family val="0"/>
        <charset val="1"/>
      </rPr>
      <t xml:space="preserve">Melia azadirachta </t>
    </r>
    <r>
      <rPr>
        <sz val="11"/>
        <color rgb="FF000000"/>
        <rFont val="Book Antiqua"/>
        <family val="0"/>
        <charset val="1"/>
      </rPr>
      <t xml:space="preserve">1, </t>
    </r>
    <r>
      <rPr>
        <i val="true"/>
        <sz val="11"/>
        <color rgb="FF000000"/>
        <rFont val="Book Antiqua"/>
        <family val="0"/>
        <charset val="1"/>
      </rPr>
      <t xml:space="preserve">Carica papaya</t>
    </r>
    <r>
      <rPr>
        <sz val="11"/>
        <color rgb="FF000000"/>
        <rFont val="Book Antiqua"/>
        <family val="0"/>
        <charset val="1"/>
      </rPr>
      <t xml:space="preserve"> 1</t>
    </r>
  </si>
  <si>
    <t xml:space="preserve">ALB7COF2</t>
  </si>
  <si>
    <t xml:space="preserve">Clone A</t>
  </si>
  <si>
    <t xml:space="preserve">ALB7COF3</t>
  </si>
  <si>
    <t xml:space="preserve">ALB8</t>
  </si>
  <si>
    <t xml:space="preserve">ALB8COF1</t>
  </si>
  <si>
    <t xml:space="preserve">0° 37′ 32.1″ N</t>
  </si>
  <si>
    <t xml:space="preserve">31° 28′ 16.3″ E</t>
  </si>
  <si>
    <r>
      <rPr>
        <i val="true"/>
        <sz val="11"/>
        <color rgb="FF000000"/>
        <rFont val="Book Antiqua"/>
        <family val="0"/>
        <charset val="1"/>
      </rPr>
      <t xml:space="preserve">Spathodea campanulata</t>
    </r>
    <r>
      <rPr>
        <sz val="11"/>
        <color rgb="FF000000"/>
        <rFont val="Book Antiqua"/>
        <family val="0"/>
        <charset val="1"/>
      </rPr>
      <t xml:space="preserve"> 1, </t>
    </r>
    <r>
      <rPr>
        <i val="true"/>
        <sz val="11"/>
        <color rgb="FF000000"/>
        <rFont val="Book Antiqua"/>
        <family val="0"/>
        <charset val="1"/>
      </rPr>
      <t xml:space="preserve">Carica papaya</t>
    </r>
    <r>
      <rPr>
        <sz val="11"/>
        <color rgb="FF000000"/>
        <rFont val="Book Antiqua"/>
        <family val="0"/>
        <charset val="1"/>
      </rPr>
      <t xml:space="preserve"> 1, </t>
    </r>
    <r>
      <rPr>
        <i val="true"/>
        <sz val="11"/>
        <color rgb="FF000000"/>
        <rFont val="Book Antiqua"/>
        <family val="0"/>
        <charset val="1"/>
      </rPr>
      <t xml:space="preserve">Ficus exasperata</t>
    </r>
    <r>
      <rPr>
        <sz val="11"/>
        <color rgb="FF000000"/>
        <rFont val="Book Antiqua"/>
        <family val="0"/>
        <charset val="1"/>
      </rPr>
      <t xml:space="preserve"> 1, </t>
    </r>
    <r>
      <rPr>
        <i val="true"/>
        <sz val="11"/>
        <color rgb="FF000000"/>
        <rFont val="Book Antiqua"/>
        <family val="0"/>
        <charset val="1"/>
      </rPr>
      <t xml:space="preserve">Albizia chinensis</t>
    </r>
    <r>
      <rPr>
        <sz val="11"/>
        <color rgb="FF000000"/>
        <rFont val="Book Antiqua"/>
        <family val="0"/>
        <charset val="1"/>
      </rPr>
      <t xml:space="preserve"> 1, </t>
    </r>
    <r>
      <rPr>
        <i val="true"/>
        <sz val="11"/>
        <color rgb="FF000000"/>
        <rFont val="Book Antiqua"/>
        <family val="0"/>
        <charset val="1"/>
      </rPr>
      <t xml:space="preserve">Melia azadirachta</t>
    </r>
    <r>
      <rPr>
        <sz val="11"/>
        <color rgb="FF000000"/>
        <rFont val="Book Antiqua"/>
        <family val="0"/>
        <charset val="1"/>
      </rPr>
      <t xml:space="preserve"> 1, </t>
    </r>
    <r>
      <rPr>
        <i val="true"/>
        <sz val="11"/>
        <color rgb="FF000000"/>
        <rFont val="Book Antiqua"/>
        <family val="0"/>
        <charset val="1"/>
      </rPr>
      <t xml:space="preserve">Flamboyant tree</t>
    </r>
    <r>
      <rPr>
        <sz val="11"/>
        <color rgb="FF000000"/>
        <rFont val="Book Antiqua"/>
        <family val="0"/>
        <charset val="1"/>
      </rPr>
      <t xml:space="preserve"> 1</t>
    </r>
  </si>
  <si>
    <t xml:space="preserve">ALB8COF2</t>
  </si>
  <si>
    <t xml:space="preserve">ALB8COF3</t>
  </si>
  <si>
    <t xml:space="preserve">ALB9</t>
  </si>
  <si>
    <t xml:space="preserve">ALB9COF1</t>
  </si>
  <si>
    <t xml:space="preserve">0° 37′ 30.7″ N</t>
  </si>
  <si>
    <t xml:space="preserve">31° 28′ 32″ E</t>
  </si>
  <si>
    <r>
      <rPr>
        <i val="true"/>
        <sz val="11"/>
        <color rgb="FF000000"/>
        <rFont val="Book Antiqua"/>
        <family val="0"/>
        <charset val="1"/>
      </rPr>
      <t xml:space="preserve">Artocarpus heterophyllus </t>
    </r>
    <r>
      <rPr>
        <sz val="11"/>
        <color rgb="FF000000"/>
        <rFont val="Book Antiqua"/>
        <family val="0"/>
        <charset val="1"/>
      </rPr>
      <t xml:space="preserve">1, </t>
    </r>
    <r>
      <rPr>
        <i val="true"/>
        <sz val="11"/>
        <color rgb="FF000000"/>
        <rFont val="Book Antiqua"/>
        <family val="0"/>
        <charset val="1"/>
      </rPr>
      <t xml:space="preserve">Melia azadirachta</t>
    </r>
    <r>
      <rPr>
        <sz val="11"/>
        <color rgb="FF000000"/>
        <rFont val="Book Antiqua"/>
        <family val="0"/>
        <charset val="1"/>
      </rPr>
      <t xml:space="preserve"> 4, </t>
    </r>
    <r>
      <rPr>
        <i val="true"/>
        <sz val="11"/>
        <color rgb="FF000000"/>
        <rFont val="Book Antiqua"/>
        <family val="0"/>
        <charset val="1"/>
      </rPr>
      <t xml:space="preserve">Sapium ellipticum</t>
    </r>
    <r>
      <rPr>
        <sz val="11"/>
        <color rgb="FF000000"/>
        <rFont val="Book Antiqua"/>
        <family val="0"/>
        <charset val="1"/>
      </rPr>
      <t xml:space="preserve"> 1</t>
    </r>
  </si>
  <si>
    <t xml:space="preserve">ALB9COF2</t>
  </si>
  <si>
    <t xml:space="preserve">ALB9COF3</t>
  </si>
  <si>
    <t xml:space="preserve">ALB10</t>
  </si>
  <si>
    <t xml:space="preserve">ALB10COF1</t>
  </si>
  <si>
    <t xml:space="preserve">0° 37′ 30.6″ N</t>
  </si>
  <si>
    <t xml:space="preserve">31° 28′ 26″ E</t>
  </si>
  <si>
    <r>
      <rPr>
        <i val="true"/>
        <sz val="11"/>
        <color rgb="FF000000"/>
        <rFont val="Book Antiqua"/>
        <family val="0"/>
        <charset val="1"/>
      </rPr>
      <t xml:space="preserve">Melia azadirachta </t>
    </r>
    <r>
      <rPr>
        <sz val="11"/>
        <color rgb="FF000000"/>
        <rFont val="Book Antiqua"/>
        <family val="0"/>
        <charset val="1"/>
      </rPr>
      <t xml:space="preserve">5, </t>
    </r>
    <r>
      <rPr>
        <i val="true"/>
        <sz val="11"/>
        <color rgb="FF000000"/>
        <rFont val="Book Antiqua"/>
        <family val="0"/>
        <charset val="1"/>
      </rPr>
      <t xml:space="preserve">Spathodea campanulata</t>
    </r>
    <r>
      <rPr>
        <sz val="11"/>
        <color rgb="FF000000"/>
        <rFont val="Book Antiqua"/>
        <family val="0"/>
        <charset val="1"/>
      </rPr>
      <t xml:space="preserve"> 1, </t>
    </r>
    <r>
      <rPr>
        <i val="true"/>
        <sz val="11"/>
        <color rgb="FF000000"/>
        <rFont val="Book Antiqua"/>
        <family val="0"/>
        <charset val="1"/>
      </rPr>
      <t xml:space="preserve">Markhamia lutea </t>
    </r>
    <r>
      <rPr>
        <sz val="11"/>
        <color rgb="FF000000"/>
        <rFont val="Book Antiqua"/>
        <family val="0"/>
        <charset val="1"/>
      </rPr>
      <t xml:space="preserve">1</t>
    </r>
  </si>
  <si>
    <t xml:space="preserve">ALB10COF2</t>
  </si>
  <si>
    <t xml:space="preserve">ALB10COF3</t>
  </si>
  <si>
    <t xml:space="preserve">Artocarpus heterophyllus</t>
  </si>
  <si>
    <t xml:space="preserve">JAC6</t>
  </si>
  <si>
    <t xml:space="preserve">JAC6COF1</t>
  </si>
  <si>
    <t xml:space="preserve">0° 37′ 29.2″ N</t>
  </si>
  <si>
    <t xml:space="preserve">31° 28′ 34.5″ E</t>
  </si>
  <si>
    <r>
      <rPr>
        <i val="true"/>
        <sz val="11"/>
        <color rgb="FF000000"/>
        <rFont val="Book Antiqua"/>
        <family val="0"/>
        <charset val="1"/>
      </rPr>
      <t xml:space="preserve">Melia azadirachta </t>
    </r>
    <r>
      <rPr>
        <sz val="11"/>
        <color rgb="FF000000"/>
        <rFont val="Book Antiqua"/>
        <family val="0"/>
        <charset val="1"/>
      </rPr>
      <t xml:space="preserve">2, </t>
    </r>
    <r>
      <rPr>
        <i val="true"/>
        <sz val="11"/>
        <color rgb="FF000000"/>
        <rFont val="Book Antiqua"/>
        <family val="0"/>
        <charset val="1"/>
      </rPr>
      <t xml:space="preserve">Ficus exasperata</t>
    </r>
    <r>
      <rPr>
        <sz val="11"/>
        <color rgb="FF000000"/>
        <rFont val="Book Antiqua"/>
        <family val="0"/>
        <charset val="1"/>
      </rPr>
      <t xml:space="preserve"> 1</t>
    </r>
  </si>
  <si>
    <t xml:space="preserve">JAC6COF2</t>
  </si>
  <si>
    <t xml:space="preserve">JAC6COF3</t>
  </si>
  <si>
    <t xml:space="preserve">JAC7</t>
  </si>
  <si>
    <t xml:space="preserve">JAC7COF1</t>
  </si>
  <si>
    <r>
      <rPr>
        <i val="true"/>
        <sz val="11"/>
        <color rgb="FF000000"/>
        <rFont val="Book Antiqua"/>
        <family val="0"/>
        <charset val="1"/>
      </rPr>
      <t xml:space="preserve">Spathodea campanulata</t>
    </r>
    <r>
      <rPr>
        <sz val="11"/>
        <color rgb="FF000000"/>
        <rFont val="Book Antiqua"/>
        <family val="0"/>
        <charset val="1"/>
      </rPr>
      <t xml:space="preserve"> 1, </t>
    </r>
    <r>
      <rPr>
        <i val="true"/>
        <sz val="11"/>
        <color rgb="FF000000"/>
        <rFont val="Book Antiqua"/>
        <family val="0"/>
        <charset val="1"/>
      </rPr>
      <t xml:space="preserve">Albizia coriaria</t>
    </r>
    <r>
      <rPr>
        <sz val="11"/>
        <color rgb="FF000000"/>
        <rFont val="Book Antiqua"/>
        <family val="0"/>
        <charset val="1"/>
      </rPr>
      <t xml:space="preserve"> 1, </t>
    </r>
    <r>
      <rPr>
        <i val="true"/>
        <sz val="11"/>
        <color rgb="FF000000"/>
        <rFont val="Book Antiqua"/>
        <family val="0"/>
        <charset val="1"/>
      </rPr>
      <t xml:space="preserve">Persea americana</t>
    </r>
    <r>
      <rPr>
        <sz val="11"/>
        <color rgb="FF000000"/>
        <rFont val="Book Antiqua"/>
        <family val="0"/>
        <charset val="1"/>
      </rPr>
      <t xml:space="preserve"> 1</t>
    </r>
  </si>
  <si>
    <t xml:space="preserve">JAC7COF2</t>
  </si>
  <si>
    <t xml:space="preserve">JAC7COF3</t>
  </si>
  <si>
    <t xml:space="preserve">JAC14</t>
  </si>
  <si>
    <t xml:space="preserve">JAC14COF1</t>
  </si>
  <si>
    <t xml:space="preserve">0° 37′ 26.5″ N</t>
  </si>
  <si>
    <t xml:space="preserve">31° 27′ 58.5″ E</t>
  </si>
  <si>
    <r>
      <rPr>
        <i val="true"/>
        <sz val="11"/>
        <color rgb="FF000000"/>
        <rFont val="Book Antiqua"/>
        <family val="0"/>
        <charset val="1"/>
      </rPr>
      <t xml:space="preserve">Mangifera indica</t>
    </r>
    <r>
      <rPr>
        <sz val="11"/>
        <color rgb="FF000000"/>
        <rFont val="Book Antiqua"/>
        <family val="0"/>
        <charset val="1"/>
      </rPr>
      <t xml:space="preserve"> 1, </t>
    </r>
    <r>
      <rPr>
        <i val="true"/>
        <sz val="11"/>
        <color rgb="FF000000"/>
        <rFont val="Book Antiqua"/>
        <family val="0"/>
        <charset val="1"/>
      </rPr>
      <t xml:space="preserve">Persea americana</t>
    </r>
    <r>
      <rPr>
        <sz val="11"/>
        <color rgb="FF000000"/>
        <rFont val="Book Antiqua"/>
        <family val="0"/>
        <charset val="1"/>
      </rPr>
      <t xml:space="preserve"> 1, </t>
    </r>
    <r>
      <rPr>
        <i val="true"/>
        <sz val="11"/>
        <color rgb="FF000000"/>
        <rFont val="Book Antiqua"/>
        <family val="0"/>
        <charset val="1"/>
      </rPr>
      <t xml:space="preserve">Grevillea robusta</t>
    </r>
    <r>
      <rPr>
        <sz val="11"/>
        <color rgb="FF000000"/>
        <rFont val="Book Antiqua"/>
        <family val="0"/>
        <charset val="1"/>
      </rPr>
      <t xml:space="preserve"> 2, </t>
    </r>
    <r>
      <rPr>
        <i val="true"/>
        <sz val="11"/>
        <color rgb="FF000000"/>
        <rFont val="Book Antiqua"/>
        <family val="0"/>
        <charset val="1"/>
      </rPr>
      <t xml:space="preserve">Psidium guajava </t>
    </r>
    <r>
      <rPr>
        <sz val="11"/>
        <color rgb="FF000000"/>
        <rFont val="Book Antiqua"/>
        <family val="0"/>
        <charset val="1"/>
      </rPr>
      <t xml:space="preserve">1</t>
    </r>
  </si>
  <si>
    <t xml:space="preserve">JAC14COF2</t>
  </si>
  <si>
    <t xml:space="preserve">JAC14COF3</t>
  </si>
  <si>
    <t xml:space="preserve">JAC15</t>
  </si>
  <si>
    <t xml:space="preserve">JAC15COF1</t>
  </si>
  <si>
    <t xml:space="preserve">0° 37′ 25.7″ N</t>
  </si>
  <si>
    <t xml:space="preserve">31° 27′ 55.2″ E</t>
  </si>
  <si>
    <r>
      <rPr>
        <i val="true"/>
        <sz val="11"/>
        <color rgb="FF000000"/>
        <rFont val="Book Antiqua"/>
        <family val="0"/>
        <charset val="1"/>
      </rPr>
      <t xml:space="preserve">Markhamia lutea</t>
    </r>
    <r>
      <rPr>
        <sz val="11"/>
        <color rgb="FF000000"/>
        <rFont val="Book Antiqua"/>
        <family val="0"/>
        <charset val="1"/>
      </rPr>
      <t xml:space="preserve"> 1, </t>
    </r>
    <r>
      <rPr>
        <i val="true"/>
        <sz val="11"/>
        <color rgb="FF000000"/>
        <rFont val="Book Antiqua"/>
        <family val="0"/>
        <charset val="1"/>
      </rPr>
      <t xml:space="preserve">Ficus exasperata</t>
    </r>
    <r>
      <rPr>
        <sz val="11"/>
        <color rgb="FF000000"/>
        <rFont val="Book Antiqua"/>
        <family val="0"/>
        <charset val="1"/>
      </rPr>
      <t xml:space="preserve"> 1, </t>
    </r>
    <r>
      <rPr>
        <i val="true"/>
        <sz val="11"/>
        <color rgb="FF000000"/>
        <rFont val="Book Antiqua"/>
        <family val="0"/>
        <charset val="1"/>
      </rPr>
      <t xml:space="preserve">Artocarpus heterophyllus</t>
    </r>
    <r>
      <rPr>
        <sz val="11"/>
        <color rgb="FF000000"/>
        <rFont val="Book Antiqua"/>
        <family val="0"/>
        <charset val="1"/>
      </rPr>
      <t xml:space="preserve"> 2, </t>
    </r>
    <r>
      <rPr>
        <i val="true"/>
        <sz val="11"/>
        <color rgb="FF000000"/>
        <rFont val="Book Antiqua"/>
        <family val="0"/>
        <charset val="1"/>
      </rPr>
      <t xml:space="preserve">Persea americana</t>
    </r>
    <r>
      <rPr>
        <sz val="11"/>
        <color rgb="FF000000"/>
        <rFont val="Book Antiqua"/>
        <family val="0"/>
        <charset val="1"/>
      </rPr>
      <t xml:space="preserve"> 1</t>
    </r>
  </si>
  <si>
    <t xml:space="preserve">JAC15COF2</t>
  </si>
  <si>
    <t xml:space="preserve">JAC15COF3</t>
  </si>
  <si>
    <t xml:space="preserve">Persea americana</t>
  </si>
  <si>
    <t xml:space="preserve">AVO5</t>
  </si>
  <si>
    <t xml:space="preserve">AVO5COF1</t>
  </si>
  <si>
    <t xml:space="preserve">0° 37′ 30.5″ N</t>
  </si>
  <si>
    <t xml:space="preserve">31° 28′ 35″ E</t>
  </si>
  <si>
    <r>
      <rPr>
        <i val="true"/>
        <sz val="11"/>
        <color rgb="FF000000"/>
        <rFont val="Book Antiqua"/>
        <family val="0"/>
        <charset val="1"/>
      </rPr>
      <t xml:space="preserve">Spathodea campanulata </t>
    </r>
    <r>
      <rPr>
        <sz val="11"/>
        <color rgb="FF000000"/>
        <rFont val="Book Antiqua"/>
        <family val="0"/>
        <charset val="1"/>
      </rPr>
      <t xml:space="preserve">2, </t>
    </r>
    <r>
      <rPr>
        <i val="true"/>
        <sz val="11"/>
        <color rgb="FF000000"/>
        <rFont val="Book Antiqua"/>
        <family val="0"/>
        <charset val="1"/>
      </rPr>
      <t xml:space="preserve">Persea americana</t>
    </r>
    <r>
      <rPr>
        <sz val="11"/>
        <color rgb="FF000000"/>
        <rFont val="Book Antiqua"/>
        <family val="0"/>
        <charset val="1"/>
      </rPr>
      <t xml:space="preserve"> 1</t>
    </r>
  </si>
  <si>
    <t xml:space="preserve">AVO5COF2</t>
  </si>
  <si>
    <t xml:space="preserve">AVO5COF3</t>
  </si>
  <si>
    <t xml:space="preserve">AVO6</t>
  </si>
  <si>
    <t xml:space="preserve">AVO6COF1</t>
  </si>
  <si>
    <t xml:space="preserve">0° 37′ 29.7″ N</t>
  </si>
  <si>
    <t xml:space="preserve">31° 28′ 33.9″ E</t>
  </si>
  <si>
    <r>
      <rPr>
        <i val="true"/>
        <sz val="11"/>
        <color rgb="FF000000"/>
        <rFont val="Book Antiqua"/>
        <family val="0"/>
        <charset val="1"/>
      </rPr>
      <t xml:space="preserve">Albizia coriaria</t>
    </r>
    <r>
      <rPr>
        <sz val="11"/>
        <color rgb="FF000000"/>
        <rFont val="Book Antiqua"/>
        <family val="0"/>
        <charset val="1"/>
      </rPr>
      <t xml:space="preserve"> 1, </t>
    </r>
    <r>
      <rPr>
        <i val="true"/>
        <sz val="11"/>
        <color rgb="FF000000"/>
        <rFont val="Book Antiqua"/>
        <family val="0"/>
        <charset val="1"/>
      </rPr>
      <t xml:space="preserve">Maesopsis eminii</t>
    </r>
    <r>
      <rPr>
        <sz val="11"/>
        <color rgb="FF000000"/>
        <rFont val="Book Antiqua"/>
        <family val="0"/>
        <charset val="1"/>
      </rPr>
      <t xml:space="preserve"> 1, </t>
    </r>
    <r>
      <rPr>
        <i val="true"/>
        <sz val="11"/>
        <color rgb="FF000000"/>
        <rFont val="Book Antiqua"/>
        <family val="0"/>
        <charset val="1"/>
      </rPr>
      <t xml:space="preserve">Artocarpus heterophyllus</t>
    </r>
    <r>
      <rPr>
        <sz val="11"/>
        <color rgb="FF000000"/>
        <rFont val="Book Antiqua"/>
        <family val="0"/>
        <charset val="1"/>
      </rPr>
      <t xml:space="preserve"> 1, </t>
    </r>
    <r>
      <rPr>
        <i val="true"/>
        <sz val="11"/>
        <color rgb="FF000000"/>
        <rFont val="Book Antiqua"/>
        <family val="0"/>
        <charset val="1"/>
      </rPr>
      <t xml:space="preserve">Spathodea campanulata </t>
    </r>
    <r>
      <rPr>
        <sz val="11"/>
        <color rgb="FF000000"/>
        <rFont val="Book Antiqua"/>
        <family val="0"/>
        <charset val="1"/>
      </rPr>
      <t xml:space="preserve">1</t>
    </r>
  </si>
  <si>
    <t xml:space="preserve">AVO6COF2</t>
  </si>
  <si>
    <t xml:space="preserve">AVO6COF3</t>
  </si>
  <si>
    <t xml:space="preserve">AVO10</t>
  </si>
  <si>
    <t xml:space="preserve">AVO10COF1</t>
  </si>
  <si>
    <t xml:space="preserve">0° 37′ 26.1″ N</t>
  </si>
  <si>
    <t xml:space="preserve">31° 27′ 55.6″ E</t>
  </si>
  <si>
    <r>
      <rPr>
        <i val="true"/>
        <sz val="11"/>
        <color rgb="FF000000"/>
        <rFont val="Book Antiqua"/>
        <family val="0"/>
        <charset val="1"/>
      </rPr>
      <t xml:space="preserve">Ficus exasperata</t>
    </r>
    <r>
      <rPr>
        <sz val="11"/>
        <color rgb="FF000000"/>
        <rFont val="Book Antiqua"/>
        <family val="0"/>
        <charset val="1"/>
      </rPr>
      <t xml:space="preserve"> 1, </t>
    </r>
    <r>
      <rPr>
        <i val="true"/>
        <sz val="11"/>
        <color rgb="FF000000"/>
        <rFont val="Book Antiqua"/>
        <family val="0"/>
        <charset val="1"/>
      </rPr>
      <t xml:space="preserve">Artocarpus heterophyllus</t>
    </r>
    <r>
      <rPr>
        <sz val="11"/>
        <color rgb="FF000000"/>
        <rFont val="Book Antiqua"/>
        <family val="0"/>
        <charset val="1"/>
      </rPr>
      <t xml:space="preserve"> 1</t>
    </r>
  </si>
  <si>
    <t xml:space="preserve">AVO10COF2</t>
  </si>
  <si>
    <t xml:space="preserve">AVO10COF3</t>
  </si>
  <si>
    <t xml:space="preserve">AVO11</t>
  </si>
  <si>
    <t xml:space="preserve">AVO11COF1</t>
  </si>
  <si>
    <t xml:space="preserve">Clone H</t>
  </si>
  <si>
    <r>
      <rPr>
        <i val="true"/>
        <sz val="11"/>
        <color rgb="FF000000"/>
        <rFont val="Book Antiqua"/>
        <family val="0"/>
        <charset val="1"/>
      </rPr>
      <t xml:space="preserve">Markhamia lutea</t>
    </r>
    <r>
      <rPr>
        <sz val="11"/>
        <color rgb="FF000000"/>
        <rFont val="Book Antiqua"/>
        <family val="0"/>
        <charset val="1"/>
      </rPr>
      <t xml:space="preserve"> 1, </t>
    </r>
    <r>
      <rPr>
        <i val="true"/>
        <sz val="11"/>
        <color rgb="FF000000"/>
        <rFont val="Book Antiqua"/>
        <family val="0"/>
        <charset val="1"/>
      </rPr>
      <t xml:space="preserve">Artocarpus heterophyllus</t>
    </r>
    <r>
      <rPr>
        <sz val="11"/>
        <color rgb="FF000000"/>
        <rFont val="Book Antiqua"/>
        <family val="0"/>
        <charset val="1"/>
      </rPr>
      <t xml:space="preserve"> 2,</t>
    </r>
    <r>
      <rPr>
        <i val="true"/>
        <sz val="11"/>
        <color rgb="FF000000"/>
        <rFont val="Book Antiqua"/>
        <family val="0"/>
        <charset val="1"/>
      </rPr>
      <t xml:space="preserve"> Mangifera indica </t>
    </r>
    <r>
      <rPr>
        <sz val="11"/>
        <color rgb="FF000000"/>
        <rFont val="Book Antiqua"/>
        <family val="0"/>
        <charset val="1"/>
      </rPr>
      <t xml:space="preserve">1, </t>
    </r>
    <r>
      <rPr>
        <i val="true"/>
        <sz val="11"/>
        <color rgb="FF000000"/>
        <rFont val="Book Antiqua"/>
        <family val="0"/>
        <charset val="1"/>
      </rPr>
      <t xml:space="preserve">Persea americana</t>
    </r>
    <r>
      <rPr>
        <sz val="11"/>
        <color rgb="FF000000"/>
        <rFont val="Book Antiqua"/>
        <family val="0"/>
        <charset val="1"/>
      </rPr>
      <t xml:space="preserve"> 1</t>
    </r>
  </si>
  <si>
    <t xml:space="preserve">AVO11COF2</t>
  </si>
  <si>
    <t xml:space="preserve">Clone D</t>
  </si>
  <si>
    <t xml:space="preserve">AVO11COF3</t>
  </si>
  <si>
    <t xml:space="preserve">FIC3</t>
  </si>
  <si>
    <t xml:space="preserve">Kitemba</t>
  </si>
  <si>
    <t xml:space="preserve">FIC3COF1</t>
  </si>
  <si>
    <t xml:space="preserve">0° 46′ 30.9″ N</t>
  </si>
  <si>
    <t xml:space="preserve">31° 30′ 37.5″ E</t>
  </si>
  <si>
    <t xml:space="preserve">FIC3COF2</t>
  </si>
  <si>
    <t xml:space="preserve">FIC3COF3</t>
  </si>
  <si>
    <t xml:space="preserve">FIC10</t>
  </si>
  <si>
    <t xml:space="preserve">FIC10COF1</t>
  </si>
  <si>
    <t xml:space="preserve">0° 37′ 52.5″ N</t>
  </si>
  <si>
    <t xml:space="preserve">31° 28′ 3.8″ E</t>
  </si>
  <si>
    <t xml:space="preserve">FIC10COF2</t>
  </si>
  <si>
    <t xml:space="preserve">FIC10COF3</t>
  </si>
  <si>
    <t xml:space="preserve">FIC11</t>
  </si>
  <si>
    <t xml:space="preserve">FIC11COF1</t>
  </si>
  <si>
    <t xml:space="preserve">0° 37′ 52.4″ N</t>
  </si>
  <si>
    <t xml:space="preserve">31° 28′ 4.8″ E</t>
  </si>
  <si>
    <r>
      <rPr>
        <i val="true"/>
        <sz val="11"/>
        <color rgb="FF000000"/>
        <rFont val="Book Antiqua"/>
        <family val="0"/>
        <charset val="1"/>
      </rPr>
      <t xml:space="preserve">Ficus natalensis </t>
    </r>
    <r>
      <rPr>
        <sz val="11"/>
        <color rgb="FF000000"/>
        <rFont val="Book Antiqua"/>
        <family val="0"/>
        <charset val="1"/>
      </rPr>
      <t xml:space="preserve">2, </t>
    </r>
    <r>
      <rPr>
        <i val="true"/>
        <sz val="11"/>
        <color rgb="FF000000"/>
        <rFont val="Book Antiqua"/>
        <family val="0"/>
        <charset val="1"/>
      </rPr>
      <t xml:space="preserve">Albizia zygia</t>
    </r>
    <r>
      <rPr>
        <sz val="11"/>
        <color rgb="FF000000"/>
        <rFont val="Book Antiqua"/>
        <family val="0"/>
        <charset val="1"/>
      </rPr>
      <t xml:space="preserve"> 2, </t>
    </r>
    <r>
      <rPr>
        <i val="true"/>
        <sz val="11"/>
        <color rgb="FF000000"/>
        <rFont val="Book Antiqua"/>
        <family val="0"/>
        <charset val="1"/>
      </rPr>
      <t xml:space="preserve">Accasia spp</t>
    </r>
    <r>
      <rPr>
        <sz val="11"/>
        <color rgb="FF000000"/>
        <rFont val="Book Antiqua"/>
        <family val="0"/>
        <charset val="1"/>
      </rPr>
      <t xml:space="preserve"> 1</t>
    </r>
  </si>
  <si>
    <t xml:space="preserve">FIC11COF2</t>
  </si>
  <si>
    <t xml:space="preserve">FIC11COF3</t>
  </si>
  <si>
    <t xml:space="preserve">FIC12</t>
  </si>
  <si>
    <t xml:space="preserve">FIC12COF1</t>
  </si>
  <si>
    <t xml:space="preserve">0° 37′ 51.5″ N</t>
  </si>
  <si>
    <t xml:space="preserve">31° 28′ 6.4″ E</t>
  </si>
  <si>
    <r>
      <rPr>
        <i val="true"/>
        <sz val="11"/>
        <color rgb="FF000000"/>
        <rFont val="Book Antiqua"/>
        <family val="0"/>
        <charset val="1"/>
      </rPr>
      <t xml:space="preserve">Ficus natalensis</t>
    </r>
    <r>
      <rPr>
        <sz val="11"/>
        <color rgb="FF000000"/>
        <rFont val="Book Antiqua"/>
        <family val="0"/>
        <charset val="1"/>
      </rPr>
      <t xml:space="preserve"> 2,</t>
    </r>
    <r>
      <rPr>
        <i val="true"/>
        <sz val="11"/>
        <color rgb="FF000000"/>
        <rFont val="Book Antiqua"/>
        <family val="0"/>
        <charset val="1"/>
      </rPr>
      <t xml:space="preserve"> Sapium ellipticum</t>
    </r>
    <r>
      <rPr>
        <sz val="11"/>
        <color rgb="FF000000"/>
        <rFont val="Book Antiqua"/>
        <family val="0"/>
        <charset val="1"/>
      </rPr>
      <t xml:space="preserve"> 2</t>
    </r>
  </si>
  <si>
    <t xml:space="preserve">FIC12COF2</t>
  </si>
  <si>
    <t xml:space="preserve">FIC12COF3</t>
  </si>
  <si>
    <t xml:space="preserve">ALB4</t>
  </si>
  <si>
    <t xml:space="preserve">ALB4COF1</t>
  </si>
  <si>
    <t xml:space="preserve">0° 37′ 53.5″ N</t>
  </si>
  <si>
    <t xml:space="preserve">31° 29′ 6.4″ E</t>
  </si>
  <si>
    <t xml:space="preserve">ALB4COF2</t>
  </si>
  <si>
    <t xml:space="preserve">ALB4COF3</t>
  </si>
  <si>
    <t xml:space="preserve">ALB17</t>
  </si>
  <si>
    <t xml:space="preserve">ALB17COF1</t>
  </si>
  <si>
    <t xml:space="preserve">0° 38′ 56.8″ N</t>
  </si>
  <si>
    <t xml:space="preserve">31° 26′ 51.3″ E</t>
  </si>
  <si>
    <r>
      <rPr>
        <i val="true"/>
        <sz val="11"/>
        <color rgb="FF000000"/>
        <rFont val="Book Antiqua"/>
        <family val="0"/>
        <charset val="1"/>
      </rPr>
      <t xml:space="preserve">Grevillea robusta </t>
    </r>
    <r>
      <rPr>
        <sz val="11"/>
        <color rgb="FF000000"/>
        <rFont val="Book Antiqua"/>
        <family val="0"/>
        <charset val="1"/>
      </rPr>
      <t xml:space="preserve">1, </t>
    </r>
    <r>
      <rPr>
        <i val="true"/>
        <sz val="11"/>
        <color rgb="FF000000"/>
        <rFont val="Book Antiqua"/>
        <family val="0"/>
        <charset val="1"/>
      </rPr>
      <t xml:space="preserve">Ficus natalensis</t>
    </r>
    <r>
      <rPr>
        <sz val="11"/>
        <color rgb="FF000000"/>
        <rFont val="Book Antiqua"/>
        <family val="0"/>
        <charset val="1"/>
      </rPr>
      <t xml:space="preserve"> 1</t>
    </r>
  </si>
  <si>
    <t xml:space="preserve">ALB17COF2</t>
  </si>
  <si>
    <t xml:space="preserve">ALB17COF3</t>
  </si>
  <si>
    <t xml:space="preserve">ALB18</t>
  </si>
  <si>
    <t xml:space="preserve">ALB18COF1</t>
  </si>
  <si>
    <t xml:space="preserve">0° 37′ 34.8″ N</t>
  </si>
  <si>
    <t xml:space="preserve">31° 28′ 3.4″ E</t>
  </si>
  <si>
    <t xml:space="preserve">ALB18COF2</t>
  </si>
  <si>
    <t xml:space="preserve">ALB18COF3</t>
  </si>
  <si>
    <t xml:space="preserve">ALB19</t>
  </si>
  <si>
    <t xml:space="preserve">ALB19COF1</t>
  </si>
  <si>
    <t xml:space="preserve">0° 37’ 35.94″ N</t>
  </si>
  <si>
    <t xml:space="preserve">31° 27’ 52.99″ E</t>
  </si>
  <si>
    <t xml:space="preserve">ALB19COF2</t>
  </si>
  <si>
    <t xml:space="preserve">ALB19COF3</t>
  </si>
  <si>
    <t xml:space="preserve">ALB20</t>
  </si>
  <si>
    <t xml:space="preserve">ALB20COF1</t>
  </si>
  <si>
    <t xml:space="preserve">0° 37’ 35.87″ N</t>
  </si>
  <si>
    <t xml:space="preserve">31° 27’ 51.12″ E</t>
  </si>
  <si>
    <r>
      <rPr>
        <i val="true"/>
        <sz val="11"/>
        <color rgb="FF000000"/>
        <rFont val="Book Antiqua"/>
        <family val="0"/>
        <charset val="1"/>
      </rPr>
      <t xml:space="preserve">Antiaris sectaria</t>
    </r>
    <r>
      <rPr>
        <sz val="11"/>
        <color rgb="FF000000"/>
        <rFont val="Book Antiqua"/>
        <family val="0"/>
        <charset val="1"/>
      </rPr>
      <t xml:space="preserve"> 5, </t>
    </r>
    <r>
      <rPr>
        <i val="true"/>
        <sz val="11"/>
        <color rgb="FF000000"/>
        <rFont val="Book Antiqua"/>
        <family val="0"/>
        <charset val="1"/>
      </rPr>
      <t xml:space="preserve">Maesopsis eminii</t>
    </r>
    <r>
      <rPr>
        <sz val="11"/>
        <color rgb="FF000000"/>
        <rFont val="Book Antiqua"/>
        <family val="0"/>
        <charset val="1"/>
      </rPr>
      <t xml:space="preserve"> 3</t>
    </r>
  </si>
  <si>
    <t xml:space="preserve">ALB20COF2</t>
  </si>
  <si>
    <t xml:space="preserve">ALB20COF3</t>
  </si>
  <si>
    <t xml:space="preserve">JAC1</t>
  </si>
  <si>
    <t xml:space="preserve">JAC1COF1</t>
  </si>
  <si>
    <t xml:space="preserve">0° 36′ 60″ N</t>
  </si>
  <si>
    <t xml:space="preserve">31° 28′ 22.2″ E</t>
  </si>
  <si>
    <r>
      <rPr>
        <i val="true"/>
        <sz val="11"/>
        <color rgb="FF000000"/>
        <rFont val="Book Antiqua"/>
        <family val="0"/>
        <charset val="1"/>
      </rPr>
      <t xml:space="preserve">Spathodea campanulata</t>
    </r>
    <r>
      <rPr>
        <sz val="11"/>
        <color rgb="FF000000"/>
        <rFont val="Book Antiqua"/>
        <family val="0"/>
        <charset val="1"/>
      </rPr>
      <t xml:space="preserve"> 1</t>
    </r>
  </si>
  <si>
    <t xml:space="preserve">JAC1COF2</t>
  </si>
  <si>
    <t xml:space="preserve">JAC1COF3</t>
  </si>
  <si>
    <t xml:space="preserve">JAC2</t>
  </si>
  <si>
    <t xml:space="preserve">JAC2COF1</t>
  </si>
  <si>
    <t xml:space="preserve">0° 37′ 1.1″ N</t>
  </si>
  <si>
    <t xml:space="preserve">31° 28′ 24.3″ E</t>
  </si>
  <si>
    <r>
      <rPr>
        <i val="true"/>
        <sz val="11"/>
        <color rgb="FF000000"/>
        <rFont val="Book Antiqua"/>
        <family val="0"/>
        <charset val="1"/>
      </rPr>
      <t xml:space="preserve">Ficus exasperata</t>
    </r>
    <r>
      <rPr>
        <sz val="11"/>
        <color rgb="FF000000"/>
        <rFont val="Book Antiqua"/>
        <family val="0"/>
        <charset val="1"/>
      </rPr>
      <t xml:space="preserve"> 1, </t>
    </r>
    <r>
      <rPr>
        <i val="true"/>
        <sz val="11"/>
        <color rgb="FF000000"/>
        <rFont val="Book Antiqua"/>
        <family val="0"/>
        <charset val="1"/>
      </rPr>
      <t xml:space="preserve">Albizia coriaria</t>
    </r>
    <r>
      <rPr>
        <sz val="11"/>
        <color rgb="FF000000"/>
        <rFont val="Book Antiqua"/>
        <family val="0"/>
        <charset val="1"/>
      </rPr>
      <t xml:space="preserve"> 4, </t>
    </r>
    <r>
      <rPr>
        <i val="true"/>
        <sz val="11"/>
        <color rgb="FF000000"/>
        <rFont val="Book Antiqua"/>
        <family val="0"/>
        <charset val="1"/>
      </rPr>
      <t xml:space="preserve">Mangifera indica</t>
    </r>
    <r>
      <rPr>
        <sz val="11"/>
        <color rgb="FF000000"/>
        <rFont val="Book Antiqua"/>
        <family val="0"/>
        <charset val="1"/>
      </rPr>
      <t xml:space="preserve"> 1, </t>
    </r>
    <r>
      <rPr>
        <i val="true"/>
        <sz val="11"/>
        <color rgb="FF000000"/>
        <rFont val="Book Antiqua"/>
        <family val="0"/>
        <charset val="1"/>
      </rPr>
      <t xml:space="preserve">Spathodea campanulata</t>
    </r>
    <r>
      <rPr>
        <sz val="11"/>
        <color rgb="FF000000"/>
        <rFont val="Book Antiqua"/>
        <family val="0"/>
        <charset val="1"/>
      </rPr>
      <t xml:space="preserve"> 1, </t>
    </r>
    <r>
      <rPr>
        <i val="true"/>
        <sz val="11"/>
        <color rgb="FF000000"/>
        <rFont val="Book Antiqua"/>
        <family val="0"/>
        <charset val="1"/>
      </rPr>
      <t xml:space="preserve">Melia azedarach</t>
    </r>
    <r>
      <rPr>
        <sz val="11"/>
        <color rgb="FF000000"/>
        <rFont val="Book Antiqua"/>
        <family val="0"/>
        <charset val="1"/>
      </rPr>
      <t xml:space="preserve"> 1</t>
    </r>
  </si>
  <si>
    <t xml:space="preserve">JAC2COF2</t>
  </si>
  <si>
    <t xml:space="preserve">JAC2COF3</t>
  </si>
  <si>
    <t xml:space="preserve">JAC3</t>
  </si>
  <si>
    <t xml:space="preserve">JAC3COF1</t>
  </si>
  <si>
    <t xml:space="preserve">0° 37′ 2.5″ N</t>
  </si>
  <si>
    <t xml:space="preserve">31° 28′ 22.4″ E</t>
  </si>
  <si>
    <r>
      <rPr>
        <i val="true"/>
        <sz val="11"/>
        <color rgb="FF000000"/>
        <rFont val="Book Antiqua"/>
        <family val="0"/>
        <charset val="1"/>
      </rPr>
      <t xml:space="preserve">Markhamia lutea</t>
    </r>
    <r>
      <rPr>
        <sz val="11"/>
        <color rgb="FF000000"/>
        <rFont val="Book Antiqua"/>
        <family val="0"/>
        <charset val="1"/>
      </rPr>
      <t xml:space="preserve"> 4, </t>
    </r>
    <r>
      <rPr>
        <i val="true"/>
        <sz val="11"/>
        <color rgb="FF000000"/>
        <rFont val="Book Antiqua"/>
        <family val="0"/>
        <charset val="1"/>
      </rPr>
      <t xml:space="preserve">Artocarpus heterophyllus</t>
    </r>
    <r>
      <rPr>
        <sz val="11"/>
        <color rgb="FF000000"/>
        <rFont val="Book Antiqua"/>
        <family val="0"/>
        <charset val="1"/>
      </rPr>
      <t xml:space="preserve"> 1</t>
    </r>
  </si>
  <si>
    <t xml:space="preserve">JAC3COF2</t>
  </si>
  <si>
    <t xml:space="preserve">JAC3COF3</t>
  </si>
  <si>
    <t xml:space="preserve">JAC5</t>
  </si>
  <si>
    <t xml:space="preserve">JAC5COF1</t>
  </si>
  <si>
    <t xml:space="preserve">0° 37′ 5″ N</t>
  </si>
  <si>
    <t xml:space="preserve">31° 28′ 21″ E</t>
  </si>
  <si>
    <r>
      <rPr>
        <sz val="11"/>
        <color rgb="FF000000"/>
        <rFont val="Book Antiqua"/>
        <family val="0"/>
        <charset val="1"/>
      </rPr>
      <t xml:space="preserve">Spathodea campanulata 1, </t>
    </r>
    <r>
      <rPr>
        <i val="true"/>
        <sz val="11"/>
        <color rgb="FF000000"/>
        <rFont val="Book Antiqua"/>
        <family val="0"/>
        <charset val="1"/>
      </rPr>
      <t xml:space="preserve">Melia  2</t>
    </r>
  </si>
  <si>
    <t xml:space="preserve">JAC5COF2</t>
  </si>
  <si>
    <t xml:space="preserve">JAC5COF3</t>
  </si>
  <si>
    <t xml:space="preserve">AVO3</t>
  </si>
  <si>
    <t xml:space="preserve">AVO3COF1</t>
  </si>
  <si>
    <t xml:space="preserve">0° 36′ 57.7″ N</t>
  </si>
  <si>
    <t xml:space="preserve">31° 28′ 22.5″ E</t>
  </si>
  <si>
    <t xml:space="preserve">Persea americana 1, Albizia chinensis 3</t>
  </si>
  <si>
    <t xml:space="preserve">AVO3COF2</t>
  </si>
  <si>
    <t xml:space="preserve">AVO3COF3</t>
  </si>
  <si>
    <t xml:space="preserve">AVO4</t>
  </si>
  <si>
    <t xml:space="preserve">AVO4COF1</t>
  </si>
  <si>
    <t xml:space="preserve">0° 37′ 1.3″ N</t>
  </si>
  <si>
    <t xml:space="preserve">31° 28′ 22″ E</t>
  </si>
  <si>
    <r>
      <rPr>
        <i val="true"/>
        <sz val="11"/>
        <color rgb="FF000000"/>
        <rFont val="Book Antiqua"/>
        <family val="0"/>
        <charset val="1"/>
      </rPr>
      <t xml:space="preserve">Markhamia lutea </t>
    </r>
    <r>
      <rPr>
        <sz val="11"/>
        <color rgb="FF000000"/>
        <rFont val="Book Antiqua"/>
        <family val="0"/>
        <charset val="1"/>
      </rPr>
      <t xml:space="preserve">2, </t>
    </r>
    <r>
      <rPr>
        <i val="true"/>
        <sz val="11"/>
        <color rgb="FF000000"/>
        <rFont val="Book Antiqua"/>
        <family val="0"/>
        <charset val="1"/>
      </rPr>
      <t xml:space="preserve">Artocarpus heterophyllus</t>
    </r>
    <r>
      <rPr>
        <sz val="11"/>
        <color rgb="FF000000"/>
        <rFont val="Book Antiqua"/>
        <family val="0"/>
        <charset val="1"/>
      </rPr>
      <t xml:space="preserve"> 3</t>
    </r>
  </si>
  <si>
    <t xml:space="preserve">AVO4COF2</t>
  </si>
  <si>
    <t xml:space="preserve">AVO4COF3</t>
  </si>
  <si>
    <t xml:space="preserve">AVO12</t>
  </si>
  <si>
    <t xml:space="preserve">AVO12COF1</t>
  </si>
  <si>
    <t xml:space="preserve">0° 37' 33.02″ N</t>
  </si>
  <si>
    <t xml:space="preserve">31° 27' 56.81″ E</t>
  </si>
  <si>
    <r>
      <rPr>
        <i val="true"/>
        <sz val="11"/>
        <color rgb="FF000000"/>
        <rFont val="Book Antiqua"/>
        <family val="0"/>
        <charset val="1"/>
      </rPr>
      <t xml:space="preserve">Markhamia lutea </t>
    </r>
    <r>
      <rPr>
        <sz val="11"/>
        <color rgb="FF000000"/>
        <rFont val="Book Antiqua"/>
        <family val="0"/>
        <charset val="1"/>
      </rPr>
      <t xml:space="preserve">6, </t>
    </r>
    <r>
      <rPr>
        <i val="true"/>
        <sz val="11"/>
        <color rgb="FF000000"/>
        <rFont val="Book Antiqua"/>
        <family val="0"/>
        <charset val="1"/>
      </rPr>
      <t xml:space="preserve">Grevillea robusta</t>
    </r>
    <r>
      <rPr>
        <sz val="11"/>
        <color rgb="FF000000"/>
        <rFont val="Book Antiqua"/>
        <family val="0"/>
        <charset val="1"/>
      </rPr>
      <t xml:space="preserve"> 1,</t>
    </r>
    <r>
      <rPr>
        <i val="true"/>
        <sz val="11"/>
        <color rgb="FF000000"/>
        <rFont val="Book Antiqua"/>
        <family val="0"/>
        <charset val="1"/>
      </rPr>
      <t xml:space="preserve"> Spathodea campanulata</t>
    </r>
    <r>
      <rPr>
        <sz val="11"/>
        <color rgb="FF000000"/>
        <rFont val="Book Antiqua"/>
        <family val="0"/>
        <charset val="1"/>
      </rPr>
      <t xml:space="preserve"> 3, </t>
    </r>
    <r>
      <rPr>
        <i val="true"/>
        <sz val="11"/>
        <color rgb="FF000000"/>
        <rFont val="Book Antiqua"/>
        <family val="0"/>
        <charset val="1"/>
      </rPr>
      <t xml:space="preserve">Psidium guajava </t>
    </r>
    <r>
      <rPr>
        <sz val="11"/>
        <color rgb="FF000000"/>
        <rFont val="Book Antiqua"/>
        <family val="0"/>
        <charset val="1"/>
      </rPr>
      <t xml:space="preserve">1</t>
    </r>
  </si>
  <si>
    <t xml:space="preserve">AVO12COF2</t>
  </si>
  <si>
    <t xml:space="preserve">AVO12COF3</t>
  </si>
  <si>
    <t xml:space="preserve">AVO13</t>
  </si>
  <si>
    <t xml:space="preserve">AVO13COF1</t>
  </si>
  <si>
    <t xml:space="preserve">0° 37′ 3.2″ N</t>
  </si>
  <si>
    <t xml:space="preserve">31° 28′ 25.1″ E</t>
  </si>
  <si>
    <t xml:space="preserve">AVO13COF2</t>
  </si>
  <si>
    <t xml:space="preserve">AVO13COF3</t>
  </si>
  <si>
    <t xml:space="preserve">FIC6</t>
  </si>
  <si>
    <t xml:space="preserve">Kyamutuma</t>
  </si>
  <si>
    <t xml:space="preserve">FIC6COF1</t>
  </si>
  <si>
    <t xml:space="preserve">0° 38′ 17.1″ N</t>
  </si>
  <si>
    <t xml:space="preserve">31° 27′ 44.9″ E</t>
  </si>
  <si>
    <r>
      <rPr>
        <i val="true"/>
        <sz val="11"/>
        <color rgb="FF000000"/>
        <rFont val="Book Antiqua"/>
        <family val="0"/>
        <charset val="1"/>
      </rPr>
      <t xml:space="preserve">Albizia coriaria</t>
    </r>
    <r>
      <rPr>
        <sz val="11"/>
        <color rgb="FF000000"/>
        <rFont val="Book Antiqua"/>
        <family val="0"/>
        <charset val="1"/>
      </rPr>
      <t xml:space="preserve"> 3, </t>
    </r>
    <r>
      <rPr>
        <i val="true"/>
        <sz val="11"/>
        <color rgb="FF000000"/>
        <rFont val="Book Antiqua"/>
        <family val="0"/>
        <charset val="1"/>
      </rPr>
      <t xml:space="preserve">Flamboyant tree </t>
    </r>
    <r>
      <rPr>
        <sz val="11"/>
        <color rgb="FF000000"/>
        <rFont val="Book Antiqua"/>
        <family val="0"/>
        <charset val="1"/>
      </rPr>
      <t xml:space="preserve">2</t>
    </r>
  </si>
  <si>
    <t xml:space="preserve">FIC6COF2</t>
  </si>
  <si>
    <t xml:space="preserve">FIC6COF3</t>
  </si>
  <si>
    <t xml:space="preserve">FIC7</t>
  </si>
  <si>
    <t xml:space="preserve">FIC7COF1</t>
  </si>
  <si>
    <t xml:space="preserve">0° 38′ 14.3″ N</t>
  </si>
  <si>
    <t xml:space="preserve">31° 27′ 42.4″ E</t>
  </si>
  <si>
    <r>
      <rPr>
        <i val="true"/>
        <sz val="11"/>
        <color rgb="FF000000"/>
        <rFont val="Book Antiqua"/>
        <family val="0"/>
        <charset val="1"/>
      </rPr>
      <t xml:space="preserve">Psidium guajava </t>
    </r>
    <r>
      <rPr>
        <sz val="11"/>
        <color rgb="FF000000"/>
        <rFont val="Book Antiqua"/>
        <family val="0"/>
        <charset val="1"/>
      </rPr>
      <t xml:space="preserve">4, </t>
    </r>
    <r>
      <rPr>
        <i val="true"/>
        <sz val="11"/>
        <color rgb="FF000000"/>
        <rFont val="Book Antiqua"/>
        <family val="0"/>
        <charset val="1"/>
      </rPr>
      <t xml:space="preserve">Maesopsis eminii</t>
    </r>
    <r>
      <rPr>
        <sz val="11"/>
        <color rgb="FF000000"/>
        <rFont val="Book Antiqua"/>
        <family val="0"/>
        <charset val="1"/>
      </rPr>
      <t xml:space="preserve"> 1, </t>
    </r>
    <r>
      <rPr>
        <i val="true"/>
        <sz val="11"/>
        <color rgb="FF000000"/>
        <rFont val="Book Antiqua"/>
        <family val="0"/>
        <charset val="1"/>
      </rPr>
      <t xml:space="preserve">Ficus natalensis</t>
    </r>
    <r>
      <rPr>
        <sz val="11"/>
        <color rgb="FF000000"/>
        <rFont val="Book Antiqua"/>
        <family val="0"/>
        <charset val="1"/>
      </rPr>
      <t xml:space="preserve"> 1, </t>
    </r>
    <r>
      <rPr>
        <i val="true"/>
        <sz val="11"/>
        <color rgb="FF000000"/>
        <rFont val="Book Antiqua"/>
        <family val="0"/>
        <charset val="1"/>
      </rPr>
      <t xml:space="preserve">Spathodea campanulata </t>
    </r>
    <r>
      <rPr>
        <sz val="11"/>
        <color rgb="FF000000"/>
        <rFont val="Book Antiqua"/>
        <family val="0"/>
        <charset val="1"/>
      </rPr>
      <t xml:space="preserve">1</t>
    </r>
  </si>
  <si>
    <t xml:space="preserve">FIC7COF2</t>
  </si>
  <si>
    <t xml:space="preserve">FIC7COF3</t>
  </si>
  <si>
    <t xml:space="preserve">FIC13</t>
  </si>
  <si>
    <t xml:space="preserve">FIC13COF1</t>
  </si>
  <si>
    <t xml:space="preserve"> 0° 38′ 12.6″ N</t>
  </si>
  <si>
    <t xml:space="preserve">31° 27′ 39.7″ E</t>
  </si>
  <si>
    <r>
      <rPr>
        <i val="true"/>
        <sz val="11"/>
        <color rgb="FF000000"/>
        <rFont val="Book Antiqua"/>
        <family val="0"/>
        <charset val="1"/>
      </rPr>
      <t xml:space="preserve">Spathodea campanulata</t>
    </r>
    <r>
      <rPr>
        <sz val="11"/>
        <color rgb="FF000000"/>
        <rFont val="Book Antiqua"/>
        <family val="0"/>
        <charset val="1"/>
      </rPr>
      <t xml:space="preserve"> 1, </t>
    </r>
    <r>
      <rPr>
        <i val="true"/>
        <sz val="11"/>
        <color rgb="FF000000"/>
        <rFont val="Book Antiqua"/>
        <family val="0"/>
        <charset val="1"/>
      </rPr>
      <t xml:space="preserve">Antiaris sectaria</t>
    </r>
    <r>
      <rPr>
        <sz val="11"/>
        <color rgb="FF000000"/>
        <rFont val="Book Antiqua"/>
        <family val="0"/>
        <charset val="1"/>
      </rPr>
      <t xml:space="preserve"> 2</t>
    </r>
  </si>
  <si>
    <t xml:space="preserve">FIC13COF2</t>
  </si>
  <si>
    <t xml:space="preserve">FIC13COF3</t>
  </si>
  <si>
    <t xml:space="preserve">FIC14</t>
  </si>
  <si>
    <t xml:space="preserve">FIC14COF1</t>
  </si>
  <si>
    <t xml:space="preserve">0° 38′ 20″ N</t>
  </si>
  <si>
    <t xml:space="preserve">31° 27′ 29″ E</t>
  </si>
  <si>
    <t xml:space="preserve">FIC14COF2</t>
  </si>
  <si>
    <t xml:space="preserve">FIC14COF3</t>
  </si>
  <si>
    <t xml:space="preserve">FIC18</t>
  </si>
  <si>
    <t xml:space="preserve">FIC18COF1</t>
  </si>
  <si>
    <t xml:space="preserve">0° 37′ 57.7″ N</t>
  </si>
  <si>
    <t xml:space="preserve">31° 26′ 54.3″ E</t>
  </si>
  <si>
    <r>
      <rPr>
        <i val="true"/>
        <sz val="11"/>
        <color rgb="FF000000"/>
        <rFont val="Book Antiqua"/>
        <family val="0"/>
        <charset val="1"/>
      </rPr>
      <t xml:space="preserve">Albizia coriaria</t>
    </r>
    <r>
      <rPr>
        <sz val="11"/>
        <color rgb="FF000000"/>
        <rFont val="Book Antiqua"/>
        <family val="0"/>
        <charset val="1"/>
      </rPr>
      <t xml:space="preserve"> 1, </t>
    </r>
    <r>
      <rPr>
        <i val="true"/>
        <sz val="11"/>
        <color rgb="FF000000"/>
        <rFont val="Book Antiqua"/>
        <family val="0"/>
        <charset val="1"/>
      </rPr>
      <t xml:space="preserve">Markhamia lutea</t>
    </r>
    <r>
      <rPr>
        <sz val="11"/>
        <color rgb="FF000000"/>
        <rFont val="Book Antiqua"/>
        <family val="0"/>
        <charset val="1"/>
      </rPr>
      <t xml:space="preserve"> 3, </t>
    </r>
    <r>
      <rPr>
        <i val="true"/>
        <sz val="11"/>
        <color rgb="FF000000"/>
        <rFont val="Book Antiqua"/>
        <family val="0"/>
        <charset val="1"/>
      </rPr>
      <t xml:space="preserve">Carica papaya</t>
    </r>
    <r>
      <rPr>
        <sz val="11"/>
        <color rgb="FF000000"/>
        <rFont val="Book Antiqua"/>
        <family val="0"/>
        <charset val="1"/>
      </rPr>
      <t xml:space="preserve"> 4</t>
    </r>
  </si>
  <si>
    <t xml:space="preserve">FIC18COF2</t>
  </si>
  <si>
    <t xml:space="preserve">FIC18COF3</t>
  </si>
  <si>
    <t xml:space="preserve">ALB12</t>
  </si>
  <si>
    <t xml:space="preserve">ALB12COF1</t>
  </si>
  <si>
    <t xml:space="preserve">0° 38′ 44″ N</t>
  </si>
  <si>
    <t xml:space="preserve">31° 27′ 33.8″ E</t>
  </si>
  <si>
    <t xml:space="preserve">ALB12COF2</t>
  </si>
  <si>
    <t xml:space="preserve">ALB12COF3</t>
  </si>
  <si>
    <t xml:space="preserve">ALB21</t>
  </si>
  <si>
    <t xml:space="preserve">ALB21COF1</t>
  </si>
  <si>
    <t xml:space="preserve">0° 38′ 22.2″ N</t>
  </si>
  <si>
    <t xml:space="preserve">31° 27′ 32.7″ E</t>
  </si>
  <si>
    <r>
      <rPr>
        <i val="true"/>
        <sz val="11"/>
        <color rgb="FF000000"/>
        <rFont val="Book Antiqua"/>
        <family val="0"/>
        <charset val="1"/>
      </rPr>
      <t xml:space="preserve">Ficus natalensis</t>
    </r>
    <r>
      <rPr>
        <sz val="11"/>
        <color rgb="FF000000"/>
        <rFont val="Book Antiqua"/>
        <family val="0"/>
        <charset val="1"/>
      </rPr>
      <t xml:space="preserve"> 1, </t>
    </r>
    <r>
      <rPr>
        <i val="true"/>
        <sz val="11"/>
        <color rgb="FF000000"/>
        <rFont val="Book Antiqua"/>
        <family val="0"/>
        <charset val="1"/>
      </rPr>
      <t xml:space="preserve">Albizia zygia</t>
    </r>
    <r>
      <rPr>
        <sz val="11"/>
        <color rgb="FF000000"/>
        <rFont val="Book Antiqua"/>
        <family val="0"/>
        <charset val="1"/>
      </rPr>
      <t xml:space="preserve"> 2</t>
    </r>
  </si>
  <si>
    <t xml:space="preserve">ALB21COF2</t>
  </si>
  <si>
    <t xml:space="preserve">ALB21COF3</t>
  </si>
  <si>
    <t xml:space="preserve">ALB22</t>
  </si>
  <si>
    <t xml:space="preserve">ALB22COF1</t>
  </si>
  <si>
    <t xml:space="preserve">0° 38′ 22.6″ N</t>
  </si>
  <si>
    <t xml:space="preserve">31° 27′ 31.7″ E</t>
  </si>
  <si>
    <r>
      <rPr>
        <i val="true"/>
        <sz val="11"/>
        <color rgb="FF000000"/>
        <rFont val="Book Antiqua"/>
        <family val="0"/>
        <charset val="1"/>
      </rPr>
      <t xml:space="preserve">Spathodea campanulata</t>
    </r>
    <r>
      <rPr>
        <sz val="11"/>
        <color rgb="FF000000"/>
        <rFont val="Book Antiqua"/>
        <family val="0"/>
        <charset val="1"/>
      </rPr>
      <t xml:space="preserve"> 1, </t>
    </r>
    <r>
      <rPr>
        <i val="true"/>
        <sz val="11"/>
        <color rgb="FF000000"/>
        <rFont val="Book Antiqua"/>
        <family val="0"/>
        <charset val="1"/>
      </rPr>
      <t xml:space="preserve">Albizia zygia</t>
    </r>
    <r>
      <rPr>
        <sz val="11"/>
        <color rgb="FF000000"/>
        <rFont val="Book Antiqua"/>
        <family val="0"/>
        <charset val="1"/>
      </rPr>
      <t xml:space="preserve"> 1, </t>
    </r>
    <r>
      <rPr>
        <i val="true"/>
        <sz val="11"/>
        <color rgb="FF000000"/>
        <rFont val="Book Antiqua"/>
        <family val="0"/>
        <charset val="1"/>
      </rPr>
      <t xml:space="preserve">Albizia coriaria</t>
    </r>
    <r>
      <rPr>
        <sz val="11"/>
        <color rgb="FF000000"/>
        <rFont val="Book Antiqua"/>
        <family val="0"/>
        <charset val="1"/>
      </rPr>
      <t xml:space="preserve"> 2, </t>
    </r>
    <r>
      <rPr>
        <i val="true"/>
        <sz val="11"/>
        <color rgb="FF000000"/>
        <rFont val="Book Antiqua"/>
        <family val="0"/>
        <charset val="1"/>
      </rPr>
      <t xml:space="preserve">Acacia sp </t>
    </r>
    <r>
      <rPr>
        <sz val="11"/>
        <color rgb="FF000000"/>
        <rFont val="Book Antiqua"/>
        <family val="0"/>
        <charset val="1"/>
      </rPr>
      <t xml:space="preserve">1, </t>
    </r>
    <r>
      <rPr>
        <i val="true"/>
        <sz val="11"/>
        <color rgb="FF000000"/>
        <rFont val="Book Antiqua"/>
        <family val="0"/>
        <charset val="1"/>
      </rPr>
      <t xml:space="preserve">Ficus spp </t>
    </r>
    <r>
      <rPr>
        <sz val="11"/>
        <color rgb="FF000000"/>
        <rFont val="Book Antiqua"/>
        <family val="0"/>
        <charset val="1"/>
      </rPr>
      <t xml:space="preserve">1, </t>
    </r>
    <r>
      <rPr>
        <i val="true"/>
        <sz val="11"/>
        <color rgb="FF000000"/>
        <rFont val="Book Antiqua"/>
        <family val="0"/>
        <charset val="1"/>
      </rPr>
      <t xml:space="preserve">Funtumia elastica</t>
    </r>
    <r>
      <rPr>
        <sz val="11"/>
        <color rgb="FF000000"/>
        <rFont val="Book Antiqua"/>
        <family val="0"/>
        <charset val="1"/>
      </rPr>
      <t xml:space="preserve"> 1</t>
    </r>
  </si>
  <si>
    <t xml:space="preserve">ALB22COF2</t>
  </si>
  <si>
    <t xml:space="preserve">ALB22COF3</t>
  </si>
  <si>
    <t xml:space="preserve">ALB23</t>
  </si>
  <si>
    <t xml:space="preserve">ALB23COF1</t>
  </si>
  <si>
    <t xml:space="preserve">0° 38′ 25″ N</t>
  </si>
  <si>
    <t xml:space="preserve">31° 27′ 27.7″ E</t>
  </si>
  <si>
    <t xml:space="preserve">ALB23COF2</t>
  </si>
  <si>
    <t xml:space="preserve">ALB23COF3</t>
  </si>
  <si>
    <t xml:space="preserve">JAC8</t>
  </si>
  <si>
    <t xml:space="preserve">JAC8COF1</t>
  </si>
  <si>
    <t xml:space="preserve">0° 38′ 44.2″ N</t>
  </si>
  <si>
    <t xml:space="preserve">31° 27′ 35.1″ E</t>
  </si>
  <si>
    <r>
      <rPr>
        <i val="true"/>
        <sz val="11"/>
        <color rgb="FF000000"/>
        <rFont val="Book Antiqua"/>
        <family val="0"/>
        <charset val="1"/>
      </rPr>
      <t xml:space="preserve">Flamboyant tree </t>
    </r>
    <r>
      <rPr>
        <sz val="11"/>
        <color rgb="FF000000"/>
        <rFont val="Book Antiqua"/>
        <family val="0"/>
        <charset val="1"/>
      </rPr>
      <t xml:space="preserve">2, </t>
    </r>
    <r>
      <rPr>
        <i val="true"/>
        <sz val="11"/>
        <color rgb="FF000000"/>
        <rFont val="Book Antiqua"/>
        <family val="0"/>
        <charset val="1"/>
      </rPr>
      <t xml:space="preserve">Antiaris sectaria</t>
    </r>
    <r>
      <rPr>
        <sz val="11"/>
        <color rgb="FF000000"/>
        <rFont val="Book Antiqua"/>
        <family val="0"/>
        <charset val="1"/>
      </rPr>
      <t xml:space="preserve"> 1</t>
    </r>
  </si>
  <si>
    <t xml:space="preserve">JAC8COF2</t>
  </si>
  <si>
    <t xml:space="preserve">JAC8COF3</t>
  </si>
  <si>
    <t xml:space="preserve">JAC16</t>
  </si>
  <si>
    <t xml:space="preserve">JAC16COF1</t>
  </si>
  <si>
    <t xml:space="preserve">0° 38′ 21.9″ N</t>
  </si>
  <si>
    <t xml:space="preserve">31° 27′ 12.2″ E</t>
  </si>
  <si>
    <r>
      <rPr>
        <i val="true"/>
        <sz val="11"/>
        <color rgb="FF000000"/>
        <rFont val="Book Antiqua"/>
        <family val="0"/>
        <charset val="1"/>
      </rPr>
      <t xml:space="preserve">Spathodea campanulata</t>
    </r>
    <r>
      <rPr>
        <sz val="11"/>
        <color rgb="FF000000"/>
        <rFont val="Book Antiqua"/>
        <family val="0"/>
        <charset val="1"/>
      </rPr>
      <t xml:space="preserve"> 2, </t>
    </r>
    <r>
      <rPr>
        <i val="true"/>
        <sz val="11"/>
        <color rgb="FF000000"/>
        <rFont val="Book Antiqua"/>
        <family val="0"/>
        <charset val="1"/>
      </rPr>
      <t xml:space="preserve">Artocarpus heterophyllus </t>
    </r>
    <r>
      <rPr>
        <sz val="11"/>
        <color rgb="FF000000"/>
        <rFont val="Book Antiqua"/>
        <family val="0"/>
        <charset val="1"/>
      </rPr>
      <t xml:space="preserve">1</t>
    </r>
  </si>
  <si>
    <t xml:space="preserve">JAC16COF2</t>
  </si>
  <si>
    <t xml:space="preserve">JAC16COF3</t>
  </si>
  <si>
    <t xml:space="preserve">JAC17</t>
  </si>
  <si>
    <t xml:space="preserve">JAC17COF1</t>
  </si>
  <si>
    <t xml:space="preserve">0° 38′ 22.5″ N</t>
  </si>
  <si>
    <t xml:space="preserve">31° 27′ 12.8″ E</t>
  </si>
  <si>
    <r>
      <rPr>
        <i val="true"/>
        <sz val="11"/>
        <color rgb="FF000000"/>
        <rFont val="Book Antiqua"/>
        <family val="0"/>
        <charset val="1"/>
      </rPr>
      <t xml:space="preserve">Spathodea campanulata</t>
    </r>
    <r>
      <rPr>
        <sz val="11"/>
        <color rgb="FF000000"/>
        <rFont val="Book Antiqua"/>
        <family val="0"/>
        <charset val="1"/>
      </rPr>
      <t xml:space="preserve"> 1 , </t>
    </r>
    <r>
      <rPr>
        <i val="true"/>
        <sz val="11"/>
        <color rgb="FF000000"/>
        <rFont val="Book Antiqua"/>
        <family val="0"/>
        <charset val="1"/>
      </rPr>
      <t xml:space="preserve">Artocarpus heterophyllus</t>
    </r>
    <r>
      <rPr>
        <sz val="11"/>
        <color rgb="FF000000"/>
        <rFont val="Book Antiqua"/>
        <family val="0"/>
        <charset val="1"/>
      </rPr>
      <t xml:space="preserve"> 1, </t>
    </r>
    <r>
      <rPr>
        <i val="true"/>
        <sz val="11"/>
        <color rgb="FF000000"/>
        <rFont val="Book Antiqua"/>
        <family val="0"/>
        <charset val="1"/>
      </rPr>
      <t xml:space="preserve">Albizia coriaria </t>
    </r>
    <r>
      <rPr>
        <sz val="11"/>
        <color rgb="FF000000"/>
        <rFont val="Book Antiqua"/>
        <family val="0"/>
        <charset val="1"/>
      </rPr>
      <t xml:space="preserve">1, </t>
    </r>
    <r>
      <rPr>
        <i val="true"/>
        <sz val="11"/>
        <color rgb="FF000000"/>
        <rFont val="Book Antiqua"/>
        <family val="0"/>
        <charset val="1"/>
      </rPr>
      <t xml:space="preserve">Markhamia lutea</t>
    </r>
    <r>
      <rPr>
        <sz val="11"/>
        <color rgb="FF000000"/>
        <rFont val="Book Antiqua"/>
        <family val="0"/>
        <charset val="1"/>
      </rPr>
      <t xml:space="preserve"> 1</t>
    </r>
  </si>
  <si>
    <t xml:space="preserve">JAC17COF2</t>
  </si>
  <si>
    <t xml:space="preserve">JAC17COF3</t>
  </si>
  <si>
    <t xml:space="preserve">JAC18</t>
  </si>
  <si>
    <t xml:space="preserve">JAC18COF1</t>
  </si>
  <si>
    <t xml:space="preserve">0° 37′ 52.7″ N</t>
  </si>
  <si>
    <t xml:space="preserve">31° 26′ 54.9″ E</t>
  </si>
  <si>
    <r>
      <rPr>
        <i val="true"/>
        <sz val="11"/>
        <color rgb="FF000000"/>
        <rFont val="Book Antiqua"/>
        <family val="0"/>
        <charset val="1"/>
      </rPr>
      <t xml:space="preserve">Albizia zygia </t>
    </r>
    <r>
      <rPr>
        <sz val="11"/>
        <color rgb="FF000000"/>
        <rFont val="Book Antiqua"/>
        <family val="0"/>
        <charset val="1"/>
      </rPr>
      <t xml:space="preserve">2, </t>
    </r>
    <r>
      <rPr>
        <i val="true"/>
        <sz val="11"/>
        <color rgb="FF000000"/>
        <rFont val="Book Antiqua"/>
        <family val="0"/>
        <charset val="1"/>
      </rPr>
      <t xml:space="preserve">Ficus campensis</t>
    </r>
    <r>
      <rPr>
        <sz val="11"/>
        <color rgb="FF000000"/>
        <rFont val="Book Antiqua"/>
        <family val="0"/>
        <charset val="1"/>
      </rPr>
      <t xml:space="preserve"> 1, </t>
    </r>
    <r>
      <rPr>
        <i val="true"/>
        <sz val="11"/>
        <color rgb="FF000000"/>
        <rFont val="Book Antiqua"/>
        <family val="0"/>
        <charset val="1"/>
      </rPr>
      <t xml:space="preserve">Albizia coriaria</t>
    </r>
    <r>
      <rPr>
        <sz val="11"/>
        <color rgb="FF000000"/>
        <rFont val="Book Antiqua"/>
        <family val="0"/>
        <charset val="1"/>
      </rPr>
      <t xml:space="preserve"> 2, </t>
    </r>
    <r>
      <rPr>
        <i val="true"/>
        <sz val="11"/>
        <color rgb="FF000000"/>
        <rFont val="Book Antiqua"/>
        <family val="0"/>
        <charset val="1"/>
      </rPr>
      <t xml:space="preserve">Markhamia lutea</t>
    </r>
    <r>
      <rPr>
        <sz val="11"/>
        <color rgb="FF000000"/>
        <rFont val="Book Antiqua"/>
        <family val="0"/>
        <charset val="1"/>
      </rPr>
      <t xml:space="preserve"> 1</t>
    </r>
  </si>
  <si>
    <t xml:space="preserve">JAC18COF2</t>
  </si>
  <si>
    <t xml:space="preserve">JAC18COF3</t>
  </si>
  <si>
    <t xml:space="preserve">AVO7</t>
  </si>
  <si>
    <t xml:space="preserve">AVO7COF1</t>
  </si>
  <si>
    <t xml:space="preserve">0° 38′ 16″ N</t>
  </si>
  <si>
    <t xml:space="preserve">31° 27′ 44.6″ E</t>
  </si>
  <si>
    <r>
      <rPr>
        <i val="true"/>
        <sz val="11"/>
        <color rgb="FF000000"/>
        <rFont val="Book Antiqua"/>
        <family val="0"/>
        <charset val="1"/>
      </rPr>
      <t xml:space="preserve">Artocarpus heterophyllus</t>
    </r>
    <r>
      <rPr>
        <sz val="11"/>
        <color rgb="FF000000"/>
        <rFont val="Book Antiqua"/>
        <family val="0"/>
        <charset val="1"/>
      </rPr>
      <t xml:space="preserve"> 1, </t>
    </r>
    <r>
      <rPr>
        <i val="true"/>
        <sz val="11"/>
        <color rgb="FF000000"/>
        <rFont val="Book Antiqua"/>
        <family val="0"/>
        <charset val="1"/>
      </rPr>
      <t xml:space="preserve">Spathodea campanulata</t>
    </r>
    <r>
      <rPr>
        <sz val="11"/>
        <color rgb="FF000000"/>
        <rFont val="Book Antiqua"/>
        <family val="0"/>
        <charset val="1"/>
      </rPr>
      <t xml:space="preserve"> 1, Flamboyant Tree 1, </t>
    </r>
    <r>
      <rPr>
        <i val="true"/>
        <sz val="11"/>
        <color rgb="FF000000"/>
        <rFont val="Book Antiqua"/>
        <family val="0"/>
        <charset val="1"/>
      </rPr>
      <t xml:space="preserve">Antiaris sectaria</t>
    </r>
    <r>
      <rPr>
        <sz val="11"/>
        <color rgb="FF000000"/>
        <rFont val="Book Antiqua"/>
        <family val="0"/>
        <charset val="1"/>
      </rPr>
      <t xml:space="preserve"> 1</t>
    </r>
  </si>
  <si>
    <t xml:space="preserve">AVO7COF2</t>
  </si>
  <si>
    <t xml:space="preserve">AVO7COF3</t>
  </si>
  <si>
    <t xml:space="preserve">AVO16</t>
  </si>
  <si>
    <t xml:space="preserve">AVO16COF1</t>
  </si>
  <si>
    <t xml:space="preserve">0° 37′ 52.9″ N</t>
  </si>
  <si>
    <t xml:space="preserve">31° 26′ 54.4″ E</t>
  </si>
  <si>
    <r>
      <rPr>
        <i val="true"/>
        <sz val="11"/>
        <color rgb="FF000000"/>
        <rFont val="Book Antiqua"/>
        <family val="0"/>
        <charset val="1"/>
      </rPr>
      <t xml:space="preserve">Carica papaya</t>
    </r>
    <r>
      <rPr>
        <sz val="11"/>
        <color rgb="FF000000"/>
        <rFont val="Book Antiqua"/>
        <family val="0"/>
        <charset val="1"/>
      </rPr>
      <t xml:space="preserve"> 2, </t>
    </r>
    <r>
      <rPr>
        <i val="true"/>
        <sz val="11"/>
        <color rgb="FF000000"/>
        <rFont val="Book Antiqua"/>
        <family val="0"/>
        <charset val="1"/>
      </rPr>
      <t xml:space="preserve">Markhamia lutea</t>
    </r>
    <r>
      <rPr>
        <sz val="11"/>
        <color rgb="FF000000"/>
        <rFont val="Book Antiqua"/>
        <family val="0"/>
        <charset val="1"/>
      </rPr>
      <t xml:space="preserve"> 2, </t>
    </r>
    <r>
      <rPr>
        <i val="true"/>
        <sz val="11"/>
        <color rgb="FF000000"/>
        <rFont val="Book Antiqua"/>
        <family val="0"/>
        <charset val="1"/>
      </rPr>
      <t xml:space="preserve">Spathodea campanulata</t>
    </r>
    <r>
      <rPr>
        <sz val="11"/>
        <color rgb="FF000000"/>
        <rFont val="Book Antiqua"/>
        <family val="0"/>
        <charset val="1"/>
      </rPr>
      <t xml:space="preserve"> 1</t>
    </r>
  </si>
  <si>
    <t xml:space="preserve">AVO16COF2</t>
  </si>
  <si>
    <t xml:space="preserve">AVO16COF3</t>
  </si>
  <si>
    <t xml:space="preserve">AVO17</t>
  </si>
  <si>
    <t xml:space="preserve">AVO17COF1</t>
  </si>
  <si>
    <r>
      <rPr>
        <i val="true"/>
        <sz val="11"/>
        <color rgb="FF000000"/>
        <rFont val="Book Antiqua"/>
        <family val="0"/>
        <charset val="1"/>
      </rPr>
      <t xml:space="preserve">Artocarpus heterophyllus</t>
    </r>
    <r>
      <rPr>
        <sz val="11"/>
        <color rgb="FF000000"/>
        <rFont val="Book Antiqua"/>
        <family val="0"/>
        <charset val="1"/>
      </rPr>
      <t xml:space="preserve"> 1, </t>
    </r>
    <r>
      <rPr>
        <i val="true"/>
        <sz val="11"/>
        <color rgb="FF000000"/>
        <rFont val="Book Antiqua"/>
        <family val="0"/>
        <charset val="1"/>
      </rPr>
      <t xml:space="preserve">Ficus mucuso</t>
    </r>
    <r>
      <rPr>
        <sz val="11"/>
        <color rgb="FF000000"/>
        <rFont val="Book Antiqua"/>
        <family val="0"/>
        <charset val="1"/>
      </rPr>
      <t xml:space="preserve"> 1</t>
    </r>
  </si>
  <si>
    <t xml:space="preserve">AVO17COF2</t>
  </si>
  <si>
    <t xml:space="preserve">AVO17COF3</t>
  </si>
  <si>
    <t xml:space="preserve">AVO18</t>
  </si>
  <si>
    <t xml:space="preserve">AVO18COF1</t>
  </si>
  <si>
    <r>
      <rPr>
        <i val="true"/>
        <sz val="11"/>
        <color rgb="FF000000"/>
        <rFont val="Book Antiqua"/>
        <family val="0"/>
        <charset val="1"/>
      </rPr>
      <t xml:space="preserve">Antiaris</t>
    </r>
    <r>
      <rPr>
        <sz val="11"/>
        <color rgb="FF000000"/>
        <rFont val="Book Antiqua"/>
        <family val="0"/>
        <charset val="1"/>
      </rPr>
      <t xml:space="preserve"> </t>
    </r>
    <r>
      <rPr>
        <i val="true"/>
        <sz val="11"/>
        <color rgb="FF000000"/>
        <rFont val="Book Antiqua"/>
        <family val="0"/>
        <charset val="1"/>
      </rPr>
      <t xml:space="preserve">sectaria</t>
    </r>
    <r>
      <rPr>
        <sz val="11"/>
        <color rgb="FF000000"/>
        <rFont val="Book Antiqua"/>
        <family val="0"/>
        <charset val="1"/>
      </rPr>
      <t xml:space="preserve"> 1, </t>
    </r>
    <r>
      <rPr>
        <i val="true"/>
        <sz val="11"/>
        <color rgb="FF000000"/>
        <rFont val="Book Antiqua"/>
        <family val="0"/>
        <charset val="1"/>
      </rPr>
      <t xml:space="preserve">Artocarpus heterophyll</t>
    </r>
    <r>
      <rPr>
        <sz val="11"/>
        <color rgb="FF000000"/>
        <rFont val="Book Antiqua"/>
        <family val="0"/>
        <charset val="1"/>
      </rPr>
      <t xml:space="preserve">us 1</t>
    </r>
  </si>
  <si>
    <t xml:space="preserve">AVO18COF2</t>
  </si>
  <si>
    <t xml:space="preserve">AVO18COF3</t>
  </si>
  <si>
    <t xml:space="preserve">Luwunga</t>
  </si>
  <si>
    <t xml:space="preserve">0°36'45.1695″ N</t>
  </si>
  <si>
    <t xml:space="preserve">31° 28′ 33.7470″ E</t>
  </si>
  <si>
    <t xml:space="preserve">FIC2</t>
  </si>
  <si>
    <t xml:space="preserve">FIC2COF1</t>
  </si>
  <si>
    <t xml:space="preserve">0° 36′ 43.9989″ N</t>
  </si>
  <si>
    <t xml:space="preserve">31° 28′ 39.0192″ E</t>
  </si>
  <si>
    <r>
      <rPr>
        <i val="true"/>
        <sz val="11"/>
        <color rgb="FF000000"/>
        <rFont val="Book Antiqua"/>
        <family val="0"/>
        <charset val="1"/>
      </rPr>
      <t xml:space="preserve">Sapium</t>
    </r>
    <r>
      <rPr>
        <sz val="11"/>
        <color rgb="FF000000"/>
        <rFont val="Book Antiqua"/>
        <family val="0"/>
        <charset val="1"/>
      </rPr>
      <t xml:space="preserve"> </t>
    </r>
    <r>
      <rPr>
        <i val="true"/>
        <sz val="11"/>
        <color rgb="FF000000"/>
        <rFont val="Book Antiqua"/>
        <family val="0"/>
        <charset val="1"/>
      </rPr>
      <t xml:space="preserve">ellipticum </t>
    </r>
    <r>
      <rPr>
        <sz val="11"/>
        <color rgb="FF000000"/>
        <rFont val="Book Antiqua"/>
        <family val="0"/>
        <charset val="1"/>
      </rPr>
      <t xml:space="preserve">1</t>
    </r>
  </si>
  <si>
    <t xml:space="preserve">FIC2COF2</t>
  </si>
  <si>
    <t xml:space="preserve">FIC2COF3</t>
  </si>
  <si>
    <t xml:space="preserve">FIC19</t>
  </si>
  <si>
    <t xml:space="preserve">FIC19COF1</t>
  </si>
  <si>
    <t xml:space="preserve">0° 36′ 23.5″ N</t>
  </si>
  <si>
    <t xml:space="preserve">31° 29′ 8.6″ E</t>
  </si>
  <si>
    <r>
      <rPr>
        <i val="true"/>
        <sz val="11"/>
        <color rgb="FF000000"/>
        <rFont val="Book Antiqua"/>
        <family val="0"/>
        <charset val="1"/>
      </rPr>
      <t xml:space="preserve">Markhamia lutea </t>
    </r>
    <r>
      <rPr>
        <sz val="11"/>
        <color rgb="FF000000"/>
        <rFont val="Book Antiqua"/>
        <family val="0"/>
        <charset val="1"/>
      </rPr>
      <t xml:space="preserve">1, </t>
    </r>
    <r>
      <rPr>
        <i val="true"/>
        <sz val="11"/>
        <color rgb="FF000000"/>
        <rFont val="Book Antiqua"/>
        <family val="0"/>
        <charset val="1"/>
      </rPr>
      <t xml:space="preserve">Antiaris sectaria</t>
    </r>
    <r>
      <rPr>
        <sz val="11"/>
        <color rgb="FF000000"/>
        <rFont val="Book Antiqua"/>
        <family val="0"/>
        <charset val="1"/>
      </rPr>
      <t xml:space="preserve"> 1</t>
    </r>
  </si>
  <si>
    <t xml:space="preserve">FIC19COF2</t>
  </si>
  <si>
    <t xml:space="preserve">FIC19COF3</t>
  </si>
  <si>
    <t xml:space="preserve">FIC20</t>
  </si>
  <si>
    <t xml:space="preserve">FIC20COF1</t>
  </si>
  <si>
    <t xml:space="preserve">0° 36′ 28.2″ N</t>
  </si>
  <si>
    <t xml:space="preserve">31° 29′ 17.6″ E</t>
  </si>
  <si>
    <r>
      <rPr>
        <i val="true"/>
        <sz val="11"/>
        <color rgb="FF000000"/>
        <rFont val="Book Antiqua"/>
        <family val="0"/>
        <charset val="1"/>
      </rPr>
      <t xml:space="preserve">Antiaris sectaria</t>
    </r>
    <r>
      <rPr>
        <sz val="11"/>
        <color rgb="FF000000"/>
        <rFont val="Book Antiqua"/>
        <family val="0"/>
        <charset val="1"/>
      </rPr>
      <t xml:space="preserve"> 1</t>
    </r>
  </si>
  <si>
    <t xml:space="preserve">FIC20COF2</t>
  </si>
  <si>
    <t xml:space="preserve">FIC20COF3</t>
  </si>
  <si>
    <t xml:space="preserve">ALB1</t>
  </si>
  <si>
    <t xml:space="preserve">ALB1COF1</t>
  </si>
  <si>
    <t xml:space="preserve">0° 36′ 49.9″ N</t>
  </si>
  <si>
    <t xml:space="preserve">31° 29′ 12.4″ E</t>
  </si>
  <si>
    <r>
      <rPr>
        <i val="true"/>
        <sz val="11"/>
        <color rgb="FF000000"/>
        <rFont val="Book Antiqua"/>
        <family val="0"/>
        <charset val="1"/>
      </rPr>
      <t xml:space="preserve">Markhamia lutea</t>
    </r>
    <r>
      <rPr>
        <sz val="11"/>
        <color rgb="FF000000"/>
        <rFont val="Book Antiqua"/>
        <family val="0"/>
        <charset val="1"/>
      </rPr>
      <t xml:space="preserve"> 1, </t>
    </r>
    <r>
      <rPr>
        <i val="true"/>
        <sz val="11"/>
        <color rgb="FF000000"/>
        <rFont val="Book Antiqua"/>
        <family val="0"/>
        <charset val="1"/>
      </rPr>
      <t xml:space="preserve">Antiaris toxicaria</t>
    </r>
    <r>
      <rPr>
        <sz val="11"/>
        <color rgb="FF000000"/>
        <rFont val="Book Antiqua"/>
        <family val="0"/>
        <charset val="1"/>
      </rPr>
      <t xml:space="preserve"> 1</t>
    </r>
  </si>
  <si>
    <t xml:space="preserve">ALB1COF2</t>
  </si>
  <si>
    <t xml:space="preserve">ALB1COF3</t>
  </si>
  <si>
    <t xml:space="preserve">ALB2</t>
  </si>
  <si>
    <t xml:space="preserve">ALB2COF1</t>
  </si>
  <si>
    <t xml:space="preserve">0° 36′ 49.6″ N</t>
  </si>
  <si>
    <t xml:space="preserve">31° 29′ 13.6″ E</t>
  </si>
  <si>
    <t xml:space="preserve">ALB2COF2</t>
  </si>
  <si>
    <t xml:space="preserve">ALB2COF3</t>
  </si>
  <si>
    <t xml:space="preserve">ALB3</t>
  </si>
  <si>
    <t xml:space="preserve">ALB3COF1</t>
  </si>
  <si>
    <t xml:space="preserve">0° 36′ 50.1″ N</t>
  </si>
  <si>
    <t xml:space="preserve">31° 29′ 14.8″ E</t>
  </si>
  <si>
    <r>
      <rPr>
        <i val="true"/>
        <sz val="11"/>
        <color rgb="FF000000"/>
        <rFont val="Book Antiqua"/>
        <family val="0"/>
        <charset val="1"/>
      </rPr>
      <t xml:space="preserve">Markhamia</t>
    </r>
    <r>
      <rPr>
        <sz val="11"/>
        <color rgb="FF000000"/>
        <rFont val="Book Antiqua"/>
        <family val="0"/>
        <charset val="1"/>
      </rPr>
      <t xml:space="preserve"> </t>
    </r>
    <r>
      <rPr>
        <i val="true"/>
        <sz val="11"/>
        <color rgb="FF000000"/>
        <rFont val="Book Antiqua"/>
        <family val="0"/>
        <charset val="1"/>
      </rPr>
      <t xml:space="preserve">lutea</t>
    </r>
    <r>
      <rPr>
        <sz val="11"/>
        <color rgb="FF000000"/>
        <rFont val="Book Antiqua"/>
        <family val="0"/>
        <charset val="1"/>
      </rPr>
      <t xml:space="preserve"> 2, </t>
    </r>
    <r>
      <rPr>
        <i val="true"/>
        <sz val="11"/>
        <color rgb="FF000000"/>
        <rFont val="Book Antiqua"/>
        <family val="0"/>
        <charset val="1"/>
      </rPr>
      <t xml:space="preserve">Carica papaya</t>
    </r>
    <r>
      <rPr>
        <sz val="11"/>
        <color rgb="FF000000"/>
        <rFont val="Book Antiqua"/>
        <family val="0"/>
        <charset val="1"/>
      </rPr>
      <t xml:space="preserve"> 1</t>
    </r>
  </si>
  <si>
    <t xml:space="preserve">ALB3COF2</t>
  </si>
  <si>
    <t xml:space="preserve">ALB3COF3</t>
  </si>
  <si>
    <t xml:space="preserve">ALB24</t>
  </si>
  <si>
    <t xml:space="preserve">ALB24COF1</t>
  </si>
  <si>
    <t xml:space="preserve">0° 36′ 24.4″ N</t>
  </si>
  <si>
    <t xml:space="preserve">31° 29′ 7.3″ E</t>
  </si>
  <si>
    <r>
      <rPr>
        <i val="true"/>
        <sz val="11"/>
        <color rgb="FF000000"/>
        <rFont val="Book Antiqua"/>
        <family val="0"/>
        <charset val="1"/>
      </rPr>
      <t xml:space="preserve">Spathodea campanulata</t>
    </r>
    <r>
      <rPr>
        <sz val="11"/>
        <color rgb="FF000000"/>
        <rFont val="Book Antiqua"/>
        <family val="0"/>
        <charset val="1"/>
      </rPr>
      <t xml:space="preserve"> 1, </t>
    </r>
    <r>
      <rPr>
        <i val="true"/>
        <sz val="11"/>
        <color rgb="FF000000"/>
        <rFont val="Book Antiqua"/>
        <family val="0"/>
        <charset val="1"/>
      </rPr>
      <t xml:space="preserve">Markhamia lutea</t>
    </r>
    <r>
      <rPr>
        <sz val="11"/>
        <color rgb="FF000000"/>
        <rFont val="Book Antiqua"/>
        <family val="0"/>
        <charset val="1"/>
      </rPr>
      <t xml:space="preserve"> 2, </t>
    </r>
    <r>
      <rPr>
        <i val="true"/>
        <sz val="11"/>
        <color rgb="FF000000"/>
        <rFont val="Book Antiqua"/>
        <family val="0"/>
        <charset val="1"/>
      </rPr>
      <t xml:space="preserve">Albizia coriaria</t>
    </r>
    <r>
      <rPr>
        <sz val="11"/>
        <color rgb="FF000000"/>
        <rFont val="Book Antiqua"/>
        <family val="0"/>
        <charset val="1"/>
      </rPr>
      <t xml:space="preserve"> 1, </t>
    </r>
    <r>
      <rPr>
        <i val="true"/>
        <sz val="11"/>
        <color rgb="FF000000"/>
        <rFont val="Book Antiqua"/>
        <family val="0"/>
        <charset val="1"/>
      </rPr>
      <t xml:space="preserve">Ficus natalensis </t>
    </r>
    <r>
      <rPr>
        <sz val="11"/>
        <color rgb="FF000000"/>
        <rFont val="Book Antiqua"/>
        <family val="0"/>
        <charset val="1"/>
      </rPr>
      <t xml:space="preserve">1</t>
    </r>
  </si>
  <si>
    <t xml:space="preserve">ALB24COF2</t>
  </si>
  <si>
    <t xml:space="preserve">ALB24COF3</t>
  </si>
  <si>
    <t xml:space="preserve">JAC19</t>
  </si>
  <si>
    <t xml:space="preserve">JAC19COF1</t>
  </si>
  <si>
    <t xml:space="preserve">0° 36′ 22.5″ N</t>
  </si>
  <si>
    <t xml:space="preserve">31° 29′ 11.9″ E</t>
  </si>
  <si>
    <r>
      <rPr>
        <i val="true"/>
        <sz val="11"/>
        <color rgb="FF000000"/>
        <rFont val="Book Antiqua"/>
        <family val="0"/>
        <charset val="1"/>
      </rPr>
      <t xml:space="preserve">Albizia coriaria</t>
    </r>
    <r>
      <rPr>
        <sz val="11"/>
        <color rgb="FF000000"/>
        <rFont val="Book Antiqua"/>
        <family val="0"/>
        <charset val="1"/>
      </rPr>
      <t xml:space="preserve"> 1, </t>
    </r>
    <r>
      <rPr>
        <i val="true"/>
        <sz val="11"/>
        <color rgb="FF000000"/>
        <rFont val="Book Antiqua"/>
        <family val="0"/>
        <charset val="1"/>
      </rPr>
      <t xml:space="preserve">Markhamia lutea</t>
    </r>
    <r>
      <rPr>
        <sz val="11"/>
        <color rgb="FF000000"/>
        <rFont val="Book Antiqua"/>
        <family val="0"/>
        <charset val="1"/>
      </rPr>
      <t xml:space="preserve"> 1, </t>
    </r>
    <r>
      <rPr>
        <i val="true"/>
        <sz val="11"/>
        <color rgb="FF000000"/>
        <rFont val="Book Antiqua"/>
        <family val="0"/>
        <charset val="1"/>
      </rPr>
      <t xml:space="preserve">Faidherbia albida </t>
    </r>
    <r>
      <rPr>
        <sz val="11"/>
        <color rgb="FF000000"/>
        <rFont val="Book Antiqua"/>
        <family val="0"/>
        <charset val="1"/>
      </rPr>
      <t xml:space="preserve">1</t>
    </r>
  </si>
  <si>
    <t xml:space="preserve">JAC19COF2</t>
  </si>
  <si>
    <t xml:space="preserve">JAC19COF3</t>
  </si>
  <si>
    <t xml:space="preserve">JAC20</t>
  </si>
  <si>
    <t xml:space="preserve">JAC20COF1</t>
  </si>
  <si>
    <t xml:space="preserve">0° 36′ 21.9″ N</t>
  </si>
  <si>
    <t xml:space="preserve">31° 29′ 13″ E</t>
  </si>
  <si>
    <r>
      <rPr>
        <i val="true"/>
        <sz val="11"/>
        <color rgb="FF000000"/>
        <rFont val="Book Antiqua"/>
        <family val="0"/>
        <charset val="1"/>
      </rPr>
      <t xml:space="preserve">Albizia coriaria</t>
    </r>
    <r>
      <rPr>
        <sz val="11"/>
        <color rgb="FF000000"/>
        <rFont val="Book Antiqua"/>
        <family val="0"/>
        <charset val="1"/>
      </rPr>
      <t xml:space="preserve"> 1</t>
    </r>
  </si>
  <si>
    <t xml:space="preserve">JAC20COF2</t>
  </si>
  <si>
    <t xml:space="preserve">JAC20COF3</t>
  </si>
  <si>
    <t xml:space="preserve">JAC21</t>
  </si>
  <si>
    <t xml:space="preserve">JAC21COF1</t>
  </si>
  <si>
    <t xml:space="preserve">0° 36′ 20.7″ N</t>
  </si>
  <si>
    <t xml:space="preserve">31° 29′ 13.4″ E</t>
  </si>
  <si>
    <r>
      <rPr>
        <i val="true"/>
        <sz val="11"/>
        <color rgb="FF000000"/>
        <rFont val="Book Antiqua"/>
        <family val="0"/>
        <charset val="1"/>
      </rPr>
      <t xml:space="preserve">Artocarpus heterophyllus</t>
    </r>
    <r>
      <rPr>
        <sz val="11"/>
        <color rgb="FF000000"/>
        <rFont val="Book Antiqua"/>
        <family val="0"/>
        <charset val="1"/>
      </rPr>
      <t xml:space="preserve"> 3, </t>
    </r>
    <r>
      <rPr>
        <i val="true"/>
        <sz val="11"/>
        <color rgb="FF000000"/>
        <rFont val="Book Antiqua"/>
        <family val="0"/>
        <charset val="1"/>
      </rPr>
      <t xml:space="preserve">Markhamia lutea</t>
    </r>
    <r>
      <rPr>
        <sz val="11"/>
        <color rgb="FF000000"/>
        <rFont val="Book Antiqua"/>
        <family val="0"/>
        <charset val="1"/>
      </rPr>
      <t xml:space="preserve"> 1, </t>
    </r>
    <r>
      <rPr>
        <i val="true"/>
        <sz val="11"/>
        <color rgb="FF000000"/>
        <rFont val="Book Antiqua"/>
        <family val="0"/>
        <charset val="1"/>
      </rPr>
      <t xml:space="preserve">Faidherbia albida</t>
    </r>
    <r>
      <rPr>
        <sz val="11"/>
        <color rgb="FF000000"/>
        <rFont val="Book Antiqua"/>
        <family val="0"/>
        <charset val="1"/>
      </rPr>
      <t xml:space="preserve"> 2</t>
    </r>
  </si>
  <si>
    <t xml:space="preserve">JAC21COF2</t>
  </si>
  <si>
    <t xml:space="preserve">JAC21COF3</t>
  </si>
  <si>
    <t xml:space="preserve">JAC22</t>
  </si>
  <si>
    <t xml:space="preserve">JAC22COF1</t>
  </si>
  <si>
    <t xml:space="preserve">0° 36′ 17.7″ N</t>
  </si>
  <si>
    <t xml:space="preserve">31° 29′ 11.3″ E</t>
  </si>
  <si>
    <r>
      <rPr>
        <i val="true"/>
        <sz val="11"/>
        <color rgb="FF000000"/>
        <rFont val="Book Antiqua"/>
        <family val="0"/>
        <charset val="1"/>
      </rPr>
      <t xml:space="preserve">Erythrina</t>
    </r>
    <r>
      <rPr>
        <sz val="11"/>
        <color rgb="FF000000"/>
        <rFont val="Book Antiqua"/>
        <family val="0"/>
        <charset val="1"/>
      </rPr>
      <t xml:space="preserve"> </t>
    </r>
    <r>
      <rPr>
        <i val="true"/>
        <sz val="11"/>
        <color rgb="FF000000"/>
        <rFont val="Book Antiqua"/>
        <family val="0"/>
        <charset val="1"/>
      </rPr>
      <t xml:space="preserve">abyssinica</t>
    </r>
    <r>
      <rPr>
        <sz val="11"/>
        <color rgb="FF000000"/>
        <rFont val="Book Antiqua"/>
        <family val="0"/>
        <charset val="1"/>
      </rPr>
      <t xml:space="preserve"> 1, </t>
    </r>
    <r>
      <rPr>
        <i val="true"/>
        <sz val="11"/>
        <color rgb="FF000000"/>
        <rFont val="Book Antiqua"/>
        <family val="0"/>
        <charset val="1"/>
      </rPr>
      <t xml:space="preserve">Markhamia lutea </t>
    </r>
    <r>
      <rPr>
        <sz val="11"/>
        <color rgb="FF000000"/>
        <rFont val="Book Antiqua"/>
        <family val="0"/>
        <charset val="1"/>
      </rPr>
      <t xml:space="preserve">1, </t>
    </r>
    <r>
      <rPr>
        <i val="true"/>
        <sz val="11"/>
        <color rgb="FF000000"/>
        <rFont val="Book Antiqua"/>
        <family val="0"/>
        <charset val="1"/>
      </rPr>
      <t xml:space="preserve">Antiaris toxicaria</t>
    </r>
    <r>
      <rPr>
        <sz val="11"/>
        <color rgb="FF000000"/>
        <rFont val="Book Antiqua"/>
        <family val="0"/>
        <charset val="1"/>
      </rPr>
      <t xml:space="preserve"> 1</t>
    </r>
  </si>
  <si>
    <t xml:space="preserve">JAC22COF2</t>
  </si>
  <si>
    <t xml:space="preserve">JAC22COF3</t>
  </si>
  <si>
    <t xml:space="preserve">AVO1</t>
  </si>
  <si>
    <t xml:space="preserve">AVO1COF1</t>
  </si>
  <si>
    <t xml:space="preserve">0° 36′ 47.8089″ N</t>
  </si>
  <si>
    <t xml:space="preserve">31° 28′ 41.2174″ E</t>
  </si>
  <si>
    <r>
      <rPr>
        <i val="true"/>
        <sz val="11"/>
        <color rgb="FF000000"/>
        <rFont val="Book Antiqua"/>
        <family val="0"/>
        <charset val="1"/>
      </rPr>
      <t xml:space="preserve">Mangifera indica</t>
    </r>
    <r>
      <rPr>
        <sz val="11"/>
        <color rgb="FF000000"/>
        <rFont val="Book Antiqua"/>
        <family val="0"/>
        <charset val="1"/>
      </rPr>
      <t xml:space="preserve"> 3, </t>
    </r>
    <r>
      <rPr>
        <i val="true"/>
        <sz val="11"/>
        <color rgb="FF000000"/>
        <rFont val="Book Antiqua"/>
        <family val="0"/>
        <charset val="1"/>
      </rPr>
      <t xml:space="preserve">Melia azadirachta</t>
    </r>
    <r>
      <rPr>
        <sz val="11"/>
        <color rgb="FF000000"/>
        <rFont val="Book Antiqua"/>
        <family val="0"/>
        <charset val="1"/>
      </rPr>
      <t xml:space="preserve"> 2, </t>
    </r>
    <r>
      <rPr>
        <i val="true"/>
        <sz val="11"/>
        <color rgb="FF000000"/>
        <rFont val="Book Antiqua"/>
        <family val="0"/>
        <charset val="1"/>
      </rPr>
      <t xml:space="preserve">Sapium ellipticum</t>
    </r>
    <r>
      <rPr>
        <sz val="11"/>
        <color rgb="FF000000"/>
        <rFont val="Book Antiqua"/>
        <family val="0"/>
        <charset val="1"/>
      </rPr>
      <t xml:space="preserve"> 1, </t>
    </r>
    <r>
      <rPr>
        <i val="true"/>
        <sz val="11"/>
        <color rgb="FF000000"/>
        <rFont val="Book Antiqua"/>
        <family val="0"/>
        <charset val="1"/>
      </rPr>
      <t xml:space="preserve">Maesopsis eminii </t>
    </r>
    <r>
      <rPr>
        <sz val="11"/>
        <color rgb="FF000000"/>
        <rFont val="Book Antiqua"/>
        <family val="0"/>
        <charset val="1"/>
      </rPr>
      <t xml:space="preserve">1, </t>
    </r>
    <r>
      <rPr>
        <i val="true"/>
        <sz val="11"/>
        <color rgb="FF000000"/>
        <rFont val="Book Antiqua"/>
        <family val="0"/>
        <charset val="1"/>
      </rPr>
      <t xml:space="preserve">Flamboyant tree </t>
    </r>
    <r>
      <rPr>
        <sz val="11"/>
        <color rgb="FF000000"/>
        <rFont val="Book Antiqua"/>
        <family val="0"/>
        <charset val="1"/>
      </rPr>
      <t xml:space="preserve">2, </t>
    </r>
    <r>
      <rPr>
        <i val="true"/>
        <sz val="11"/>
        <color rgb="FF000000"/>
        <rFont val="Book Antiqua"/>
        <family val="0"/>
        <charset val="1"/>
      </rPr>
      <t xml:space="preserve">Spathodea campanulata</t>
    </r>
    <r>
      <rPr>
        <sz val="11"/>
        <color rgb="FF000000"/>
        <rFont val="Book Antiqua"/>
        <family val="0"/>
        <charset val="1"/>
      </rPr>
      <t xml:space="preserve"> 2, </t>
    </r>
    <r>
      <rPr>
        <i val="true"/>
        <sz val="11"/>
        <color rgb="FF000000"/>
        <rFont val="Book Antiqua"/>
        <family val="0"/>
        <charset val="1"/>
      </rPr>
      <t xml:space="preserve">Markhamia lutea </t>
    </r>
    <r>
      <rPr>
        <sz val="11"/>
        <color rgb="FF000000"/>
        <rFont val="Book Antiqua"/>
        <family val="0"/>
        <charset val="1"/>
      </rPr>
      <t xml:space="preserve">2, </t>
    </r>
    <r>
      <rPr>
        <i val="true"/>
        <sz val="11"/>
        <color rgb="FF000000"/>
        <rFont val="Book Antiqua"/>
        <family val="0"/>
        <charset val="1"/>
      </rPr>
      <t xml:space="preserve">Terminalia superba </t>
    </r>
    <r>
      <rPr>
        <sz val="11"/>
        <color rgb="FF000000"/>
        <rFont val="Book Antiqua"/>
        <family val="0"/>
        <charset val="1"/>
      </rPr>
      <t xml:space="preserve">1</t>
    </r>
  </si>
  <si>
    <t xml:space="preserve">AVO1COF2</t>
  </si>
  <si>
    <t xml:space="preserve">AVO1COF3</t>
  </si>
  <si>
    <t xml:space="preserve">AVO2</t>
  </si>
  <si>
    <t xml:space="preserve">AVO2COF1</t>
  </si>
  <si>
    <t xml:space="preserve">0° 36′ 47.6781″ N</t>
  </si>
  <si>
    <t xml:space="preserve">31° 28′ 39.1799″ E</t>
  </si>
  <si>
    <r>
      <rPr>
        <i val="true"/>
        <sz val="11"/>
        <color rgb="FF000000"/>
        <rFont val="Book Antiqua"/>
        <family val="0"/>
        <charset val="1"/>
      </rPr>
      <t xml:space="preserve">Spathodea campanulata </t>
    </r>
    <r>
      <rPr>
        <sz val="11"/>
        <color rgb="FF000000"/>
        <rFont val="Book Antiqua"/>
        <family val="0"/>
        <charset val="1"/>
      </rPr>
      <t xml:space="preserve">1, </t>
    </r>
    <r>
      <rPr>
        <i val="true"/>
        <sz val="11"/>
        <color rgb="FF000000"/>
        <rFont val="Book Antiqua"/>
        <family val="0"/>
        <charset val="1"/>
      </rPr>
      <t xml:space="preserve">Ficus sycomorus </t>
    </r>
    <r>
      <rPr>
        <sz val="11"/>
        <color rgb="FF000000"/>
        <rFont val="Book Antiqua"/>
        <family val="0"/>
        <charset val="1"/>
      </rPr>
      <t xml:space="preserve">1</t>
    </r>
  </si>
  <si>
    <t xml:space="preserve">AVO2COF2</t>
  </si>
  <si>
    <t xml:space="preserve">AVO2COF3</t>
  </si>
  <si>
    <t xml:space="preserve">AVO19</t>
  </si>
  <si>
    <t xml:space="preserve">AVO19COF1</t>
  </si>
  <si>
    <t xml:space="preserve">0° 36′ 33.6″ N</t>
  </si>
  <si>
    <t xml:space="preserve">31° 29′ 5.2″ E</t>
  </si>
  <si>
    <r>
      <rPr>
        <i val="true"/>
        <sz val="11"/>
        <color rgb="FF000000"/>
        <rFont val="Book Antiqua"/>
        <family val="0"/>
        <charset val="1"/>
      </rPr>
      <t xml:space="preserve">Markhamia lutea</t>
    </r>
    <r>
      <rPr>
        <sz val="11"/>
        <color rgb="FF000000"/>
        <rFont val="Book Antiqua"/>
        <family val="0"/>
        <charset val="1"/>
      </rPr>
      <t xml:space="preserve"> plantation, </t>
    </r>
    <r>
      <rPr>
        <i val="true"/>
        <sz val="11"/>
        <color rgb="FF000000"/>
        <rFont val="Book Antiqua"/>
        <family val="0"/>
        <charset val="1"/>
      </rPr>
      <t xml:space="preserve">Albizia coriaria</t>
    </r>
    <r>
      <rPr>
        <sz val="11"/>
        <color rgb="FF000000"/>
        <rFont val="Book Antiqua"/>
        <family val="0"/>
        <charset val="1"/>
      </rPr>
      <t xml:space="preserve"> 2</t>
    </r>
  </si>
  <si>
    <t xml:space="preserve">AVO19COF2</t>
  </si>
  <si>
    <t xml:space="preserve">AVO19COF3</t>
  </si>
  <si>
    <t xml:space="preserve">FIC8</t>
  </si>
  <si>
    <t xml:space="preserve">Nonve</t>
  </si>
  <si>
    <t xml:space="preserve">FIC8COF1</t>
  </si>
  <si>
    <t xml:space="preserve">0° 38′ 59″ N</t>
  </si>
  <si>
    <t xml:space="preserve">31° 27′ 29.9″ E</t>
  </si>
  <si>
    <t xml:space="preserve">FIC8COF2</t>
  </si>
  <si>
    <t xml:space="preserve">FIC8COF3</t>
  </si>
  <si>
    <t xml:space="preserve">FIC15</t>
  </si>
  <si>
    <t xml:space="preserve">FIC15COF1</t>
  </si>
  <si>
    <t xml:space="preserve">0° 38′ 59.4″ N</t>
  </si>
  <si>
    <t xml:space="preserve">31° 27′ 32.1″ E</t>
  </si>
  <si>
    <t xml:space="preserve">FIC15COF2</t>
  </si>
  <si>
    <t xml:space="preserve">FIC15COF3</t>
  </si>
  <si>
    <t xml:space="preserve">FIC16</t>
  </si>
  <si>
    <t xml:space="preserve">FIC16COF1</t>
  </si>
  <si>
    <t xml:space="preserve">0° 38′ 59.5″ N</t>
  </si>
  <si>
    <t xml:space="preserve">31° 27′ 31.6″ E</t>
  </si>
  <si>
    <t xml:space="preserve">Mangifera indica 1, Artocarpus heterophyllus 1, Albizia chinensis 1, Ficus natalensis 1</t>
  </si>
  <si>
    <t xml:space="preserve">FIC16COF2</t>
  </si>
  <si>
    <t xml:space="preserve">FIC16COF3</t>
  </si>
  <si>
    <t xml:space="preserve">FIC17</t>
  </si>
  <si>
    <t xml:space="preserve">FIC17COF1</t>
  </si>
  <si>
    <t xml:space="preserve">31° 27′ 30.9″ E</t>
  </si>
  <si>
    <t xml:space="preserve">Artocarpus heterophyllus 2, Persea americana 2, Albizia chinensis 1</t>
  </si>
  <si>
    <t xml:space="preserve">FIC17COF2</t>
  </si>
  <si>
    <t xml:space="preserve">FIC17COF3</t>
  </si>
  <si>
    <t xml:space="preserve">ALB11</t>
  </si>
  <si>
    <t xml:space="preserve">ALB11COF1</t>
  </si>
  <si>
    <t xml:space="preserve">0° 38′ 16.3″ N</t>
  </si>
  <si>
    <t xml:space="preserve">31° 27′ 47″ E</t>
  </si>
  <si>
    <t xml:space="preserve">ALB11COF2</t>
  </si>
  <si>
    <t xml:space="preserve">ALB11COF3</t>
  </si>
  <si>
    <t xml:space="preserve">ALB13</t>
  </si>
  <si>
    <t xml:space="preserve">ALB13COF1</t>
  </si>
  <si>
    <t xml:space="preserve">31° 27′ 37.5″ E</t>
  </si>
  <si>
    <t xml:space="preserve">ALB13COF2</t>
  </si>
  <si>
    <t xml:space="preserve">ALB13COF3</t>
  </si>
  <si>
    <t xml:space="preserve">ALB14</t>
  </si>
  <si>
    <t xml:space="preserve">ALB14COF1</t>
  </si>
  <si>
    <t xml:space="preserve">0° 38′ 42.5″ N</t>
  </si>
  <si>
    <t xml:space="preserve">31° 27′ 37.8″ E</t>
  </si>
  <si>
    <r>
      <rPr>
        <i val="true"/>
        <sz val="11"/>
        <color rgb="FF000000"/>
        <rFont val="Book Antiqua"/>
        <family val="0"/>
        <charset val="1"/>
      </rPr>
      <t xml:space="preserve">Maesopsis</t>
    </r>
    <r>
      <rPr>
        <sz val="11"/>
        <color rgb="FF000000"/>
        <rFont val="Book Antiqua"/>
        <family val="0"/>
        <charset val="1"/>
      </rPr>
      <t xml:space="preserve"> </t>
    </r>
    <r>
      <rPr>
        <i val="true"/>
        <sz val="11"/>
        <color rgb="FF000000"/>
        <rFont val="Book Antiqua"/>
        <family val="0"/>
        <charset val="1"/>
      </rPr>
      <t xml:space="preserve">eminii</t>
    </r>
    <r>
      <rPr>
        <sz val="11"/>
        <color rgb="FF000000"/>
        <rFont val="Book Antiqua"/>
        <family val="0"/>
        <charset val="1"/>
      </rPr>
      <t xml:space="preserve"> 1, </t>
    </r>
    <r>
      <rPr>
        <i val="true"/>
        <sz val="11"/>
        <color rgb="FF000000"/>
        <rFont val="Book Antiqua"/>
        <family val="0"/>
        <charset val="1"/>
      </rPr>
      <t xml:space="preserve">Grevillea robusta</t>
    </r>
    <r>
      <rPr>
        <sz val="11"/>
        <color rgb="FF000000"/>
        <rFont val="Book Antiqua"/>
        <family val="0"/>
        <charset val="1"/>
      </rPr>
      <t xml:space="preserve"> 1, </t>
    </r>
    <r>
      <rPr>
        <i val="true"/>
        <sz val="11"/>
        <color rgb="FF000000"/>
        <rFont val="Book Antiqua"/>
        <family val="0"/>
        <charset val="1"/>
      </rPr>
      <t xml:space="preserve">Albizia chinensis</t>
    </r>
    <r>
      <rPr>
        <sz val="11"/>
        <color rgb="FF000000"/>
        <rFont val="Book Antiqua"/>
        <family val="0"/>
        <charset val="1"/>
      </rPr>
      <t xml:space="preserve"> 1</t>
    </r>
  </si>
  <si>
    <t xml:space="preserve">ALB14COF2</t>
  </si>
  <si>
    <t xml:space="preserve">ALB14COF3</t>
  </si>
  <si>
    <t xml:space="preserve">ALB15</t>
  </si>
  <si>
    <t xml:space="preserve">ALB15COF1</t>
  </si>
  <si>
    <t xml:space="preserve"> 0° 38′ 42.8″ N</t>
  </si>
  <si>
    <t xml:space="preserve">31° 27′ 42.8″ E</t>
  </si>
  <si>
    <t xml:space="preserve">ALB15COF2</t>
  </si>
  <si>
    <t xml:space="preserve">ALB15COF3</t>
  </si>
  <si>
    <t xml:space="preserve">ALB16</t>
  </si>
  <si>
    <t xml:space="preserve">ALB16COF1</t>
  </si>
  <si>
    <t xml:space="preserve">0° 38′ 43.9″ N</t>
  </si>
  <si>
    <t xml:space="preserve">31° 27′ 44.4″ E</t>
  </si>
  <si>
    <t xml:space="preserve">ALB16COF2</t>
  </si>
  <si>
    <t xml:space="preserve">ALB16COF3</t>
  </si>
  <si>
    <t xml:space="preserve">JAC9</t>
  </si>
  <si>
    <t xml:space="preserve">JAC9COF1</t>
  </si>
  <si>
    <t xml:space="preserve">0° 38′ 43.5″ N</t>
  </si>
  <si>
    <t xml:space="preserve">31° 27′ 41″ E</t>
  </si>
  <si>
    <t xml:space="preserve">JAC9COF2</t>
  </si>
  <si>
    <t xml:space="preserve">JAC9COF3</t>
  </si>
  <si>
    <t xml:space="preserve">JAC10</t>
  </si>
  <si>
    <t xml:space="preserve">JAC10COF1</t>
  </si>
  <si>
    <t xml:space="preserve">0° 38′ 44.1″ N</t>
  </si>
  <si>
    <t xml:space="preserve">31° 27′ 44.5″ E</t>
  </si>
  <si>
    <t xml:space="preserve">JAC10COF2</t>
  </si>
  <si>
    <t xml:space="preserve">JAC10COF3</t>
  </si>
  <si>
    <t xml:space="preserve">JAC11</t>
  </si>
  <si>
    <t xml:space="preserve">JAC11COF1</t>
  </si>
  <si>
    <t xml:space="preserve"> 0° 38′ 44.4″ N</t>
  </si>
  <si>
    <t xml:space="preserve">JAC11COF2</t>
  </si>
  <si>
    <t xml:space="preserve">JAC11COF3</t>
  </si>
  <si>
    <t xml:space="preserve">JAC12</t>
  </si>
  <si>
    <t xml:space="preserve">JAC12COF1</t>
  </si>
  <si>
    <t xml:space="preserve">JAC12COF2</t>
  </si>
  <si>
    <t xml:space="preserve">JAC12COF3</t>
  </si>
  <si>
    <t xml:space="preserve">JAC13</t>
  </si>
  <si>
    <t xml:space="preserve">JAC13COF1</t>
  </si>
  <si>
    <t xml:space="preserve">0° 38′ 56″ N</t>
  </si>
  <si>
    <t xml:space="preserve">31° 27′ 31″ E</t>
  </si>
  <si>
    <r>
      <rPr>
        <i val="true"/>
        <sz val="11"/>
        <color rgb="FF000000"/>
        <rFont val="Book Antiqua"/>
        <family val="0"/>
        <charset val="1"/>
      </rPr>
      <t xml:space="preserve">Mangifera indica</t>
    </r>
    <r>
      <rPr>
        <sz val="11"/>
        <color rgb="FF000000"/>
        <rFont val="Book Antiqua"/>
        <family val="0"/>
        <charset val="1"/>
      </rPr>
      <t xml:space="preserve"> 1, P</t>
    </r>
    <r>
      <rPr>
        <i val="true"/>
        <sz val="11"/>
        <color rgb="FF000000"/>
        <rFont val="Book Antiqua"/>
        <family val="0"/>
        <charset val="1"/>
      </rPr>
      <t xml:space="preserve">ersea americana</t>
    </r>
    <r>
      <rPr>
        <sz val="11"/>
        <color rgb="FF000000"/>
        <rFont val="Book Antiqua"/>
        <family val="0"/>
        <charset val="1"/>
      </rPr>
      <t xml:space="preserve"> 4, </t>
    </r>
    <r>
      <rPr>
        <i val="true"/>
        <sz val="11"/>
        <color rgb="FF000000"/>
        <rFont val="Book Antiqua"/>
        <family val="0"/>
        <charset val="1"/>
      </rPr>
      <t xml:space="preserve">Spathodea campanulata</t>
    </r>
    <r>
      <rPr>
        <sz val="11"/>
        <color rgb="FF000000"/>
        <rFont val="Book Antiqua"/>
        <family val="0"/>
        <charset val="1"/>
      </rPr>
      <t xml:space="preserve"> 1, </t>
    </r>
    <r>
      <rPr>
        <i val="true"/>
        <sz val="11"/>
        <color rgb="FF000000"/>
        <rFont val="Book Antiqua"/>
        <family val="0"/>
        <charset val="1"/>
      </rPr>
      <t xml:space="preserve">Psidium guajava</t>
    </r>
    <r>
      <rPr>
        <sz val="11"/>
        <color rgb="FF000000"/>
        <rFont val="Book Antiqua"/>
        <family val="0"/>
        <charset val="1"/>
      </rPr>
      <t xml:space="preserve"> 1, </t>
    </r>
    <r>
      <rPr>
        <i val="true"/>
        <sz val="11"/>
        <color rgb="FF000000"/>
        <rFont val="Book Antiqua"/>
        <family val="0"/>
        <charset val="1"/>
      </rPr>
      <t xml:space="preserve">Carica papaya</t>
    </r>
    <r>
      <rPr>
        <sz val="11"/>
        <color rgb="FF000000"/>
        <rFont val="Book Antiqua"/>
        <family val="0"/>
        <charset val="1"/>
      </rPr>
      <t xml:space="preserve"> 2, </t>
    </r>
    <r>
      <rPr>
        <i val="true"/>
        <sz val="11"/>
        <color rgb="FF000000"/>
        <rFont val="Book Antiqua"/>
        <family val="0"/>
        <charset val="1"/>
      </rPr>
      <t xml:space="preserve">Terminaria </t>
    </r>
    <r>
      <rPr>
        <sz val="11"/>
        <color rgb="FF000000"/>
        <rFont val="Book Antiqua"/>
        <family val="0"/>
        <charset val="1"/>
      </rPr>
      <t xml:space="preserve">1</t>
    </r>
  </si>
  <si>
    <t xml:space="preserve">JAC13COF2</t>
  </si>
  <si>
    <t xml:space="preserve">JAC13COF3</t>
  </si>
  <si>
    <t xml:space="preserve">AVO8</t>
  </si>
  <si>
    <t xml:space="preserve">AVO8COF1</t>
  </si>
  <si>
    <t xml:space="preserve">0° 38′ 43.7″ N</t>
  </si>
  <si>
    <t xml:space="preserve">31° 27′ 41.6″ E</t>
  </si>
  <si>
    <r>
      <rPr>
        <i val="true"/>
        <sz val="11"/>
        <color rgb="FF000000"/>
        <rFont val="Book Antiqua"/>
        <family val="0"/>
        <charset val="1"/>
      </rPr>
      <t xml:space="preserve">Psidium guajava</t>
    </r>
    <r>
      <rPr>
        <sz val="11"/>
        <color rgb="FF000000"/>
        <rFont val="Book Antiqua"/>
        <family val="0"/>
        <charset val="1"/>
      </rPr>
      <t xml:space="preserve"> 1, </t>
    </r>
    <r>
      <rPr>
        <i val="true"/>
        <sz val="11"/>
        <color rgb="FF000000"/>
        <rFont val="Book Antiqua"/>
        <family val="0"/>
        <charset val="1"/>
      </rPr>
      <t xml:space="preserve">Maesopsis eminii</t>
    </r>
    <r>
      <rPr>
        <sz val="11"/>
        <color rgb="FF000000"/>
        <rFont val="Book Antiqua"/>
        <family val="0"/>
        <charset val="1"/>
      </rPr>
      <t xml:space="preserve"> 1</t>
    </r>
  </si>
  <si>
    <t xml:space="preserve">AVO8COF2</t>
  </si>
  <si>
    <t xml:space="preserve">AVO8COF3</t>
  </si>
  <si>
    <t xml:space="preserve">AVO9</t>
  </si>
  <si>
    <t xml:space="preserve">AVO9COF1</t>
  </si>
  <si>
    <t xml:space="preserve">0° 38′ 42.3″ N</t>
  </si>
  <si>
    <r>
      <rPr>
        <i val="true"/>
        <sz val="11"/>
        <color rgb="FF000000"/>
        <rFont val="Book Antiqua"/>
        <family val="0"/>
        <charset val="1"/>
      </rPr>
      <t xml:space="preserve">Psidium guajava</t>
    </r>
    <r>
      <rPr>
        <sz val="11"/>
        <color rgb="FF000000"/>
        <rFont val="Book Antiqua"/>
        <family val="0"/>
        <charset val="1"/>
      </rPr>
      <t xml:space="preserve"> 2, </t>
    </r>
    <r>
      <rPr>
        <i val="true"/>
        <sz val="11"/>
        <color rgb="FF000000"/>
        <rFont val="Book Antiqua"/>
        <family val="0"/>
        <charset val="1"/>
      </rPr>
      <t xml:space="preserve">Albizia coriari</t>
    </r>
    <r>
      <rPr>
        <sz val="11"/>
        <color rgb="FF000000"/>
        <rFont val="Book Antiqua"/>
        <family val="0"/>
        <charset val="1"/>
      </rPr>
      <t xml:space="preserve">a 1, </t>
    </r>
    <r>
      <rPr>
        <i val="true"/>
        <sz val="11"/>
        <color rgb="FF000000"/>
        <rFont val="Book Antiqua"/>
        <family val="0"/>
        <charset val="1"/>
      </rPr>
      <t xml:space="preserve">Maesopsis eminii </t>
    </r>
    <r>
      <rPr>
        <sz val="11"/>
        <color rgb="FF000000"/>
        <rFont val="Book Antiqua"/>
        <family val="0"/>
        <charset val="1"/>
      </rPr>
      <t xml:space="preserve">1, </t>
    </r>
  </si>
  <si>
    <t xml:space="preserve">AVO9COF2</t>
  </si>
  <si>
    <t xml:space="preserve">AVO9COF3</t>
  </si>
  <si>
    <t xml:space="preserve">AVO14</t>
  </si>
  <si>
    <t xml:space="preserve">AVO14COF1</t>
  </si>
  <si>
    <t xml:space="preserve">31° 27′ 30.6″ E</t>
  </si>
  <si>
    <r>
      <rPr>
        <i val="true"/>
        <sz val="11"/>
        <color rgb="FF000000"/>
        <rFont val="Book Antiqua"/>
        <family val="0"/>
        <charset val="1"/>
      </rPr>
      <t xml:space="preserve">Mangifera indica</t>
    </r>
    <r>
      <rPr>
        <sz val="11"/>
        <color rgb="FF000000"/>
        <rFont val="Book Antiqua"/>
        <family val="0"/>
        <charset val="1"/>
      </rPr>
      <t xml:space="preserve"> 2, </t>
    </r>
    <r>
      <rPr>
        <i val="true"/>
        <sz val="11"/>
        <color rgb="FF000000"/>
        <rFont val="Book Antiqua"/>
        <family val="0"/>
        <charset val="1"/>
      </rPr>
      <t xml:space="preserve">Artocarpus heterophyllus</t>
    </r>
    <r>
      <rPr>
        <sz val="11"/>
        <color rgb="FF000000"/>
        <rFont val="Book Antiqua"/>
        <family val="0"/>
        <charset val="1"/>
      </rPr>
      <t xml:space="preserve"> 2, </t>
    </r>
    <r>
      <rPr>
        <i val="true"/>
        <sz val="11"/>
        <color rgb="FF000000"/>
        <rFont val="Book Antiqua"/>
        <family val="0"/>
        <charset val="1"/>
      </rPr>
      <t xml:space="preserve">Maesopsis eminii</t>
    </r>
    <r>
      <rPr>
        <sz val="11"/>
        <color rgb="FF000000"/>
        <rFont val="Book Antiqua"/>
        <family val="0"/>
        <charset val="1"/>
      </rPr>
      <t xml:space="preserve"> 2, </t>
    </r>
    <r>
      <rPr>
        <i val="true"/>
        <sz val="11"/>
        <color rgb="FF000000"/>
        <rFont val="Book Antiqua"/>
        <family val="0"/>
        <charset val="1"/>
      </rPr>
      <t xml:space="preserve">Persea americana</t>
    </r>
    <r>
      <rPr>
        <sz val="11"/>
        <color rgb="FF000000"/>
        <rFont val="Book Antiqua"/>
        <family val="0"/>
        <charset val="1"/>
      </rPr>
      <t xml:space="preserve"> 2, </t>
    </r>
    <r>
      <rPr>
        <i val="true"/>
        <sz val="11"/>
        <color rgb="FF000000"/>
        <rFont val="Book Antiqua"/>
        <family val="0"/>
        <charset val="1"/>
      </rPr>
      <t xml:space="preserve">Albizia chinensis</t>
    </r>
    <r>
      <rPr>
        <sz val="11"/>
        <color rgb="FF000000"/>
        <rFont val="Book Antiqua"/>
        <family val="0"/>
        <charset val="1"/>
      </rPr>
      <t xml:space="preserve"> 1</t>
    </r>
  </si>
  <si>
    <t xml:space="preserve">AVO14COF2</t>
  </si>
  <si>
    <t xml:space="preserve">AVO14COF3</t>
  </si>
  <si>
    <t xml:space="preserve">AVO15</t>
  </si>
  <si>
    <t xml:space="preserve">AVO15COF1</t>
  </si>
  <si>
    <t xml:space="preserve">0° 38′ 56.9″ N</t>
  </si>
  <si>
    <t xml:space="preserve">31° 27′ 32.3″ E</t>
  </si>
  <si>
    <r>
      <rPr>
        <i val="true"/>
        <sz val="11"/>
        <color rgb="FF000000"/>
        <rFont val="Book Antiqua"/>
        <family val="0"/>
        <charset val="1"/>
      </rPr>
      <t xml:space="preserve">Psidium</t>
    </r>
    <r>
      <rPr>
        <sz val="11"/>
        <color rgb="FF000000"/>
        <rFont val="Book Antiqua"/>
        <family val="0"/>
        <charset val="1"/>
      </rPr>
      <t xml:space="preserve"> </t>
    </r>
    <r>
      <rPr>
        <i val="true"/>
        <sz val="11"/>
        <color rgb="FF000000"/>
        <rFont val="Book Antiqua"/>
        <family val="0"/>
        <charset val="1"/>
      </rPr>
      <t xml:space="preserve">guajava</t>
    </r>
    <r>
      <rPr>
        <sz val="11"/>
        <color rgb="FF000000"/>
        <rFont val="Book Antiqua"/>
        <family val="0"/>
        <charset val="1"/>
      </rPr>
      <t xml:space="preserve"> 1, </t>
    </r>
    <r>
      <rPr>
        <i val="true"/>
        <sz val="11"/>
        <color rgb="FF000000"/>
        <rFont val="Book Antiqua"/>
        <family val="0"/>
        <charset val="1"/>
      </rPr>
      <t xml:space="preserve">Artocarpus heterophyllus</t>
    </r>
    <r>
      <rPr>
        <sz val="11"/>
        <color rgb="FF000000"/>
        <rFont val="Book Antiqua"/>
        <family val="0"/>
        <charset val="1"/>
      </rPr>
      <t xml:space="preserve"> 1, </t>
    </r>
    <r>
      <rPr>
        <i val="true"/>
        <sz val="11"/>
        <color rgb="FF000000"/>
        <rFont val="Book Antiqua"/>
        <family val="0"/>
        <charset val="1"/>
      </rPr>
      <t xml:space="preserve">Persea americana</t>
    </r>
    <r>
      <rPr>
        <sz val="11"/>
        <color rgb="FF000000"/>
        <rFont val="Book Antiqua"/>
        <family val="0"/>
        <charset val="1"/>
      </rPr>
      <t xml:space="preserve"> 1, </t>
    </r>
    <r>
      <rPr>
        <i val="true"/>
        <sz val="11"/>
        <color rgb="FF000000"/>
        <rFont val="Book Antiqua"/>
        <family val="0"/>
        <charset val="1"/>
      </rPr>
      <t xml:space="preserve">Albizia zygia</t>
    </r>
    <r>
      <rPr>
        <sz val="11"/>
        <color rgb="FF000000"/>
        <rFont val="Book Antiqua"/>
        <family val="0"/>
        <charset val="1"/>
      </rPr>
      <t xml:space="preserve"> 1</t>
    </r>
  </si>
  <si>
    <t xml:space="preserve">AVO15COF2</t>
  </si>
  <si>
    <t xml:space="preserve">AVO15COF3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</si>
</sst>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\-mmm"/>
    <numFmt numFmtId="166" formatCode="m/d/yyyy"/>
    <numFmt numFmtId="167" formatCode="d\-mmm\-yy"/>
  </numFmts>
  <fonts count="1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Book Antiqua"/>
      <family val="0"/>
      <charset val="1"/>
    </font>
    <font>
      <b val="true"/>
      <sz val="11"/>
      <color theme="1"/>
      <name val="Book Antiqua"/>
      <family val="0"/>
      <charset val="1"/>
    </font>
    <font>
      <i val="true"/>
      <sz val="11"/>
      <color rgb="FF000000"/>
      <name val="Book Antiqua"/>
      <family val="0"/>
      <charset val="1"/>
    </font>
    <font>
      <sz val="11"/>
      <color rgb="FF000000"/>
      <name val="Book Antiqua"/>
      <family val="0"/>
      <charset val="1"/>
    </font>
    <font>
      <sz val="11"/>
      <color theme="1"/>
      <name val="Calibri"/>
      <family val="0"/>
      <charset val="1"/>
    </font>
    <font>
      <sz val="11"/>
      <color theme="1"/>
      <name val="Book Antiqua"/>
      <family val="0"/>
      <charset val="1"/>
    </font>
    <font>
      <i val="true"/>
      <sz val="11"/>
      <color theme="1"/>
      <name val="Book Antiqua"/>
      <family val="0"/>
      <charset val="1"/>
    </font>
    <font>
      <sz val="10"/>
      <color rgb="FF000000"/>
      <name val="Liberation Mono;Courier New;DejaVu Sans Mono"/>
      <family val="3"/>
      <charset val="1"/>
    </font>
    <font>
      <sz val="11"/>
      <color theme="1"/>
      <name val="Calibri"/>
      <family val="2"/>
      <charset val="1"/>
    </font>
    <font>
      <i val="true"/>
      <sz val="11"/>
      <color theme="1"/>
      <name val="Book Antiqua"/>
      <family val="1"/>
      <charset val="1"/>
    </font>
    <font>
      <sz val="11"/>
      <color theme="1"/>
      <name val="Book Antiqua"/>
      <family val="1"/>
      <charset val="1"/>
    </font>
    <font>
      <sz val="11"/>
      <color rgb="FF000000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FF99FF"/>
        <bgColor rgb="FFCC99FF"/>
      </patternFill>
    </fill>
    <fill>
      <patternFill patternType="solid">
        <fgColor rgb="FF92D050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38761D"/>
        <bgColor rgb="FF339966"/>
      </patternFill>
    </fill>
    <fill>
      <patternFill patternType="solid">
        <fgColor rgb="FF6FA8DC"/>
        <bgColor rgb="FF969696"/>
      </patternFill>
    </fill>
    <fill>
      <patternFill patternType="solid">
        <fgColor rgb="FFA4C2F4"/>
        <bgColor rgb="FFCCCCFF"/>
      </patternFill>
    </fill>
    <fill>
      <patternFill patternType="solid">
        <fgColor rgb="FFB6D7A8"/>
        <bgColor rgb="FFA4C2F4"/>
      </patternFill>
    </fill>
    <fill>
      <patternFill patternType="solid">
        <fgColor rgb="FFFFFFFF"/>
        <bgColor rgb="FFFFFFCC"/>
      </patternFill>
    </fill>
    <fill>
      <patternFill patternType="solid">
        <fgColor rgb="FFFF0000"/>
        <bgColor rgb="FF9933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3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4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4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1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1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8761D"/>
      <rgbColor rgb="FF000080"/>
      <rgbColor rgb="FF808000"/>
      <rgbColor rgb="FF800080"/>
      <rgbColor rgb="FF008080"/>
      <rgbColor rgb="FFB6D7A8"/>
      <rgbColor rgb="FF808080"/>
      <rgbColor rgb="FF6FA8DC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4C2F4"/>
      <rgbColor rgb="FFFF99FF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Y256"/>
  <sheetViews>
    <sheetView showFormulas="false" showGridLines="true" showRowColHeaders="true" showZeros="true" rightToLeft="false" tabSelected="true" showOutlineSymbols="true" defaultGridColor="true" view="normal" topLeftCell="CZ1" colorId="64" zoomScale="100" zoomScaleNormal="100" zoomScalePageLayoutView="100" workbookViewId="0">
      <pane xSplit="0" ySplit="1" topLeftCell="A211" activePane="bottomLeft" state="frozen"/>
      <selection pane="topLeft" activeCell="CZ1" activeCellId="0" sqref="CZ1"/>
      <selection pane="bottomLeft" activeCell="DQ248" activeCellId="0" sqref="DQ248"/>
    </sheetView>
  </sheetViews>
  <sheetFormatPr defaultColWidth="14.43359375" defaultRowHeight="15" zeroHeight="false" outlineLevelRow="0" outlineLevelCol="0"/>
  <cols>
    <col collapsed="false" customWidth="true" hidden="false" outlineLevel="0" max="5" min="1" style="1" width="8.71"/>
    <col collapsed="false" customWidth="true" hidden="false" outlineLevel="0" max="6" min="6" style="1" width="13.43"/>
    <col collapsed="false" customWidth="true" hidden="false" outlineLevel="0" max="7" min="7" style="1" width="16.29"/>
    <col collapsed="false" customWidth="true" hidden="false" outlineLevel="0" max="10" min="8" style="1" width="8.71"/>
    <col collapsed="false" customWidth="true" hidden="false" outlineLevel="0" max="11" min="11" style="1" width="20.84"/>
    <col collapsed="false" customWidth="true" hidden="false" outlineLevel="0" max="12" min="12" style="1" width="25.57"/>
    <col collapsed="false" customWidth="true" hidden="false" outlineLevel="0" max="257" min="13" style="1" width="8.71"/>
    <col collapsed="false" customWidth="true" hidden="false" outlineLevel="0" max="258" min="258" style="1" width="11"/>
    <col collapsed="false" customWidth="true" hidden="false" outlineLevel="0" max="259" min="259" style="1" width="8.71"/>
  </cols>
  <sheetData>
    <row r="1" customFormat="false" ht="90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2" t="s">
        <v>20</v>
      </c>
      <c r="V1" s="2" t="s">
        <v>21</v>
      </c>
      <c r="W1" s="2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s="6" t="s">
        <v>101</v>
      </c>
      <c r="CY1" s="6" t="s">
        <v>102</v>
      </c>
      <c r="CZ1" s="6" t="s">
        <v>103</v>
      </c>
      <c r="DA1" s="6" t="s">
        <v>104</v>
      </c>
      <c r="DB1" s="6" t="s">
        <v>105</v>
      </c>
      <c r="DC1" s="6" t="s">
        <v>106</v>
      </c>
      <c r="DD1" s="6" t="s">
        <v>107</v>
      </c>
      <c r="DE1" s="6" t="s">
        <v>108</v>
      </c>
      <c r="DF1" s="6" t="s">
        <v>109</v>
      </c>
      <c r="DG1" s="6" t="s">
        <v>110</v>
      </c>
      <c r="DH1" s="6" t="s">
        <v>111</v>
      </c>
      <c r="DI1" s="6" t="s">
        <v>112</v>
      </c>
      <c r="DJ1" s="6" t="s">
        <v>113</v>
      </c>
      <c r="DK1" s="6" t="s">
        <v>114</v>
      </c>
      <c r="DL1" s="6" t="s">
        <v>115</v>
      </c>
      <c r="DM1" s="6" t="s">
        <v>116</v>
      </c>
      <c r="DN1" s="6" t="s">
        <v>117</v>
      </c>
      <c r="DO1" s="6" t="s">
        <v>118</v>
      </c>
      <c r="DP1" s="6" t="s">
        <v>119</v>
      </c>
      <c r="DQ1" s="6" t="s">
        <v>120</v>
      </c>
      <c r="DR1" s="6" t="s">
        <v>121</v>
      </c>
      <c r="DS1" s="6" t="s">
        <v>122</v>
      </c>
      <c r="DT1" s="6" t="s">
        <v>123</v>
      </c>
      <c r="DU1" s="6" t="s">
        <v>124</v>
      </c>
      <c r="DV1" s="6" t="s">
        <v>125</v>
      </c>
      <c r="DW1" s="6" t="s">
        <v>126</v>
      </c>
      <c r="DX1" s="6" t="s">
        <v>127</v>
      </c>
      <c r="DY1" s="6" t="s">
        <v>128</v>
      </c>
      <c r="DZ1" s="6" t="s">
        <v>129</v>
      </c>
      <c r="EA1" s="6" t="s">
        <v>130</v>
      </c>
      <c r="EB1" s="6" t="s">
        <v>131</v>
      </c>
      <c r="EC1" s="6" t="s">
        <v>132</v>
      </c>
      <c r="ED1" s="6" t="s">
        <v>133</v>
      </c>
      <c r="EE1" s="6" t="s">
        <v>134</v>
      </c>
      <c r="EF1" s="6" t="s">
        <v>135</v>
      </c>
      <c r="EG1" s="6" t="s">
        <v>136</v>
      </c>
      <c r="EH1" s="6" t="s">
        <v>137</v>
      </c>
      <c r="EI1" s="6" t="s">
        <v>138</v>
      </c>
      <c r="EJ1" s="6" t="s">
        <v>139</v>
      </c>
      <c r="EK1" s="6" t="s">
        <v>140</v>
      </c>
      <c r="EL1" s="6" t="s">
        <v>141</v>
      </c>
      <c r="EM1" s="6" t="s">
        <v>142</v>
      </c>
      <c r="EN1" s="6" t="s">
        <v>143</v>
      </c>
      <c r="EO1" s="6" t="s">
        <v>144</v>
      </c>
      <c r="EP1" s="6" t="s">
        <v>145</v>
      </c>
      <c r="EQ1" s="6" t="s">
        <v>146</v>
      </c>
      <c r="ER1" s="6" t="s">
        <v>147</v>
      </c>
      <c r="ES1" s="6" t="s">
        <v>148</v>
      </c>
      <c r="ET1" s="6" t="s">
        <v>149</v>
      </c>
      <c r="EU1" s="6" t="s">
        <v>150</v>
      </c>
      <c r="EV1" s="6" t="s">
        <v>151</v>
      </c>
      <c r="EW1" s="6" t="s">
        <v>152</v>
      </c>
      <c r="EX1" s="6" t="s">
        <v>153</v>
      </c>
      <c r="EY1" s="6" t="s">
        <v>154</v>
      </c>
      <c r="EZ1" s="6" t="s">
        <v>155</v>
      </c>
      <c r="FA1" s="6" t="s">
        <v>156</v>
      </c>
      <c r="FB1" s="6" t="s">
        <v>157</v>
      </c>
      <c r="FC1" s="6" t="s">
        <v>158</v>
      </c>
      <c r="FD1" s="6" t="s">
        <v>159</v>
      </c>
      <c r="FE1" s="6" t="s">
        <v>160</v>
      </c>
      <c r="FF1" s="6" t="s">
        <v>161</v>
      </c>
      <c r="FG1" s="6" t="s">
        <v>162</v>
      </c>
      <c r="FH1" s="6" t="s">
        <v>163</v>
      </c>
      <c r="FI1" s="6" t="s">
        <v>164</v>
      </c>
      <c r="FJ1" s="6" t="s">
        <v>165</v>
      </c>
      <c r="FK1" s="6" t="s">
        <v>166</v>
      </c>
      <c r="FL1" s="6" t="s">
        <v>167</v>
      </c>
      <c r="FM1" s="6" t="s">
        <v>168</v>
      </c>
      <c r="FN1" s="6" t="s">
        <v>169</v>
      </c>
      <c r="FO1" s="6" t="s">
        <v>170</v>
      </c>
      <c r="FP1" s="6" t="s">
        <v>171</v>
      </c>
      <c r="FQ1" s="6" t="s">
        <v>172</v>
      </c>
      <c r="FR1" s="6" t="s">
        <v>173</v>
      </c>
      <c r="FS1" s="6" t="s">
        <v>174</v>
      </c>
      <c r="FT1" s="6" t="s">
        <v>175</v>
      </c>
      <c r="FU1" s="6" t="s">
        <v>176</v>
      </c>
      <c r="FV1" s="6" t="s">
        <v>177</v>
      </c>
      <c r="FW1" s="6" t="s">
        <v>178</v>
      </c>
      <c r="FX1" s="7" t="s">
        <v>179</v>
      </c>
      <c r="FY1" s="7" t="s">
        <v>180</v>
      </c>
      <c r="FZ1" s="7" t="s">
        <v>181</v>
      </c>
      <c r="GA1" s="7" t="s">
        <v>182</v>
      </c>
      <c r="GB1" s="7" t="s">
        <v>183</v>
      </c>
      <c r="GC1" s="7" t="s">
        <v>184</v>
      </c>
      <c r="GD1" s="7" t="s">
        <v>185</v>
      </c>
      <c r="GE1" s="7" t="s">
        <v>186</v>
      </c>
      <c r="GF1" s="7" t="s">
        <v>187</v>
      </c>
      <c r="GG1" s="7" t="s">
        <v>188</v>
      </c>
      <c r="GH1" s="7" t="s">
        <v>189</v>
      </c>
      <c r="GI1" s="7" t="s">
        <v>190</v>
      </c>
      <c r="GJ1" s="7" t="s">
        <v>191</v>
      </c>
      <c r="GK1" s="7" t="s">
        <v>192</v>
      </c>
      <c r="GL1" s="7" t="s">
        <v>193</v>
      </c>
      <c r="GM1" s="7" t="s">
        <v>194</v>
      </c>
      <c r="GN1" s="7" t="s">
        <v>195</v>
      </c>
      <c r="GO1" s="7" t="s">
        <v>196</v>
      </c>
      <c r="GP1" s="7" t="s">
        <v>197</v>
      </c>
      <c r="GQ1" s="7" t="s">
        <v>198</v>
      </c>
      <c r="GR1" s="7" t="s">
        <v>199</v>
      </c>
      <c r="GS1" s="7" t="s">
        <v>200</v>
      </c>
      <c r="GT1" s="7" t="s">
        <v>201</v>
      </c>
      <c r="GU1" s="7" t="s">
        <v>202</v>
      </c>
      <c r="GV1" s="7" t="s">
        <v>203</v>
      </c>
      <c r="GW1" s="7" t="s">
        <v>204</v>
      </c>
      <c r="GX1" s="7" t="s">
        <v>205</v>
      </c>
      <c r="GY1" s="7" t="s">
        <v>206</v>
      </c>
      <c r="GZ1" s="7" t="s">
        <v>207</v>
      </c>
      <c r="HA1" s="7" t="s">
        <v>208</v>
      </c>
      <c r="HB1" s="7" t="s">
        <v>209</v>
      </c>
      <c r="HC1" s="7" t="s">
        <v>210</v>
      </c>
      <c r="HD1" s="7" t="s">
        <v>211</v>
      </c>
      <c r="HE1" s="7" t="s">
        <v>212</v>
      </c>
      <c r="HF1" s="7" t="s">
        <v>213</v>
      </c>
      <c r="HG1" s="7" t="s">
        <v>214</v>
      </c>
      <c r="HH1" s="7" t="s">
        <v>215</v>
      </c>
      <c r="HI1" s="7" t="s">
        <v>216</v>
      </c>
      <c r="HJ1" s="7" t="s">
        <v>217</v>
      </c>
      <c r="HK1" s="7" t="s">
        <v>218</v>
      </c>
      <c r="HL1" s="7" t="s">
        <v>219</v>
      </c>
      <c r="HM1" s="7" t="s">
        <v>220</v>
      </c>
      <c r="HN1" s="7" t="s">
        <v>221</v>
      </c>
      <c r="HO1" s="7" t="s">
        <v>222</v>
      </c>
      <c r="HP1" s="7" t="s">
        <v>223</v>
      </c>
      <c r="HQ1" s="7" t="s">
        <v>224</v>
      </c>
      <c r="HR1" s="7" t="s">
        <v>225</v>
      </c>
      <c r="HS1" s="7" t="s">
        <v>226</v>
      </c>
      <c r="HT1" s="7" t="s">
        <v>227</v>
      </c>
      <c r="HU1" s="7" t="s">
        <v>228</v>
      </c>
      <c r="HV1" s="7" t="s">
        <v>229</v>
      </c>
      <c r="HW1" s="7" t="s">
        <v>230</v>
      </c>
      <c r="HX1" s="7" t="s">
        <v>231</v>
      </c>
      <c r="HY1" s="7" t="s">
        <v>232</v>
      </c>
      <c r="HZ1" s="7" t="s">
        <v>233</v>
      </c>
      <c r="IA1" s="7" t="s">
        <v>234</v>
      </c>
      <c r="IB1" s="7" t="s">
        <v>235</v>
      </c>
      <c r="IC1" s="7" t="s">
        <v>236</v>
      </c>
      <c r="ID1" s="7" t="s">
        <v>237</v>
      </c>
      <c r="IE1" s="7" t="s">
        <v>238</v>
      </c>
      <c r="IF1" s="7" t="s">
        <v>239</v>
      </c>
      <c r="IG1" s="7" t="s">
        <v>240</v>
      </c>
      <c r="IH1" s="7" t="s">
        <v>241</v>
      </c>
      <c r="II1" s="7" t="s">
        <v>242</v>
      </c>
      <c r="IJ1" s="7" t="s">
        <v>243</v>
      </c>
      <c r="IK1" s="7" t="s">
        <v>244</v>
      </c>
      <c r="IL1" s="7" t="s">
        <v>245</v>
      </c>
      <c r="IM1" s="7" t="s">
        <v>246</v>
      </c>
      <c r="IN1" s="7" t="s">
        <v>247</v>
      </c>
      <c r="IO1" s="7" t="s">
        <v>248</v>
      </c>
      <c r="IP1" s="7" t="s">
        <v>249</v>
      </c>
      <c r="IQ1" s="7" t="s">
        <v>250</v>
      </c>
      <c r="IR1" s="7" t="s">
        <v>251</v>
      </c>
      <c r="IS1" s="7" t="s">
        <v>252</v>
      </c>
      <c r="IT1" s="7" t="s">
        <v>253</v>
      </c>
      <c r="IU1" s="8" t="s">
        <v>254</v>
      </c>
      <c r="IV1" s="7" t="s">
        <v>255</v>
      </c>
      <c r="IW1" s="7" t="s">
        <v>256</v>
      </c>
      <c r="IX1" s="4" t="s">
        <v>257</v>
      </c>
      <c r="IY1" s="2" t="s">
        <v>258</v>
      </c>
    </row>
    <row r="2" customFormat="false" ht="15" hidden="false" customHeight="false" outlineLevel="0" collapsed="false">
      <c r="A2" s="9" t="s">
        <v>259</v>
      </c>
      <c r="B2" s="10" t="s">
        <v>260</v>
      </c>
      <c r="C2" s="10" t="s">
        <v>261</v>
      </c>
      <c r="D2" s="10" t="n">
        <v>1</v>
      </c>
      <c r="E2" s="10" t="n">
        <v>1</v>
      </c>
      <c r="F2" s="10" t="s">
        <v>262</v>
      </c>
      <c r="G2" s="11" t="s">
        <v>263</v>
      </c>
      <c r="H2" s="11" t="n">
        <v>21</v>
      </c>
      <c r="I2" s="10" t="n">
        <v>3</v>
      </c>
      <c r="J2" s="12" t="s">
        <v>264</v>
      </c>
      <c r="K2" s="13" t="s">
        <v>265</v>
      </c>
      <c r="L2" s="13" t="s">
        <v>266</v>
      </c>
      <c r="M2" s="14" t="n">
        <v>1306</v>
      </c>
      <c r="N2" s="15" t="n">
        <v>45134</v>
      </c>
      <c r="O2" s="10" t="s">
        <v>267</v>
      </c>
      <c r="P2" s="10"/>
      <c r="Q2" s="10" t="n">
        <v>38.37</v>
      </c>
      <c r="R2" s="10" t="n">
        <v>20</v>
      </c>
      <c r="S2" s="10" t="n">
        <v>-10</v>
      </c>
      <c r="T2" s="10" t="n">
        <v>110</v>
      </c>
      <c r="U2" s="10"/>
      <c r="V2" s="10"/>
      <c r="W2" s="10"/>
      <c r="X2" s="11" t="n">
        <v>0</v>
      </c>
      <c r="Y2" s="11" t="n">
        <v>0</v>
      </c>
      <c r="Z2" s="11" t="n">
        <v>0</v>
      </c>
      <c r="AA2" s="11" t="n">
        <v>0</v>
      </c>
      <c r="AB2" s="11" t="n">
        <f aca="false">(X2+Y2+Z2+AA2)/4</f>
        <v>0</v>
      </c>
      <c r="AC2" s="11" t="n">
        <v>1</v>
      </c>
      <c r="AD2" s="11" t="n">
        <v>1</v>
      </c>
      <c r="AE2" s="11" t="n">
        <v>1</v>
      </c>
      <c r="AF2" s="11" t="n">
        <v>1</v>
      </c>
      <c r="AG2" s="11" t="n">
        <f aca="false">(AC2+AD2+AE2+AF2)/4</f>
        <v>1</v>
      </c>
      <c r="AH2" s="11" t="n">
        <v>0</v>
      </c>
      <c r="AI2" s="11" t="n">
        <v>1</v>
      </c>
      <c r="AJ2" s="11" t="n">
        <v>1</v>
      </c>
      <c r="AK2" s="11" t="n">
        <v>0</v>
      </c>
      <c r="AL2" s="11" t="n">
        <f aca="false">(AH2+AI2+AJ2+AK2)/4</f>
        <v>0.5</v>
      </c>
      <c r="AM2" s="11" t="n">
        <v>9</v>
      </c>
      <c r="AN2" s="11" t="n">
        <v>86</v>
      </c>
      <c r="AO2" s="11" t="n">
        <v>37</v>
      </c>
      <c r="AP2" s="11" t="n">
        <v>76</v>
      </c>
      <c r="AQ2" s="11" t="n">
        <f aca="false">(AM2+AN2+AO2+AP2)/4</f>
        <v>52</v>
      </c>
      <c r="AR2" s="11" t="n">
        <v>10</v>
      </c>
      <c r="AS2" s="11" t="n">
        <v>19</v>
      </c>
      <c r="AT2" s="11" t="n">
        <v>23</v>
      </c>
      <c r="AU2" s="11" t="n">
        <v>11</v>
      </c>
      <c r="AV2" s="11" t="n">
        <f aca="false">(AR2+AS2+AT2+AU2)/4</f>
        <v>15.75</v>
      </c>
      <c r="AW2" s="11" t="n">
        <v>0</v>
      </c>
      <c r="AX2" s="11" t="n">
        <v>0</v>
      </c>
      <c r="AY2" s="11" t="n">
        <v>0</v>
      </c>
      <c r="AZ2" s="11" t="n">
        <v>0</v>
      </c>
      <c r="BA2" s="11" t="n">
        <f aca="false">(AW2+AX2+AY2+AZ2)/4</f>
        <v>0</v>
      </c>
      <c r="BB2" s="11" t="n">
        <f aca="false">(AW2/AR2)</f>
        <v>0</v>
      </c>
      <c r="BC2" s="11" t="n">
        <f aca="false">(AX2/AS2)</f>
        <v>0</v>
      </c>
      <c r="BD2" s="11" t="n">
        <f aca="false">(AY2/AT2)</f>
        <v>0</v>
      </c>
      <c r="BE2" s="11" t="n">
        <f aca="false">(AZ2/AU2)</f>
        <v>0</v>
      </c>
      <c r="BF2" s="11" t="n">
        <f aca="false">(BA2/AV2)</f>
        <v>0</v>
      </c>
      <c r="BG2" s="11" t="n">
        <f aca="false">(BF2*100)</f>
        <v>0</v>
      </c>
      <c r="BH2" s="11" t="n">
        <v>0</v>
      </c>
      <c r="BI2" s="11" t="n">
        <v>2</v>
      </c>
      <c r="BJ2" s="11" t="n">
        <v>4</v>
      </c>
      <c r="BK2" s="11" t="n">
        <v>7</v>
      </c>
      <c r="BL2" s="11" t="n">
        <v>2</v>
      </c>
      <c r="BM2" s="11" t="n">
        <f aca="false">(BI2+BJ2+BK2+BL2)/4</f>
        <v>3.75</v>
      </c>
      <c r="BN2" s="11" t="n">
        <f aca="false">(BI2/AR2)</f>
        <v>0.2</v>
      </c>
      <c r="BO2" s="11" t="n">
        <f aca="false">(BJ2/AS2)</f>
        <v>0.210526315789474</v>
      </c>
      <c r="BP2" s="11" t="n">
        <f aca="false">(BK2/AT2)</f>
        <v>0.304347826086957</v>
      </c>
      <c r="BQ2" s="11" t="n">
        <f aca="false">(BL2/AU2)</f>
        <v>0.181818181818182</v>
      </c>
      <c r="BR2" s="11" t="n">
        <f aca="false">(BM2/AV2)</f>
        <v>0.238095238095238</v>
      </c>
      <c r="BS2" s="11" t="n">
        <f aca="false">(100*BR2)</f>
        <v>23.8095238095238</v>
      </c>
      <c r="BT2" s="11" t="n">
        <v>2</v>
      </c>
      <c r="BU2" s="11" t="n">
        <v>0</v>
      </c>
      <c r="BV2" s="11" t="n">
        <v>0</v>
      </c>
      <c r="BW2" s="11" t="n">
        <v>0</v>
      </c>
      <c r="BX2" s="11" t="n">
        <v>0</v>
      </c>
      <c r="BY2" s="11" t="n">
        <f aca="false">(BU2+BV2+BW2+BX2)/4</f>
        <v>0</v>
      </c>
      <c r="BZ2" s="11" t="n">
        <f aca="false">(BU2/AR2)</f>
        <v>0</v>
      </c>
      <c r="CA2" s="11" t="n">
        <f aca="false">(BV2/AS2)</f>
        <v>0</v>
      </c>
      <c r="CB2" s="11" t="n">
        <f aca="false">(BW2/AT2)</f>
        <v>0</v>
      </c>
      <c r="CC2" s="11" t="n">
        <f aca="false">(BX2/AU2)</f>
        <v>0</v>
      </c>
      <c r="CD2" s="11" t="n">
        <f aca="false">(BY2/AV2)</f>
        <v>0</v>
      </c>
      <c r="CE2" s="11" t="n">
        <f aca="false">(100*CD2)</f>
        <v>0</v>
      </c>
      <c r="CF2" s="11" t="n">
        <v>0</v>
      </c>
      <c r="CG2" s="11" t="n">
        <v>0</v>
      </c>
      <c r="CH2" s="11" t="n">
        <v>3</v>
      </c>
      <c r="CI2" s="11" t="n">
        <v>2</v>
      </c>
      <c r="CJ2" s="11" t="n">
        <v>0</v>
      </c>
      <c r="CK2" s="11" t="n">
        <f aca="false">(CG2+CH2+CI2+CJ2)/4</f>
        <v>1.25</v>
      </c>
      <c r="CL2" s="11" t="n">
        <f aca="false">(CG2/AM2)</f>
        <v>0</v>
      </c>
      <c r="CM2" s="11" t="n">
        <f aca="false">(CH2/AN2)</f>
        <v>0.0348837209302326</v>
      </c>
      <c r="CN2" s="11" t="n">
        <f aca="false">(CI2/AO2)</f>
        <v>0.0540540540540541</v>
      </c>
      <c r="CO2" s="10" t="n">
        <f aca="false">(CJ2/AP2)</f>
        <v>0</v>
      </c>
      <c r="CP2" s="10" t="n">
        <f aca="false">(CK2/AQ2)</f>
        <v>0.0240384615384615</v>
      </c>
      <c r="CQ2" s="10" t="n">
        <f aca="false">(100*CP2)</f>
        <v>2.40384615384615</v>
      </c>
      <c r="CR2" s="11" t="n">
        <v>1</v>
      </c>
      <c r="CS2" s="11" t="n">
        <v>75.1</v>
      </c>
      <c r="CT2" s="11" t="n">
        <v>62</v>
      </c>
      <c r="CU2" s="11" t="n">
        <v>55.3</v>
      </c>
      <c r="CV2" s="11" t="n">
        <v>69.6</v>
      </c>
      <c r="CW2" s="11" t="n">
        <f aca="false">(CS2+CT2+CU2+CV2)/4</f>
        <v>65.5</v>
      </c>
      <c r="CX2" s="11" t="n">
        <v>0</v>
      </c>
      <c r="CY2" s="11" t="n">
        <v>0</v>
      </c>
      <c r="CZ2" s="11" t="n">
        <v>0</v>
      </c>
      <c r="DA2" s="11" t="n">
        <v>0</v>
      </c>
      <c r="DB2" s="11" t="n">
        <f aca="false">(CX2+CY2+CZ2+DA2)/4</f>
        <v>0</v>
      </c>
      <c r="DC2" s="11" t="n">
        <v>1</v>
      </c>
      <c r="DD2" s="11" t="n">
        <v>1</v>
      </c>
      <c r="DE2" s="11" t="n">
        <v>1</v>
      </c>
      <c r="DF2" s="11" t="n">
        <v>1</v>
      </c>
      <c r="DG2" s="11" t="n">
        <f aca="false">(DC2+DD2+DE2+DF2)/4</f>
        <v>1</v>
      </c>
      <c r="DH2" s="11" t="n">
        <v>0</v>
      </c>
      <c r="DI2" s="11" t="n">
        <v>1</v>
      </c>
      <c r="DJ2" s="11" t="n">
        <v>1</v>
      </c>
      <c r="DK2" s="11" t="n">
        <v>1</v>
      </c>
      <c r="DL2" s="11" t="n">
        <f aca="false">(DH2+DI2+DJ2+DK2)/4</f>
        <v>0.75</v>
      </c>
      <c r="DM2" s="11" t="n">
        <v>7</v>
      </c>
      <c r="DN2" s="11" t="n">
        <v>44</v>
      </c>
      <c r="DO2" s="11" t="n">
        <v>29</v>
      </c>
      <c r="DP2" s="11" t="n">
        <v>79</v>
      </c>
      <c r="DQ2" s="11" t="n">
        <f aca="false">(DM2+DN2+DO2+DP2)/4</f>
        <v>39.75</v>
      </c>
      <c r="DR2" s="11" t="n">
        <v>15</v>
      </c>
      <c r="DS2" s="11" t="n">
        <v>23</v>
      </c>
      <c r="DT2" s="11" t="n">
        <v>25</v>
      </c>
      <c r="DU2" s="11" t="n">
        <v>14</v>
      </c>
      <c r="DV2" s="11" t="n">
        <f aca="false">(DR2+DS2+DT2+DU2)/4</f>
        <v>19.25</v>
      </c>
      <c r="DW2" s="11" t="n">
        <v>0</v>
      </c>
      <c r="DX2" s="11" t="n">
        <v>0</v>
      </c>
      <c r="DY2" s="11" t="n">
        <v>0</v>
      </c>
      <c r="DZ2" s="11" t="n">
        <v>0</v>
      </c>
      <c r="EA2" s="11" t="n">
        <f aca="false">(DW2+DX2+DY2+DZ2)/4</f>
        <v>0</v>
      </c>
      <c r="EB2" s="11" t="n">
        <f aca="false">(DW2/DR2)</f>
        <v>0</v>
      </c>
      <c r="EC2" s="11" t="n">
        <f aca="false">(DX2/DS2)</f>
        <v>0</v>
      </c>
      <c r="ED2" s="11" t="n">
        <f aca="false">(DY2/DT2)</f>
        <v>0</v>
      </c>
      <c r="EE2" s="11" t="n">
        <f aca="false">(DZ2/DU2)</f>
        <v>0</v>
      </c>
      <c r="EF2" s="11" t="n">
        <f aca="false">(EA2/DV2)</f>
        <v>0</v>
      </c>
      <c r="EG2" s="11" t="n">
        <f aca="false">(100*EF2)</f>
        <v>0</v>
      </c>
      <c r="EH2" s="11" t="n">
        <v>0</v>
      </c>
      <c r="EI2" s="11" t="n">
        <v>4</v>
      </c>
      <c r="EJ2" s="11" t="n">
        <v>2</v>
      </c>
      <c r="EK2" s="11" t="n">
        <v>4</v>
      </c>
      <c r="EL2" s="10" t="n">
        <v>8</v>
      </c>
      <c r="EM2" s="10" t="n">
        <f aca="false">(EI2+EJ2+EK2+EL2)/4</f>
        <v>4.5</v>
      </c>
      <c r="EN2" s="10" t="n">
        <f aca="false">(EI2/DR2)</f>
        <v>0.266666666666667</v>
      </c>
      <c r="EO2" s="10" t="n">
        <f aca="false">(EJ2/DS2)</f>
        <v>0.0869565217391304</v>
      </c>
      <c r="EP2" s="10" t="n">
        <f aca="false">(EK2/DT2)</f>
        <v>0.16</v>
      </c>
      <c r="EQ2" s="10" t="n">
        <f aca="false">(EL2/DU2)</f>
        <v>0.571428571428571</v>
      </c>
      <c r="ER2" s="10" t="n">
        <f aca="false">EM2/DV2</f>
        <v>0.233766233766234</v>
      </c>
      <c r="ES2" s="10" t="n">
        <f aca="false">(100*ER2)</f>
        <v>23.3766233766234</v>
      </c>
      <c r="ET2" s="10" t="n">
        <v>2</v>
      </c>
      <c r="EU2" s="11" t="n">
        <v>0</v>
      </c>
      <c r="EV2" s="11" t="n">
        <v>0</v>
      </c>
      <c r="EW2" s="11" t="n">
        <v>0</v>
      </c>
      <c r="EX2" s="11" t="n">
        <v>0</v>
      </c>
      <c r="EY2" s="11" t="n">
        <f aca="false">(EU2+EV2+EW2+EX2)/4</f>
        <v>0</v>
      </c>
      <c r="EZ2" s="11" t="n">
        <f aca="false">(EU2/DR2)</f>
        <v>0</v>
      </c>
      <c r="FA2" s="11" t="n">
        <f aca="false">(EV2/DS2)</f>
        <v>0</v>
      </c>
      <c r="FB2" s="11" t="n">
        <f aca="false">(EW2/DT2)</f>
        <v>0</v>
      </c>
      <c r="FC2" s="11" t="n">
        <f aca="false">(EX2/DU2)</f>
        <v>0</v>
      </c>
      <c r="FD2" s="11" t="n">
        <f aca="false">(EY2/DV2)</f>
        <v>0</v>
      </c>
      <c r="FE2" s="11" t="n">
        <f aca="false">(100*FD2)</f>
        <v>0</v>
      </c>
      <c r="FF2" s="11" t="n">
        <v>0</v>
      </c>
      <c r="FG2" s="11" t="n">
        <v>0</v>
      </c>
      <c r="FH2" s="11" t="n">
        <v>8</v>
      </c>
      <c r="FI2" s="11" t="n">
        <v>4</v>
      </c>
      <c r="FJ2" s="11" t="n">
        <v>2</v>
      </c>
      <c r="FK2" s="11" t="n">
        <f aca="false">(FG2+FH2+FI2+FJ2)/4</f>
        <v>3.5</v>
      </c>
      <c r="FL2" s="11" t="n">
        <f aca="false">(FG2/DR2)</f>
        <v>0</v>
      </c>
      <c r="FM2" s="11" t="n">
        <f aca="false">(FH2/DS2)</f>
        <v>0.347826086956522</v>
      </c>
      <c r="FN2" s="11" t="n">
        <f aca="false">(FI2/DT2)</f>
        <v>0.16</v>
      </c>
      <c r="FO2" s="11" t="n">
        <f aca="false">(FJ2/DU2)</f>
        <v>0.142857142857143</v>
      </c>
      <c r="FP2" s="11" t="n">
        <f aca="false">(FK2/DV2)</f>
        <v>0.181818181818182</v>
      </c>
      <c r="FQ2" s="11" t="n">
        <f aca="false">(100*FP2)</f>
        <v>18.1818181818182</v>
      </c>
      <c r="FR2" s="11" t="n">
        <v>2</v>
      </c>
      <c r="FS2" s="11" t="n">
        <v>56.4</v>
      </c>
      <c r="FT2" s="11" t="n">
        <v>63.7</v>
      </c>
      <c r="FU2" s="11" t="n">
        <v>69.5</v>
      </c>
      <c r="FV2" s="11" t="n">
        <v>71.2</v>
      </c>
      <c r="FW2" s="11" t="n">
        <f aca="false">(FS2+FT2+FU2+FV2)/4</f>
        <v>65.2</v>
      </c>
      <c r="FX2" s="11" t="n">
        <v>1</v>
      </c>
      <c r="FY2" s="11" t="n">
        <v>0</v>
      </c>
      <c r="FZ2" s="11" t="n">
        <v>1</v>
      </c>
      <c r="GA2" s="11" t="n">
        <v>0</v>
      </c>
      <c r="GB2" s="11" t="n">
        <f aca="false">(FX2+FY2+FZ2+GA2)/4</f>
        <v>0.5</v>
      </c>
      <c r="GC2" s="11" t="n">
        <v>1</v>
      </c>
      <c r="GD2" s="11" t="n">
        <v>1</v>
      </c>
      <c r="GE2" s="11" t="n">
        <v>1</v>
      </c>
      <c r="GF2" s="11" t="n">
        <v>1</v>
      </c>
      <c r="GG2" s="11" t="n">
        <f aca="false">(GC2+GD2+GE2+GF2)/4</f>
        <v>1</v>
      </c>
      <c r="GH2" s="11" t="n">
        <v>0</v>
      </c>
      <c r="GI2" s="11" t="n">
        <v>0</v>
      </c>
      <c r="GJ2" s="11" t="n">
        <v>0</v>
      </c>
      <c r="GK2" s="11" t="n">
        <v>1</v>
      </c>
      <c r="GL2" s="11" t="n">
        <f aca="false">(GH2+GI2+GJ2+GK2)/4</f>
        <v>0.25</v>
      </c>
      <c r="GM2" s="11" t="n">
        <v>60</v>
      </c>
      <c r="GN2" s="11" t="n">
        <v>42</v>
      </c>
      <c r="GO2" s="11" t="n">
        <v>29</v>
      </c>
      <c r="GP2" s="11" t="n">
        <v>79</v>
      </c>
      <c r="GQ2" s="11" t="n">
        <f aca="false">(GM2+GN2+GO2+GP2)/4</f>
        <v>52.5</v>
      </c>
      <c r="GR2" s="11" t="n">
        <v>16</v>
      </c>
      <c r="GS2" s="11" t="n">
        <v>12</v>
      </c>
      <c r="GT2" s="11" t="n">
        <v>14</v>
      </c>
      <c r="GU2" s="11" t="n">
        <v>18</v>
      </c>
      <c r="GV2" s="11" t="n">
        <f aca="false">(GR2+GS2+GT2+GU2)/4</f>
        <v>15</v>
      </c>
      <c r="GW2" s="11" t="n">
        <v>2</v>
      </c>
      <c r="GX2" s="11" t="n">
        <v>0</v>
      </c>
      <c r="GY2" s="11" t="n">
        <v>2</v>
      </c>
      <c r="GZ2" s="11" t="n">
        <v>0</v>
      </c>
      <c r="HA2" s="11" t="n">
        <f aca="false">(GW2+GX2+GY2+GZ2)/4</f>
        <v>1</v>
      </c>
      <c r="HB2" s="10" t="n">
        <f aca="false">(GW2/GR2)</f>
        <v>0.125</v>
      </c>
      <c r="HC2" s="10" t="n">
        <f aca="false">(GX2/GS2)</f>
        <v>0</v>
      </c>
      <c r="HD2" s="10" t="n">
        <f aca="false">(GY2/GT2)</f>
        <v>0.142857142857143</v>
      </c>
      <c r="HE2" s="10" t="n">
        <f aca="false">(GZ2/GU2)/4</f>
        <v>0</v>
      </c>
      <c r="HF2" s="10" t="n">
        <f aca="false">(HB2+HC2+HD2+HE2)/4</f>
        <v>0.0669642857142857</v>
      </c>
      <c r="HG2" s="10" t="n">
        <f aca="false">(100*HF2)</f>
        <v>6.69642857142857</v>
      </c>
      <c r="HH2" s="11" t="n">
        <v>1</v>
      </c>
      <c r="HI2" s="11" t="n">
        <v>6</v>
      </c>
      <c r="HJ2" s="11" t="n">
        <v>5</v>
      </c>
      <c r="HK2" s="11" t="n">
        <v>8</v>
      </c>
      <c r="HL2" s="11" t="n">
        <v>1</v>
      </c>
      <c r="HM2" s="10" t="n">
        <f aca="false">(HI2+HJ2+HK2+HL2)/4</f>
        <v>5</v>
      </c>
      <c r="HN2" s="10" t="n">
        <f aca="false">(HI2/GR2)</f>
        <v>0.375</v>
      </c>
      <c r="HO2" s="10" t="n">
        <f aca="false">(HJ2/GS2)</f>
        <v>0.416666666666667</v>
      </c>
      <c r="HP2" s="10" t="n">
        <f aca="false">(HK2/GT2)</f>
        <v>0.571428571428571</v>
      </c>
      <c r="HQ2" s="10" t="n">
        <f aca="false">(HL2/GU2)</f>
        <v>0.0555555555555556</v>
      </c>
      <c r="HR2" s="10" t="n">
        <f aca="false">(HM2/GV2)</f>
        <v>0.333333333333333</v>
      </c>
      <c r="HS2" s="10" t="n">
        <f aca="false">(100*HR2)</f>
        <v>33.3333333333333</v>
      </c>
      <c r="HT2" s="11" t="n">
        <v>3</v>
      </c>
      <c r="HU2" s="11" t="n">
        <v>0</v>
      </c>
      <c r="HV2" s="11" t="n">
        <v>0</v>
      </c>
      <c r="HW2" s="11" t="n">
        <v>0</v>
      </c>
      <c r="HX2" s="11" t="n">
        <v>2</v>
      </c>
      <c r="HY2" s="10" t="n">
        <f aca="false">(HU2+HV2+HW2+HX2)/4</f>
        <v>0.5</v>
      </c>
      <c r="HZ2" s="10" t="n">
        <f aca="false">(HU2/GR2)</f>
        <v>0</v>
      </c>
      <c r="IA2" s="10" t="n">
        <f aca="false">HV2/GS2</f>
        <v>0</v>
      </c>
      <c r="IB2" s="10" t="n">
        <f aca="false">(HW2/GT2)</f>
        <v>0</v>
      </c>
      <c r="IC2" s="10" t="n">
        <f aca="false">(HX2/GU2)</f>
        <v>0.111111111111111</v>
      </c>
      <c r="ID2" s="10" t="n">
        <f aca="false">(HY2/GV2)</f>
        <v>0.0333333333333333</v>
      </c>
      <c r="IE2" s="10" t="n">
        <f aca="false">(100*ID2)</f>
        <v>3.33333333333333</v>
      </c>
      <c r="IF2" s="11" t="n">
        <v>1</v>
      </c>
      <c r="IG2" s="11" t="n">
        <v>0</v>
      </c>
      <c r="IH2" s="11" t="n">
        <v>0</v>
      </c>
      <c r="II2" s="11" t="n">
        <v>0</v>
      </c>
      <c r="IJ2" s="10" t="n">
        <v>3</v>
      </c>
      <c r="IK2" s="10" t="n">
        <f aca="false">(IG2+IH2+II2+IJ2)/4</f>
        <v>0.75</v>
      </c>
      <c r="IL2" s="10" t="n">
        <f aca="false">(IG2/GM2)</f>
        <v>0</v>
      </c>
      <c r="IM2" s="10" t="n">
        <f aca="false">(IH2/GN2)</f>
        <v>0</v>
      </c>
      <c r="IN2" s="10" t="n">
        <f aca="false">(II2/GO2)</f>
        <v>0</v>
      </c>
      <c r="IO2" s="10" t="n">
        <f aca="false">(IJ2/GP2)</f>
        <v>0.0379746835443038</v>
      </c>
      <c r="IP2" s="10" t="n">
        <f aca="false">(IK2/GQ2)</f>
        <v>0.0142857142857143</v>
      </c>
      <c r="IQ2" s="10" t="n">
        <f aca="false">(100*IP2)</f>
        <v>1.42857142857143</v>
      </c>
      <c r="IR2" s="11" t="n">
        <v>1</v>
      </c>
      <c r="IS2" s="11" t="n">
        <v>42.6</v>
      </c>
      <c r="IT2" s="11" t="n">
        <v>56.2</v>
      </c>
      <c r="IU2" s="11" t="n">
        <v>58.3</v>
      </c>
      <c r="IV2" s="10" t="n">
        <v>57.9</v>
      </c>
      <c r="IW2" s="10" t="n">
        <f aca="false">(IS2+IT2+IU2+IV2)/4</f>
        <v>53.75</v>
      </c>
      <c r="IX2" s="16" t="n">
        <v>45240</v>
      </c>
      <c r="IY2" s="10" t="s">
        <v>268</v>
      </c>
    </row>
    <row r="3" customFormat="false" ht="15" hidden="false" customHeight="false" outlineLevel="0" collapsed="false">
      <c r="A3" s="9" t="s">
        <v>259</v>
      </c>
      <c r="B3" s="10" t="s">
        <v>260</v>
      </c>
      <c r="C3" s="10" t="s">
        <v>261</v>
      </c>
      <c r="D3" s="10" t="n">
        <v>1</v>
      </c>
      <c r="E3" s="10" t="n">
        <v>1</v>
      </c>
      <c r="F3" s="10" t="s">
        <v>269</v>
      </c>
      <c r="G3" s="11" t="s">
        <v>263</v>
      </c>
      <c r="H3" s="10" t="n">
        <v>21</v>
      </c>
      <c r="I3" s="10" t="n">
        <v>12</v>
      </c>
      <c r="J3" s="12" t="s">
        <v>270</v>
      </c>
      <c r="K3" s="17"/>
      <c r="L3" s="17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 t="n">
        <v>0</v>
      </c>
      <c r="Y3" s="10" t="n">
        <v>0</v>
      </c>
      <c r="Z3" s="10" t="n">
        <v>0</v>
      </c>
      <c r="AA3" s="10" t="n">
        <v>0</v>
      </c>
      <c r="AB3" s="11" t="n">
        <f aca="false">(X3+Y3+Z3+AA3)/4</f>
        <v>0</v>
      </c>
      <c r="AC3" s="10" t="n">
        <v>1</v>
      </c>
      <c r="AD3" s="10" t="n">
        <v>0</v>
      </c>
      <c r="AE3" s="10" t="n">
        <v>1</v>
      </c>
      <c r="AF3" s="10" t="n">
        <v>1</v>
      </c>
      <c r="AG3" s="11" t="n">
        <f aca="false">(AC3+AD3+AE3+AF3)/4</f>
        <v>0.75</v>
      </c>
      <c r="AH3" s="10" t="n">
        <v>1</v>
      </c>
      <c r="AI3" s="10" t="n">
        <v>1</v>
      </c>
      <c r="AJ3" s="10" t="n">
        <v>1</v>
      </c>
      <c r="AK3" s="10" t="n">
        <v>0</v>
      </c>
      <c r="AL3" s="11" t="n">
        <f aca="false">(AH3+AI3+AJ3+AK3)/4</f>
        <v>0.75</v>
      </c>
      <c r="AM3" s="10" t="n">
        <v>36</v>
      </c>
      <c r="AN3" s="10" t="n">
        <v>67</v>
      </c>
      <c r="AO3" s="10" t="n">
        <v>24</v>
      </c>
      <c r="AP3" s="10" t="n">
        <v>7</v>
      </c>
      <c r="AQ3" s="11" t="n">
        <f aca="false">(AM3+AN3+AO3+AP3)/4</f>
        <v>33.5</v>
      </c>
      <c r="AR3" s="10" t="n">
        <v>27</v>
      </c>
      <c r="AS3" s="10" t="n">
        <v>16</v>
      </c>
      <c r="AT3" s="10" t="n">
        <v>12</v>
      </c>
      <c r="AU3" s="10" t="n">
        <v>52</v>
      </c>
      <c r="AV3" s="11" t="n">
        <f aca="false">(AR3+AS3+AT3+AU3)/4</f>
        <v>26.75</v>
      </c>
      <c r="AW3" s="10" t="n">
        <v>0</v>
      </c>
      <c r="AX3" s="10" t="n">
        <v>0</v>
      </c>
      <c r="AY3" s="10" t="n">
        <v>0</v>
      </c>
      <c r="AZ3" s="10" t="n">
        <v>0</v>
      </c>
      <c r="BA3" s="11" t="n">
        <f aca="false">(AW3+AX3+AY3+AZ3)/4</f>
        <v>0</v>
      </c>
      <c r="BB3" s="11" t="n">
        <f aca="false">(AW3/AR3)</f>
        <v>0</v>
      </c>
      <c r="BC3" s="11" t="n">
        <f aca="false">(AX3/AS3)</f>
        <v>0</v>
      </c>
      <c r="BD3" s="11" t="n">
        <f aca="false">(AY3/AT3)</f>
        <v>0</v>
      </c>
      <c r="BE3" s="11" t="n">
        <f aca="false">(AZ3/AU3)</f>
        <v>0</v>
      </c>
      <c r="BF3" s="11" t="n">
        <f aca="false">(BA3/AV3)</f>
        <v>0</v>
      </c>
      <c r="BG3" s="11" t="n">
        <f aca="false">(BF3*100)</f>
        <v>0</v>
      </c>
      <c r="BH3" s="10" t="n">
        <v>0</v>
      </c>
      <c r="BI3" s="10" t="n">
        <v>2</v>
      </c>
      <c r="BJ3" s="10" t="n">
        <v>0</v>
      </c>
      <c r="BK3" s="10" t="n">
        <v>1</v>
      </c>
      <c r="BL3" s="10" t="n">
        <v>5</v>
      </c>
      <c r="BM3" s="11" t="n">
        <f aca="false">(BI3+BJ3+BK3+BL3)/4</f>
        <v>2</v>
      </c>
      <c r="BN3" s="11" t="n">
        <f aca="false">(BI3/AR3)</f>
        <v>0.0740740740740741</v>
      </c>
      <c r="BO3" s="11" t="n">
        <f aca="false">(BJ3/AS3)</f>
        <v>0</v>
      </c>
      <c r="BP3" s="11" t="n">
        <f aca="false">(BK3/AT3)</f>
        <v>0.0833333333333333</v>
      </c>
      <c r="BQ3" s="11" t="n">
        <f aca="false">(BL3/AU3)</f>
        <v>0.0961538461538462</v>
      </c>
      <c r="BR3" s="11" t="n">
        <f aca="false">(BM3/AV3)</f>
        <v>0.0747663551401869</v>
      </c>
      <c r="BS3" s="11" t="n">
        <f aca="false">(100*BR3)</f>
        <v>7.47663551401869</v>
      </c>
      <c r="BT3" s="10" t="n">
        <v>1</v>
      </c>
      <c r="BU3" s="10" t="n">
        <v>0</v>
      </c>
      <c r="BV3" s="10" t="n">
        <v>0</v>
      </c>
      <c r="BW3" s="10" t="n">
        <v>0</v>
      </c>
      <c r="BX3" s="10" t="n">
        <v>0</v>
      </c>
      <c r="BY3" s="11" t="n">
        <f aca="false">(BU3+BV3+BW3+BX3)/4</f>
        <v>0</v>
      </c>
      <c r="BZ3" s="11" t="n">
        <f aca="false">(BU3/AR3)</f>
        <v>0</v>
      </c>
      <c r="CA3" s="11" t="n">
        <f aca="false">(BV3/AS3)</f>
        <v>0</v>
      </c>
      <c r="CB3" s="11" t="n">
        <f aca="false">(BW3/AT3)</f>
        <v>0</v>
      </c>
      <c r="CC3" s="11" t="n">
        <f aca="false">(BX3/AU3)</f>
        <v>0</v>
      </c>
      <c r="CD3" s="11" t="n">
        <f aca="false">(BY3/AV3)</f>
        <v>0</v>
      </c>
      <c r="CE3" s="11" t="n">
        <f aca="false">(100*CD3)</f>
        <v>0</v>
      </c>
      <c r="CF3" s="10" t="n">
        <v>0</v>
      </c>
      <c r="CG3" s="10" t="n">
        <v>2</v>
      </c>
      <c r="CH3" s="10" t="n">
        <v>3</v>
      </c>
      <c r="CI3" s="10" t="n">
        <v>9</v>
      </c>
      <c r="CJ3" s="10" t="n">
        <v>0</v>
      </c>
      <c r="CK3" s="11" t="n">
        <f aca="false">(CG3+CH3+CI3+CJ3)/4</f>
        <v>3.5</v>
      </c>
      <c r="CL3" s="11" t="n">
        <f aca="false">(CG3/AM3)</f>
        <v>0.0555555555555556</v>
      </c>
      <c r="CM3" s="11" t="n">
        <f aca="false">(CH3/AN3)</f>
        <v>0.0447761194029851</v>
      </c>
      <c r="CN3" s="11" t="n">
        <f aca="false">(CI3/AO3)</f>
        <v>0.375</v>
      </c>
      <c r="CO3" s="10" t="n">
        <f aca="false">(CJ3/AP3)</f>
        <v>0</v>
      </c>
      <c r="CP3" s="10" t="n">
        <f aca="false">(CK3/AQ3)</f>
        <v>0.104477611940299</v>
      </c>
      <c r="CQ3" s="10" t="n">
        <f aca="false">(100*CP3)</f>
        <v>10.4477611940299</v>
      </c>
      <c r="CR3" s="18" t="n">
        <v>2</v>
      </c>
      <c r="CS3" s="10" t="n">
        <v>68.7</v>
      </c>
      <c r="CT3" s="10" t="n">
        <v>73.5</v>
      </c>
      <c r="CU3" s="10" t="n">
        <v>56.4</v>
      </c>
      <c r="CV3" s="10" t="n">
        <v>78.6</v>
      </c>
      <c r="CW3" s="11" t="n">
        <f aca="false">(CS3+CT3+CU3+CV3)/4</f>
        <v>69.3</v>
      </c>
      <c r="CX3" s="11" t="n">
        <v>0</v>
      </c>
      <c r="CY3" s="11" t="n">
        <v>1</v>
      </c>
      <c r="CZ3" s="11" t="n">
        <v>0</v>
      </c>
      <c r="DA3" s="11" t="n">
        <v>0</v>
      </c>
      <c r="DB3" s="11" t="n">
        <f aca="false">(CX3+CY3+CZ3+DA3)/4</f>
        <v>0.25</v>
      </c>
      <c r="DC3" s="11" t="n">
        <v>0</v>
      </c>
      <c r="DD3" s="11" t="n">
        <v>0</v>
      </c>
      <c r="DE3" s="11" t="n">
        <v>1</v>
      </c>
      <c r="DF3" s="11" t="n">
        <v>1</v>
      </c>
      <c r="DG3" s="11" t="n">
        <f aca="false">(DC3+DD3+DE3+DF3)/4</f>
        <v>0.5</v>
      </c>
      <c r="DH3" s="11" t="n">
        <v>0</v>
      </c>
      <c r="DI3" s="11" t="n">
        <v>0</v>
      </c>
      <c r="DJ3" s="11" t="n">
        <v>0</v>
      </c>
      <c r="DK3" s="11" t="n">
        <v>1</v>
      </c>
      <c r="DL3" s="11" t="n">
        <f aca="false">(DH3+DI3+DJ3+DK3)/4</f>
        <v>0.25</v>
      </c>
      <c r="DM3" s="11" t="n">
        <v>2</v>
      </c>
      <c r="DN3" s="11" t="n">
        <v>27</v>
      </c>
      <c r="DO3" s="11" t="n">
        <v>19</v>
      </c>
      <c r="DP3" s="11" t="n">
        <v>14</v>
      </c>
      <c r="DQ3" s="11" t="n">
        <f aca="false">(DM3+DN3+DO3+DP3)/4</f>
        <v>15.5</v>
      </c>
      <c r="DR3" s="11" t="n">
        <v>32</v>
      </c>
      <c r="DS3" s="11" t="n">
        <v>74</v>
      </c>
      <c r="DT3" s="11" t="n">
        <v>10</v>
      </c>
      <c r="DU3" s="11" t="n">
        <v>11</v>
      </c>
      <c r="DV3" s="11" t="n">
        <f aca="false">(DR3+DS3+DT3+DU3)/4</f>
        <v>31.75</v>
      </c>
      <c r="DW3" s="11" t="n">
        <v>0</v>
      </c>
      <c r="DX3" s="11" t="n">
        <v>6</v>
      </c>
      <c r="DY3" s="11" t="n">
        <v>0</v>
      </c>
      <c r="DZ3" s="11" t="n">
        <v>0</v>
      </c>
      <c r="EA3" s="11" t="n">
        <f aca="false">(DW3+DX3+DY3+DZ3)/4</f>
        <v>1.5</v>
      </c>
      <c r="EB3" s="11" t="n">
        <f aca="false">(DW3/DR3)</f>
        <v>0</v>
      </c>
      <c r="EC3" s="11" t="n">
        <f aca="false">(DX3/DS3)</f>
        <v>0.0810810810810811</v>
      </c>
      <c r="ED3" s="11" t="n">
        <f aca="false">(DY3/DT3)</f>
        <v>0</v>
      </c>
      <c r="EE3" s="11" t="n">
        <f aca="false">(DZ3/DU3)</f>
        <v>0</v>
      </c>
      <c r="EF3" s="11" t="n">
        <f aca="false">(EA3/DV3)</f>
        <v>0.047244094488189</v>
      </c>
      <c r="EG3" s="11" t="n">
        <f aca="false">(100*EF3)</f>
        <v>4.7244094488189</v>
      </c>
      <c r="EH3" s="11" t="n">
        <v>1</v>
      </c>
      <c r="EI3" s="11" t="n">
        <v>0</v>
      </c>
      <c r="EJ3" s="11" t="n">
        <v>0</v>
      </c>
      <c r="EK3" s="11" t="n">
        <v>3</v>
      </c>
      <c r="EL3" s="10" t="n">
        <v>2</v>
      </c>
      <c r="EM3" s="10" t="n">
        <f aca="false">(EI3+EJ3+EK3+EL3)/4</f>
        <v>1.25</v>
      </c>
      <c r="EN3" s="10" t="n">
        <f aca="false">(EI3/DR3)</f>
        <v>0</v>
      </c>
      <c r="EO3" s="10" t="n">
        <f aca="false">(EJ3/DS3)</f>
        <v>0</v>
      </c>
      <c r="EP3" s="10" t="n">
        <f aca="false">(EK3/DT3)</f>
        <v>0.3</v>
      </c>
      <c r="EQ3" s="10" t="n">
        <f aca="false">(EL3/DU3)</f>
        <v>0.181818181818182</v>
      </c>
      <c r="ER3" s="10" t="n">
        <f aca="false">EM3/DV3</f>
        <v>0.0393700787401575</v>
      </c>
      <c r="ES3" s="10" t="n">
        <f aca="false">(100*ER3)</f>
        <v>3.93700787401575</v>
      </c>
      <c r="ET3" s="10" t="n">
        <v>1</v>
      </c>
      <c r="EU3" s="11" t="n">
        <v>0</v>
      </c>
      <c r="EV3" s="11" t="n">
        <v>0</v>
      </c>
      <c r="EW3" s="11" t="n">
        <v>0</v>
      </c>
      <c r="EX3" s="11" t="n">
        <v>0</v>
      </c>
      <c r="EY3" s="11" t="n">
        <f aca="false">(EU3+EV3+EW3+EX3)/4</f>
        <v>0</v>
      </c>
      <c r="EZ3" s="11" t="n">
        <f aca="false">(EU3/DR3)</f>
        <v>0</v>
      </c>
      <c r="FA3" s="11" t="n">
        <f aca="false">(EV3/DS3)</f>
        <v>0</v>
      </c>
      <c r="FB3" s="11" t="n">
        <f aca="false">(EW3/DT3)</f>
        <v>0</v>
      </c>
      <c r="FC3" s="11" t="n">
        <f aca="false">(EX3/DU3)</f>
        <v>0</v>
      </c>
      <c r="FD3" s="11" t="n">
        <f aca="false">(EY3/DV3)</f>
        <v>0</v>
      </c>
      <c r="FE3" s="11" t="n">
        <f aca="false">(100*FD3)</f>
        <v>0</v>
      </c>
      <c r="FF3" s="11" t="n">
        <v>0</v>
      </c>
      <c r="FG3" s="11" t="n">
        <v>0</v>
      </c>
      <c r="FH3" s="11" t="n">
        <v>0</v>
      </c>
      <c r="FI3" s="11" t="n">
        <v>0</v>
      </c>
      <c r="FJ3" s="11" t="n">
        <v>1</v>
      </c>
      <c r="FK3" s="11" t="n">
        <f aca="false">(FG3+FH3+FI3+FJ3)/4</f>
        <v>0.25</v>
      </c>
      <c r="FL3" s="11" t="n">
        <f aca="false">(FG3/DR3)</f>
        <v>0</v>
      </c>
      <c r="FM3" s="11" t="n">
        <f aca="false">(FH3/DS3)</f>
        <v>0</v>
      </c>
      <c r="FN3" s="11" t="n">
        <f aca="false">(FI3/DT3)</f>
        <v>0</v>
      </c>
      <c r="FO3" s="11" t="n">
        <f aca="false">(FJ3/DU3)</f>
        <v>0.0909090909090909</v>
      </c>
      <c r="FP3" s="11" t="n">
        <f aca="false">(FK3/DV3)</f>
        <v>0.0078740157480315</v>
      </c>
      <c r="FQ3" s="11" t="n">
        <f aca="false">(100*FP3)</f>
        <v>0.78740157480315</v>
      </c>
      <c r="FR3" s="11" t="n">
        <v>1</v>
      </c>
      <c r="FS3" s="11" t="n">
        <v>79.7</v>
      </c>
      <c r="FT3" s="11" t="n">
        <v>49.9</v>
      </c>
      <c r="FU3" s="11" t="n">
        <v>67</v>
      </c>
      <c r="FV3" s="11" t="n">
        <v>58.1</v>
      </c>
      <c r="FW3" s="11" t="n">
        <f aca="false">(FS3+FT3+FU3+FV3)/4</f>
        <v>63.675</v>
      </c>
      <c r="FX3" s="10" t="n">
        <v>0</v>
      </c>
      <c r="FY3" s="10" t="n">
        <v>0</v>
      </c>
      <c r="FZ3" s="10" t="n">
        <v>0</v>
      </c>
      <c r="GA3" s="10" t="n">
        <v>0</v>
      </c>
      <c r="GB3" s="11" t="n">
        <f aca="false">(FX3+FY3+FZ3+GA3)/4</f>
        <v>0</v>
      </c>
      <c r="GC3" s="10" t="n">
        <v>1</v>
      </c>
      <c r="GD3" s="10" t="n">
        <v>1</v>
      </c>
      <c r="GE3" s="10" t="n">
        <v>1</v>
      </c>
      <c r="GF3" s="10" t="n">
        <v>1</v>
      </c>
      <c r="GG3" s="11" t="n">
        <f aca="false">(GC3+GD3+GE3+GF3)/4</f>
        <v>1</v>
      </c>
      <c r="GH3" s="10" t="n">
        <v>1</v>
      </c>
      <c r="GI3" s="10" t="n">
        <v>1</v>
      </c>
      <c r="GJ3" s="10" t="n">
        <v>0</v>
      </c>
      <c r="GK3" s="10" t="n">
        <v>1</v>
      </c>
      <c r="GL3" s="11" t="n">
        <f aca="false">(GH3+GI3+GJ3+GK3)/4</f>
        <v>0.75</v>
      </c>
      <c r="GM3" s="10" t="n">
        <v>11</v>
      </c>
      <c r="GN3" s="10" t="n">
        <v>12</v>
      </c>
      <c r="GO3" s="10" t="n">
        <v>14</v>
      </c>
      <c r="GP3" s="10" t="n">
        <v>15</v>
      </c>
      <c r="GQ3" s="11" t="n">
        <f aca="false">(GM3+GN3+GO3+GP3)/4</f>
        <v>13</v>
      </c>
      <c r="GR3" s="10" t="n">
        <v>8</v>
      </c>
      <c r="GS3" s="10" t="n">
        <v>14</v>
      </c>
      <c r="GT3" s="10" t="n">
        <v>16</v>
      </c>
      <c r="GU3" s="10" t="n">
        <v>12</v>
      </c>
      <c r="GV3" s="11" t="n">
        <f aca="false">(GR3+GS3+GT3+GU3)/4</f>
        <v>12.5</v>
      </c>
      <c r="GW3" s="10" t="n">
        <v>0</v>
      </c>
      <c r="GX3" s="10" t="n">
        <v>0</v>
      </c>
      <c r="GY3" s="10" t="n">
        <v>0</v>
      </c>
      <c r="GZ3" s="10" t="n">
        <v>0</v>
      </c>
      <c r="HA3" s="11" t="n">
        <f aca="false">(GW3+GX3+GY3+GZ3)/4</f>
        <v>0</v>
      </c>
      <c r="HB3" s="10" t="n">
        <f aca="false">(GW3/GR3)</f>
        <v>0</v>
      </c>
      <c r="HC3" s="10" t="n">
        <f aca="false">(GX3/GS3)</f>
        <v>0</v>
      </c>
      <c r="HD3" s="10" t="n">
        <f aca="false">(GY3/GT3)</f>
        <v>0</v>
      </c>
      <c r="HE3" s="10" t="n">
        <f aca="false">(GZ3/GU3)/4</f>
        <v>0</v>
      </c>
      <c r="HF3" s="10" t="n">
        <f aca="false">(HB3+HC3+HD3+HE3)/4</f>
        <v>0</v>
      </c>
      <c r="HG3" s="10" t="n">
        <f aca="false">(100*HF3)</f>
        <v>0</v>
      </c>
      <c r="HH3" s="18" t="n">
        <v>0</v>
      </c>
      <c r="HI3" s="10" t="n">
        <v>2</v>
      </c>
      <c r="HJ3" s="10" t="n">
        <v>4</v>
      </c>
      <c r="HK3" s="10" t="n">
        <v>2</v>
      </c>
      <c r="HL3" s="19" t="n">
        <v>1</v>
      </c>
      <c r="HM3" s="10" t="n">
        <f aca="false">(HI3+HJ3+HK3+HL3)/4</f>
        <v>2.25</v>
      </c>
      <c r="HN3" s="10" t="n">
        <f aca="false">(HI3/GR3)</f>
        <v>0.25</v>
      </c>
      <c r="HO3" s="10" t="n">
        <f aca="false">(HJ3/GS3)</f>
        <v>0.285714285714286</v>
      </c>
      <c r="HP3" s="10" t="n">
        <f aca="false">(HK3/GT3)</f>
        <v>0.125</v>
      </c>
      <c r="HQ3" s="10" t="n">
        <f aca="false">(HL3/GU3)</f>
        <v>0.0833333333333333</v>
      </c>
      <c r="HR3" s="10" t="n">
        <f aca="false">(HM3/GV3)</f>
        <v>0.18</v>
      </c>
      <c r="HS3" s="10" t="n">
        <f aca="false">(100*HR3)</f>
        <v>18</v>
      </c>
      <c r="HT3" s="18" t="n">
        <v>2</v>
      </c>
      <c r="HU3" s="10" t="n">
        <v>1</v>
      </c>
      <c r="HV3" s="10" t="n">
        <v>1</v>
      </c>
      <c r="HW3" s="10" t="n">
        <v>0</v>
      </c>
      <c r="HX3" s="19" t="n">
        <v>0</v>
      </c>
      <c r="HY3" s="10" t="n">
        <f aca="false">(HU3+HV3+HW3+HX3)/4</f>
        <v>0.5</v>
      </c>
      <c r="HZ3" s="10" t="n">
        <f aca="false">(HU3/GR3)</f>
        <v>0.125</v>
      </c>
      <c r="IA3" s="10" t="n">
        <f aca="false">HV3/GS3</f>
        <v>0.0714285714285714</v>
      </c>
      <c r="IB3" s="10" t="n">
        <f aca="false">(HW3/GT3)</f>
        <v>0</v>
      </c>
      <c r="IC3" s="10" t="n">
        <f aca="false">(HX3/GU3)</f>
        <v>0</v>
      </c>
      <c r="ID3" s="10" t="n">
        <f aca="false">(HY3/GV3)</f>
        <v>0.04</v>
      </c>
      <c r="IE3" s="10" t="n">
        <f aca="false">(100*ID3)</f>
        <v>4</v>
      </c>
      <c r="IF3" s="18" t="n">
        <v>1</v>
      </c>
      <c r="IG3" s="10" t="n">
        <v>0</v>
      </c>
      <c r="IH3" s="10" t="n">
        <v>2</v>
      </c>
      <c r="II3" s="19" t="n">
        <v>0</v>
      </c>
      <c r="IJ3" s="10" t="n">
        <v>3</v>
      </c>
      <c r="IK3" s="10" t="n">
        <f aca="false">(IG3+IH3+II3+IJ3)/4</f>
        <v>1.25</v>
      </c>
      <c r="IL3" s="10" t="n">
        <f aca="false">(IG3/GM3)</f>
        <v>0</v>
      </c>
      <c r="IM3" s="10" t="n">
        <f aca="false">(IH3/GN3)</f>
        <v>0.166666666666667</v>
      </c>
      <c r="IN3" s="10" t="n">
        <f aca="false">(II3/GO3)</f>
        <v>0</v>
      </c>
      <c r="IO3" s="10" t="n">
        <f aca="false">(IJ3/GP3)</f>
        <v>0.2</v>
      </c>
      <c r="IP3" s="10" t="n">
        <f aca="false">(IK3/GQ3)</f>
        <v>0.0961538461538462</v>
      </c>
      <c r="IQ3" s="10" t="n">
        <f aca="false">(100*IP3)</f>
        <v>9.61538461538462</v>
      </c>
      <c r="IR3" s="18" t="n">
        <v>1</v>
      </c>
      <c r="IS3" s="10" t="n">
        <v>70.6</v>
      </c>
      <c r="IT3" s="10" t="n">
        <v>59.2</v>
      </c>
      <c r="IU3" s="19" t="n">
        <v>71.4</v>
      </c>
      <c r="IV3" s="10" t="n">
        <v>62.9</v>
      </c>
      <c r="IW3" s="10" t="n">
        <f aca="false">(IS3+IT3+IU3+IV3)/4</f>
        <v>66.025</v>
      </c>
      <c r="IX3" s="16" t="n">
        <v>45240</v>
      </c>
      <c r="IY3" s="10" t="s">
        <v>268</v>
      </c>
    </row>
    <row r="4" customFormat="false" ht="15" hidden="false" customHeight="false" outlineLevel="0" collapsed="false">
      <c r="A4" s="9" t="s">
        <v>259</v>
      </c>
      <c r="B4" s="10" t="s">
        <v>260</v>
      </c>
      <c r="C4" s="10" t="s">
        <v>261</v>
      </c>
      <c r="D4" s="10" t="n">
        <v>1</v>
      </c>
      <c r="E4" s="10" t="n">
        <v>1</v>
      </c>
      <c r="F4" s="10" t="s">
        <v>271</v>
      </c>
      <c r="G4" s="11" t="s">
        <v>263</v>
      </c>
      <c r="H4" s="10" t="n">
        <v>21</v>
      </c>
      <c r="I4" s="10" t="n">
        <v>22</v>
      </c>
      <c r="J4" s="10" t="s">
        <v>272</v>
      </c>
      <c r="K4" s="17"/>
      <c r="L4" s="17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 t="n">
        <v>0</v>
      </c>
      <c r="Y4" s="10" t="n">
        <v>0</v>
      </c>
      <c r="Z4" s="10" t="n">
        <v>0</v>
      </c>
      <c r="AA4" s="10" t="n">
        <v>0</v>
      </c>
      <c r="AB4" s="11" t="n">
        <f aca="false">(X4+Y4+Z4+AA4)/4</f>
        <v>0</v>
      </c>
      <c r="AC4" s="10" t="n">
        <v>1</v>
      </c>
      <c r="AD4" s="10" t="n">
        <v>1</v>
      </c>
      <c r="AE4" s="10" t="n">
        <v>1</v>
      </c>
      <c r="AF4" s="10" t="n">
        <v>1</v>
      </c>
      <c r="AG4" s="11" t="n">
        <f aca="false">(AC4+AD4+AE4+AF4)/4</f>
        <v>1</v>
      </c>
      <c r="AH4" s="10" t="n">
        <v>1</v>
      </c>
      <c r="AI4" s="10" t="n">
        <v>1</v>
      </c>
      <c r="AJ4" s="10" t="n">
        <v>0</v>
      </c>
      <c r="AK4" s="10" t="n">
        <v>1</v>
      </c>
      <c r="AL4" s="11" t="n">
        <f aca="false">(AH4+AI4+AJ4+AK4)/4</f>
        <v>0.75</v>
      </c>
      <c r="AM4" s="10" t="n">
        <v>42</v>
      </c>
      <c r="AN4" s="10" t="n">
        <v>104</v>
      </c>
      <c r="AO4" s="10" t="n">
        <v>36</v>
      </c>
      <c r="AP4" s="10" t="n">
        <v>29</v>
      </c>
      <c r="AQ4" s="11" t="n">
        <f aca="false">(AM4+AN4+AO4+AP4)/4</f>
        <v>52.75</v>
      </c>
      <c r="AR4" s="10" t="n">
        <v>13</v>
      </c>
      <c r="AS4" s="10" t="n">
        <v>15</v>
      </c>
      <c r="AT4" s="10" t="n">
        <v>20</v>
      </c>
      <c r="AU4" s="10" t="n">
        <v>51</v>
      </c>
      <c r="AV4" s="11" t="n">
        <f aca="false">(AR4+AS4+AT4+AU4)/4</f>
        <v>24.75</v>
      </c>
      <c r="AW4" s="10" t="n">
        <v>0</v>
      </c>
      <c r="AX4" s="10" t="n">
        <v>0</v>
      </c>
      <c r="AY4" s="10" t="n">
        <v>0</v>
      </c>
      <c r="AZ4" s="10" t="n">
        <v>0</v>
      </c>
      <c r="BA4" s="11" t="n">
        <f aca="false">(AW4+AX4+AY4+AZ4)/4</f>
        <v>0</v>
      </c>
      <c r="BB4" s="11" t="n">
        <f aca="false">(AW4/AR4)</f>
        <v>0</v>
      </c>
      <c r="BC4" s="11" t="n">
        <f aca="false">(AX4/AS4)</f>
        <v>0</v>
      </c>
      <c r="BD4" s="11" t="n">
        <f aca="false">(AY4/AT4)</f>
        <v>0</v>
      </c>
      <c r="BE4" s="11" t="n">
        <f aca="false">(AZ4/AU4)</f>
        <v>0</v>
      </c>
      <c r="BF4" s="11" t="n">
        <f aca="false">(BA4/AV4)</f>
        <v>0</v>
      </c>
      <c r="BG4" s="11" t="n">
        <f aca="false">(BF4*100)</f>
        <v>0</v>
      </c>
      <c r="BH4" s="10" t="n">
        <v>0</v>
      </c>
      <c r="BI4" s="10" t="n">
        <v>5</v>
      </c>
      <c r="BJ4" s="10" t="n">
        <v>2</v>
      </c>
      <c r="BK4" s="10" t="n">
        <v>3</v>
      </c>
      <c r="BL4" s="10" t="n">
        <v>1</v>
      </c>
      <c r="BM4" s="11" t="n">
        <f aca="false">(BI4+BJ4+BK4+BL4)/4</f>
        <v>2.75</v>
      </c>
      <c r="BN4" s="11" t="n">
        <f aca="false">(BI4/AR4)</f>
        <v>0.384615384615385</v>
      </c>
      <c r="BO4" s="11" t="n">
        <f aca="false">(BJ4/AS4)</f>
        <v>0.133333333333333</v>
      </c>
      <c r="BP4" s="11" t="n">
        <f aca="false">(BK4/AT4)</f>
        <v>0.15</v>
      </c>
      <c r="BQ4" s="11" t="n">
        <f aca="false">(BL4/AU4)</f>
        <v>0.0196078431372549</v>
      </c>
      <c r="BR4" s="11" t="n">
        <f aca="false">(BM4/AV4)</f>
        <v>0.111111111111111</v>
      </c>
      <c r="BS4" s="11" t="n">
        <f aca="false">(100*BR4)</f>
        <v>11.1111111111111</v>
      </c>
      <c r="BT4" s="10" t="n">
        <v>2</v>
      </c>
      <c r="BU4" s="10" t="n">
        <v>2</v>
      </c>
      <c r="BV4" s="10" t="n">
        <v>5</v>
      </c>
      <c r="BW4" s="10" t="n">
        <v>0</v>
      </c>
      <c r="BX4" s="10" t="n">
        <v>1</v>
      </c>
      <c r="BY4" s="11" t="n">
        <f aca="false">(BU4+BV4+BW4+BX4)/4</f>
        <v>2</v>
      </c>
      <c r="BZ4" s="11" t="n">
        <f aca="false">(BU4/AR4)</f>
        <v>0.153846153846154</v>
      </c>
      <c r="CA4" s="11" t="n">
        <f aca="false">(BV4/AS4)</f>
        <v>0.333333333333333</v>
      </c>
      <c r="CB4" s="11" t="n">
        <f aca="false">(BW4/AT4)</f>
        <v>0</v>
      </c>
      <c r="CC4" s="11" t="n">
        <f aca="false">(BX4/AU4)</f>
        <v>0.0196078431372549</v>
      </c>
      <c r="CD4" s="11" t="n">
        <f aca="false">(BY4/AV4)</f>
        <v>0.0808080808080808</v>
      </c>
      <c r="CE4" s="11" t="n">
        <f aca="false">(100*CD4)</f>
        <v>8.08080808080808</v>
      </c>
      <c r="CF4" s="10" t="n">
        <v>1</v>
      </c>
      <c r="CG4" s="10" t="n">
        <v>0</v>
      </c>
      <c r="CH4" s="10" t="n">
        <v>8</v>
      </c>
      <c r="CI4" s="10" t="n">
        <v>0</v>
      </c>
      <c r="CJ4" s="10" t="n">
        <v>1</v>
      </c>
      <c r="CK4" s="11" t="n">
        <f aca="false">(CG4+CH4+CI4+CJ4)/4</f>
        <v>2.25</v>
      </c>
      <c r="CL4" s="11" t="n">
        <f aca="false">(CG4/AM4)</f>
        <v>0</v>
      </c>
      <c r="CM4" s="11" t="n">
        <f aca="false">(CH4/AN4)</f>
        <v>0.0769230769230769</v>
      </c>
      <c r="CN4" s="11" t="n">
        <f aca="false">(CI4/AO4)</f>
        <v>0</v>
      </c>
      <c r="CO4" s="10" t="n">
        <f aca="false">(CJ4/AP4)</f>
        <v>0.0344827586206897</v>
      </c>
      <c r="CP4" s="10" t="n">
        <f aca="false">(CK4/AQ4)</f>
        <v>0.042654028436019</v>
      </c>
      <c r="CQ4" s="10" t="n">
        <f aca="false">(100*CP4)</f>
        <v>4.2654028436019</v>
      </c>
      <c r="CR4" s="18" t="n">
        <v>1</v>
      </c>
      <c r="CS4" s="10" t="n">
        <v>51.2</v>
      </c>
      <c r="CT4" s="10" t="n">
        <v>52.8</v>
      </c>
      <c r="CU4" s="10" t="n">
        <v>71.6</v>
      </c>
      <c r="CV4" s="10" t="n">
        <v>60</v>
      </c>
      <c r="CW4" s="11" t="n">
        <f aca="false">(CS4+CT4+CU4+CV4)/4</f>
        <v>58.9</v>
      </c>
      <c r="CX4" s="10" t="n">
        <v>0</v>
      </c>
      <c r="CY4" s="10" t="n">
        <v>0</v>
      </c>
      <c r="CZ4" s="10" t="n">
        <v>1</v>
      </c>
      <c r="DA4" s="10" t="n">
        <v>0</v>
      </c>
      <c r="DB4" s="11" t="n">
        <f aca="false">(CX4+CY4+CZ4+DA4)/4</f>
        <v>0.25</v>
      </c>
      <c r="DC4" s="10" t="n">
        <v>1</v>
      </c>
      <c r="DD4" s="10" t="n">
        <v>1</v>
      </c>
      <c r="DE4" s="10" t="n">
        <v>1</v>
      </c>
      <c r="DF4" s="10" t="n">
        <v>1</v>
      </c>
      <c r="DG4" s="11" t="n">
        <f aca="false">(DC4+DD4+DE4+DF4)/4</f>
        <v>1</v>
      </c>
      <c r="DH4" s="10" t="n">
        <v>1</v>
      </c>
      <c r="DI4" s="10" t="n">
        <v>0</v>
      </c>
      <c r="DJ4" s="10" t="n">
        <v>1</v>
      </c>
      <c r="DK4" s="10" t="n">
        <v>1</v>
      </c>
      <c r="DL4" s="11" t="n">
        <f aca="false">(DH4+DI4+DJ4+DK4)/4</f>
        <v>0.75</v>
      </c>
      <c r="DM4" s="10" t="n">
        <v>15</v>
      </c>
      <c r="DN4" s="10" t="n">
        <v>85</v>
      </c>
      <c r="DO4" s="10" t="n">
        <v>18</v>
      </c>
      <c r="DP4" s="10" t="n">
        <v>41</v>
      </c>
      <c r="DQ4" s="11" t="n">
        <f aca="false">(DM4+DN4+DO4+DP4)/4</f>
        <v>39.75</v>
      </c>
      <c r="DR4" s="10" t="n">
        <v>18</v>
      </c>
      <c r="DS4" s="10" t="n">
        <v>33</v>
      </c>
      <c r="DT4" s="10" t="n">
        <v>3</v>
      </c>
      <c r="DU4" s="10" t="n">
        <v>13</v>
      </c>
      <c r="DV4" s="11" t="n">
        <f aca="false">(DR4+DS4+DT4+DU4)/4</f>
        <v>16.75</v>
      </c>
      <c r="DW4" s="10" t="n">
        <v>0</v>
      </c>
      <c r="DX4" s="10" t="n">
        <v>0</v>
      </c>
      <c r="DY4" s="10" t="n">
        <v>0</v>
      </c>
      <c r="DZ4" s="10" t="n">
        <v>0</v>
      </c>
      <c r="EA4" s="11" t="n">
        <f aca="false">(DW4+DX4+DY4+DZ4)/4</f>
        <v>0</v>
      </c>
      <c r="EB4" s="11" t="n">
        <f aca="false">(DW4/DR4)</f>
        <v>0</v>
      </c>
      <c r="EC4" s="11" t="n">
        <f aca="false">(DX4/DS4)</f>
        <v>0</v>
      </c>
      <c r="ED4" s="11" t="n">
        <f aca="false">(DY4/DT4)</f>
        <v>0</v>
      </c>
      <c r="EE4" s="11" t="n">
        <f aca="false">(DZ4/DU4)</f>
        <v>0</v>
      </c>
      <c r="EF4" s="11" t="n">
        <f aca="false">(EA4/DV4)</f>
        <v>0</v>
      </c>
      <c r="EG4" s="11" t="n">
        <f aca="false">(100*EF4)</f>
        <v>0</v>
      </c>
      <c r="EH4" s="10" t="n">
        <v>1</v>
      </c>
      <c r="EI4" s="10" t="n">
        <v>5</v>
      </c>
      <c r="EJ4" s="10" t="n">
        <v>2</v>
      </c>
      <c r="EK4" s="19" t="n">
        <v>0</v>
      </c>
      <c r="EL4" s="10" t="n">
        <v>1</v>
      </c>
      <c r="EM4" s="10" t="n">
        <f aca="false">(EI4+EJ4+EK4+EL4)/4</f>
        <v>2</v>
      </c>
      <c r="EN4" s="10" t="n">
        <f aca="false">(EI4/DR4)</f>
        <v>0.277777777777778</v>
      </c>
      <c r="EO4" s="10" t="n">
        <f aca="false">(EJ4/DS4)</f>
        <v>0.0606060606060606</v>
      </c>
      <c r="EP4" s="10" t="n">
        <f aca="false">(EK4/DT4)</f>
        <v>0</v>
      </c>
      <c r="EQ4" s="10" t="n">
        <f aca="false">(EL4/DU4)</f>
        <v>0.0769230769230769</v>
      </c>
      <c r="ER4" s="10" t="n">
        <f aca="false">EM4/DV4</f>
        <v>0.119402985074627</v>
      </c>
      <c r="ES4" s="10" t="n">
        <f aca="false">(100*ER4)</f>
        <v>11.9402985074627</v>
      </c>
      <c r="ET4" s="10" t="n">
        <v>2</v>
      </c>
      <c r="EU4" s="18" t="n">
        <v>0</v>
      </c>
      <c r="EV4" s="10" t="n">
        <v>0</v>
      </c>
      <c r="EW4" s="10" t="n">
        <v>0</v>
      </c>
      <c r="EX4" s="10" t="n">
        <v>1</v>
      </c>
      <c r="EY4" s="11" t="n">
        <f aca="false">(EU4+EV4+EW4+EX4)/4</f>
        <v>0.25</v>
      </c>
      <c r="EZ4" s="11" t="n">
        <f aca="false">(EU4/DR4)</f>
        <v>0</v>
      </c>
      <c r="FA4" s="11" t="n">
        <f aca="false">(EV4/DS4)</f>
        <v>0</v>
      </c>
      <c r="FB4" s="11" t="n">
        <f aca="false">(EW4/DT4)</f>
        <v>0</v>
      </c>
      <c r="FC4" s="11" t="n">
        <f aca="false">(EX4/DU4)</f>
        <v>0.0769230769230769</v>
      </c>
      <c r="FD4" s="11" t="n">
        <f aca="false">(EY4/DV4)</f>
        <v>0.0149253731343284</v>
      </c>
      <c r="FE4" s="11" t="n">
        <f aca="false">(100*FD4)</f>
        <v>1.49253731343284</v>
      </c>
      <c r="FF4" s="10" t="n">
        <v>1</v>
      </c>
      <c r="FG4" s="10" t="n">
        <v>2</v>
      </c>
      <c r="FH4" s="10" t="n">
        <v>0</v>
      </c>
      <c r="FI4" s="10" t="n">
        <v>4</v>
      </c>
      <c r="FJ4" s="10" t="n">
        <v>3</v>
      </c>
      <c r="FK4" s="11" t="n">
        <f aca="false">(FG4+FH4+FI4+FJ4)/4</f>
        <v>2.25</v>
      </c>
      <c r="FL4" s="11" t="n">
        <f aca="false">(FG4/DR4)</f>
        <v>0.111111111111111</v>
      </c>
      <c r="FM4" s="11" t="n">
        <f aca="false">(FH4/DS4)</f>
        <v>0</v>
      </c>
      <c r="FN4" s="11" t="n">
        <f aca="false">(FI4/DT4)</f>
        <v>1.33333333333333</v>
      </c>
      <c r="FO4" s="11" t="n">
        <f aca="false">(FJ4/DU4)</f>
        <v>0.230769230769231</v>
      </c>
      <c r="FP4" s="11" t="n">
        <f aca="false">(FK4/DV4)</f>
        <v>0.134328358208955</v>
      </c>
      <c r="FQ4" s="11" t="n">
        <f aca="false">(100*FP4)</f>
        <v>13.4328358208955</v>
      </c>
      <c r="FR4" s="10" t="n">
        <v>2</v>
      </c>
      <c r="FS4" s="10" t="n">
        <v>60.4</v>
      </c>
      <c r="FT4" s="10" t="n">
        <v>57.5</v>
      </c>
      <c r="FU4" s="10" t="n">
        <v>52.2</v>
      </c>
      <c r="FV4" s="10" t="n">
        <v>49.2</v>
      </c>
      <c r="FW4" s="11" t="n">
        <f aca="false">(FS4+FT4+FU4+FV4)/4</f>
        <v>54.825</v>
      </c>
      <c r="FX4" s="10" t="n">
        <v>0</v>
      </c>
      <c r="FY4" s="10" t="n">
        <v>0</v>
      </c>
      <c r="FZ4" s="10" t="n">
        <v>1</v>
      </c>
      <c r="GA4" s="10" t="n">
        <v>1</v>
      </c>
      <c r="GB4" s="11" t="n">
        <f aca="false">(FX4+FY4+FZ4+GA4)/4</f>
        <v>0.5</v>
      </c>
      <c r="GC4" s="10" t="n">
        <v>0</v>
      </c>
      <c r="GD4" s="10" t="n">
        <v>0</v>
      </c>
      <c r="GE4" s="10" t="n">
        <v>0</v>
      </c>
      <c r="GF4" s="10" t="n">
        <v>0</v>
      </c>
      <c r="GG4" s="11" t="n">
        <f aca="false">(GC4+GD4+GE4+GF4)/4</f>
        <v>0</v>
      </c>
      <c r="GH4" s="10" t="n">
        <v>1</v>
      </c>
      <c r="GI4" s="10" t="n">
        <v>1</v>
      </c>
      <c r="GJ4" s="10" t="n">
        <v>1</v>
      </c>
      <c r="GK4" s="10" t="n">
        <v>1</v>
      </c>
      <c r="GL4" s="11" t="n">
        <f aca="false">(GH4+GI4+GJ4+GK4)/4</f>
        <v>1</v>
      </c>
      <c r="GM4" s="10" t="n">
        <v>51</v>
      </c>
      <c r="GN4" s="10" t="n">
        <v>21</v>
      </c>
      <c r="GO4" s="10" t="n">
        <v>39</v>
      </c>
      <c r="GP4" s="10" t="n">
        <v>67</v>
      </c>
      <c r="GQ4" s="11" t="n">
        <f aca="false">(GM4+GN4+GO4+GP4)/4</f>
        <v>44.5</v>
      </c>
      <c r="GR4" s="10" t="n">
        <v>12</v>
      </c>
      <c r="GS4" s="10" t="n">
        <v>30</v>
      </c>
      <c r="GT4" s="10" t="n">
        <v>19</v>
      </c>
      <c r="GU4" s="10" t="n">
        <v>11</v>
      </c>
      <c r="GV4" s="11" t="n">
        <f aca="false">(GR4+GS4+GT4+GU4)/4</f>
        <v>18</v>
      </c>
      <c r="GW4" s="10" t="n">
        <v>0</v>
      </c>
      <c r="GX4" s="10" t="n">
        <v>0</v>
      </c>
      <c r="GY4" s="10" t="n">
        <v>1</v>
      </c>
      <c r="GZ4" s="10" t="n">
        <v>1</v>
      </c>
      <c r="HA4" s="11" t="n">
        <f aca="false">(GW4+GX4+GY4+GZ4)/4</f>
        <v>0.5</v>
      </c>
      <c r="HB4" s="10" t="n">
        <f aca="false">(GW4/GR4)</f>
        <v>0</v>
      </c>
      <c r="HC4" s="10" t="n">
        <f aca="false">(GX4/GS4)</f>
        <v>0</v>
      </c>
      <c r="HD4" s="10" t="n">
        <f aca="false">(GY4/GT4)</f>
        <v>0.0526315789473684</v>
      </c>
      <c r="HE4" s="10" t="n">
        <f aca="false">(GZ4/GU4)/4</f>
        <v>0.0227272727272727</v>
      </c>
      <c r="HF4" s="10" t="n">
        <f aca="false">(HB4+HC4+HD4+HE4)/4</f>
        <v>0.0188397129186603</v>
      </c>
      <c r="HG4" s="10" t="n">
        <f aca="false">(100*HF4)</f>
        <v>1.88397129186603</v>
      </c>
      <c r="HH4" s="18" t="n">
        <v>1</v>
      </c>
      <c r="HI4" s="10" t="n">
        <v>0</v>
      </c>
      <c r="HJ4" s="10" t="n">
        <v>0</v>
      </c>
      <c r="HK4" s="10" t="n">
        <v>0</v>
      </c>
      <c r="HL4" s="19" t="n">
        <v>0</v>
      </c>
      <c r="HM4" s="10" t="n">
        <f aca="false">(HI4+HJ4+HK4+HL4)/4</f>
        <v>0</v>
      </c>
      <c r="HN4" s="10" t="n">
        <f aca="false">(HI4/GR4)</f>
        <v>0</v>
      </c>
      <c r="HO4" s="10" t="n">
        <f aca="false">(HJ4/GS4)</f>
        <v>0</v>
      </c>
      <c r="HP4" s="10" t="n">
        <f aca="false">(HK4/GT4)</f>
        <v>0</v>
      </c>
      <c r="HQ4" s="10" t="n">
        <f aca="false">(HL4/GU4)</f>
        <v>0</v>
      </c>
      <c r="HR4" s="10" t="n">
        <f aca="false">(HM4/GV4)</f>
        <v>0</v>
      </c>
      <c r="HS4" s="10" t="n">
        <f aca="false">(100*HR4)</f>
        <v>0</v>
      </c>
      <c r="HT4" s="18" t="n">
        <v>0</v>
      </c>
      <c r="HU4" s="10" t="n">
        <v>2</v>
      </c>
      <c r="HV4" s="10" t="n">
        <v>2</v>
      </c>
      <c r="HW4" s="10" t="n">
        <v>3</v>
      </c>
      <c r="HX4" s="19" t="n">
        <v>4</v>
      </c>
      <c r="HY4" s="10" t="n">
        <f aca="false">(HU4+HV4+HW4+HX4)/4</f>
        <v>2.75</v>
      </c>
      <c r="HZ4" s="10" t="n">
        <f aca="false">(HU4/GR4)</f>
        <v>0.166666666666667</v>
      </c>
      <c r="IA4" s="10" t="n">
        <f aca="false">HV4/GS4</f>
        <v>0.0666666666666667</v>
      </c>
      <c r="IB4" s="10" t="n">
        <f aca="false">(HW4/GT4)</f>
        <v>0.157894736842105</v>
      </c>
      <c r="IC4" s="10" t="n">
        <f aca="false">(HX4/GU4)</f>
        <v>0.363636363636364</v>
      </c>
      <c r="ID4" s="10" t="n">
        <f aca="false">(HY4/GV4)</f>
        <v>0.152777777777778</v>
      </c>
      <c r="IE4" s="10" t="n">
        <f aca="false">(100*ID4)</f>
        <v>15.2777777777778</v>
      </c>
      <c r="IF4" s="18" t="n">
        <v>2</v>
      </c>
      <c r="IG4" s="10" t="n">
        <v>0</v>
      </c>
      <c r="IH4" s="10" t="n">
        <v>0</v>
      </c>
      <c r="II4" s="19" t="n">
        <v>4</v>
      </c>
      <c r="IJ4" s="10" t="n">
        <v>0</v>
      </c>
      <c r="IK4" s="10" t="n">
        <f aca="false">(IG4+IH4+II4+IJ4)/4</f>
        <v>1</v>
      </c>
      <c r="IL4" s="10" t="n">
        <f aca="false">(IG4/GM4)</f>
        <v>0</v>
      </c>
      <c r="IM4" s="10" t="n">
        <f aca="false">(IH4/GN4)</f>
        <v>0</v>
      </c>
      <c r="IN4" s="10" t="n">
        <f aca="false">(II4/GO4)</f>
        <v>0.102564102564103</v>
      </c>
      <c r="IO4" s="10" t="n">
        <f aca="false">(IJ4/GP4)</f>
        <v>0</v>
      </c>
      <c r="IP4" s="10" t="n">
        <f aca="false">(IK4/GQ4)</f>
        <v>0.0224719101123596</v>
      </c>
      <c r="IQ4" s="10" t="n">
        <f aca="false">(100*IP4)</f>
        <v>2.24719101123596</v>
      </c>
      <c r="IR4" s="18" t="n">
        <v>1</v>
      </c>
      <c r="IS4" s="10" t="n">
        <v>50</v>
      </c>
      <c r="IT4" s="10" t="n">
        <v>62.8</v>
      </c>
      <c r="IU4" s="19" t="n">
        <v>53</v>
      </c>
      <c r="IV4" s="10" t="n">
        <v>60.4</v>
      </c>
      <c r="IW4" s="10" t="n">
        <f aca="false">(IS4+IT4+IU4+IV4)/4</f>
        <v>56.55</v>
      </c>
      <c r="IX4" s="16" t="n">
        <v>45240</v>
      </c>
      <c r="IY4" s="10" t="s">
        <v>268</v>
      </c>
    </row>
    <row r="5" customFormat="false" ht="15" hidden="false" customHeight="false" outlineLevel="0" collapsed="false">
      <c r="A5" s="9" t="s">
        <v>259</v>
      </c>
      <c r="B5" s="10" t="s">
        <v>273</v>
      </c>
      <c r="C5" s="10" t="s">
        <v>261</v>
      </c>
      <c r="D5" s="10" t="n">
        <v>2</v>
      </c>
      <c r="E5" s="10" t="n">
        <v>2</v>
      </c>
      <c r="F5" s="10" t="s">
        <v>274</v>
      </c>
      <c r="G5" s="10" t="s">
        <v>275</v>
      </c>
      <c r="H5" s="10" t="n">
        <v>21</v>
      </c>
      <c r="I5" s="10" t="n">
        <v>3</v>
      </c>
      <c r="J5" s="12" t="s">
        <v>264</v>
      </c>
      <c r="K5" s="13" t="s">
        <v>276</v>
      </c>
      <c r="L5" s="13" t="s">
        <v>277</v>
      </c>
      <c r="M5" s="14" t="n">
        <v>1305</v>
      </c>
      <c r="N5" s="15" t="n">
        <v>45134</v>
      </c>
      <c r="O5" s="10" t="s">
        <v>267</v>
      </c>
      <c r="P5" s="10"/>
      <c r="Q5" s="10" t="n">
        <v>19.49</v>
      </c>
      <c r="R5" s="10" t="n">
        <v>20</v>
      </c>
      <c r="S5" s="10" t="n">
        <v>-15</v>
      </c>
      <c r="T5" s="10" t="n">
        <v>150</v>
      </c>
      <c r="U5" s="10"/>
      <c r="V5" s="10" t="n">
        <v>4.17</v>
      </c>
      <c r="W5" s="10" t="s">
        <v>278</v>
      </c>
      <c r="X5" s="10" t="n">
        <v>0</v>
      </c>
      <c r="Y5" s="10" t="n">
        <v>0</v>
      </c>
      <c r="Z5" s="10" t="n">
        <v>0</v>
      </c>
      <c r="AA5" s="10" t="n">
        <v>0</v>
      </c>
      <c r="AB5" s="11" t="n">
        <f aca="false">(X5+Y5+Z5+AA5)/4</f>
        <v>0</v>
      </c>
      <c r="AC5" s="10" t="n">
        <v>1</v>
      </c>
      <c r="AD5" s="10" t="n">
        <v>1</v>
      </c>
      <c r="AE5" s="10" t="n">
        <v>1</v>
      </c>
      <c r="AF5" s="10" t="n">
        <v>1</v>
      </c>
      <c r="AG5" s="11" t="n">
        <f aca="false">(AC5+AD5+AE5+AF5)/4</f>
        <v>1</v>
      </c>
      <c r="AH5" s="10" t="n">
        <v>1</v>
      </c>
      <c r="AI5" s="10" t="n">
        <v>0</v>
      </c>
      <c r="AJ5" s="10" t="n">
        <v>0</v>
      </c>
      <c r="AK5" s="10" t="n">
        <v>0</v>
      </c>
      <c r="AL5" s="11" t="n">
        <f aca="false">(AH5+AI5+AJ5+AK5)/4</f>
        <v>0.25</v>
      </c>
      <c r="AM5" s="10" t="n">
        <v>15</v>
      </c>
      <c r="AN5" s="10" t="n">
        <v>9</v>
      </c>
      <c r="AO5" s="10" t="n">
        <v>6</v>
      </c>
      <c r="AP5" s="10" t="n">
        <v>32</v>
      </c>
      <c r="AQ5" s="11" t="n">
        <f aca="false">(AM5+AN5+AO5+AP5)/4</f>
        <v>15.5</v>
      </c>
      <c r="AR5" s="10" t="n">
        <v>11</v>
      </c>
      <c r="AS5" s="10" t="n">
        <v>12</v>
      </c>
      <c r="AT5" s="10" t="n">
        <v>14</v>
      </c>
      <c r="AU5" s="10" t="n">
        <v>11</v>
      </c>
      <c r="AV5" s="11" t="n">
        <f aca="false">(AR5+AS5+AT5+AU5)/4</f>
        <v>12</v>
      </c>
      <c r="AW5" s="10" t="n">
        <v>0</v>
      </c>
      <c r="AX5" s="10" t="n">
        <v>0</v>
      </c>
      <c r="AY5" s="10" t="n">
        <v>0</v>
      </c>
      <c r="AZ5" s="10" t="n">
        <v>0</v>
      </c>
      <c r="BA5" s="11" t="n">
        <f aca="false">(AW5+AX5+AY5+AZ5)/4</f>
        <v>0</v>
      </c>
      <c r="BB5" s="11" t="n">
        <f aca="false">(AW5/AR5)</f>
        <v>0</v>
      </c>
      <c r="BC5" s="11" t="n">
        <f aca="false">(AX5/AS5)</f>
        <v>0</v>
      </c>
      <c r="BD5" s="11" t="n">
        <f aca="false">(AY5/AT5)</f>
        <v>0</v>
      </c>
      <c r="BE5" s="11" t="n">
        <f aca="false">(AZ5/AU5)</f>
        <v>0</v>
      </c>
      <c r="BF5" s="11" t="n">
        <f aca="false">(BA5/AV5)</f>
        <v>0</v>
      </c>
      <c r="BG5" s="11" t="n">
        <f aca="false">(BF5*100)</f>
        <v>0</v>
      </c>
      <c r="BH5" s="10" t="n">
        <v>0</v>
      </c>
      <c r="BI5" s="10" t="n">
        <v>5</v>
      </c>
      <c r="BJ5" s="10" t="n">
        <v>6</v>
      </c>
      <c r="BK5" s="10" t="n">
        <v>8</v>
      </c>
      <c r="BL5" s="10" t="n">
        <v>4</v>
      </c>
      <c r="BM5" s="11" t="n">
        <f aca="false">(BI5+BJ5+BK5+BL5)/4</f>
        <v>5.75</v>
      </c>
      <c r="BN5" s="11" t="n">
        <f aca="false">(BI5/AR5)</f>
        <v>0.454545454545455</v>
      </c>
      <c r="BO5" s="11" t="n">
        <f aca="false">(BJ5/AS5)</f>
        <v>0.5</v>
      </c>
      <c r="BP5" s="11" t="n">
        <f aca="false">(BK5/AT5)</f>
        <v>0.571428571428571</v>
      </c>
      <c r="BQ5" s="11" t="n">
        <f aca="false">(BL5/AU5)</f>
        <v>0.363636363636364</v>
      </c>
      <c r="BR5" s="11" t="n">
        <f aca="false">(BM5/AV5)</f>
        <v>0.479166666666667</v>
      </c>
      <c r="BS5" s="11" t="n">
        <f aca="false">(100*BR5)</f>
        <v>47.9166666666667</v>
      </c>
      <c r="BT5" s="10" t="n">
        <v>3</v>
      </c>
      <c r="BU5" s="10" t="n">
        <v>0</v>
      </c>
      <c r="BV5" s="10" t="n">
        <v>0</v>
      </c>
      <c r="BW5" s="10" t="n">
        <v>0</v>
      </c>
      <c r="BX5" s="10" t="n">
        <v>0</v>
      </c>
      <c r="BY5" s="11" t="n">
        <f aca="false">(BU5+BV5+BW5+BX5)/4</f>
        <v>0</v>
      </c>
      <c r="BZ5" s="11" t="n">
        <f aca="false">(BU5/AR5)</f>
        <v>0</v>
      </c>
      <c r="CA5" s="11" t="n">
        <f aca="false">(BV5/AS5)</f>
        <v>0</v>
      </c>
      <c r="CB5" s="11" t="n">
        <f aca="false">(BW5/AT5)</f>
        <v>0</v>
      </c>
      <c r="CC5" s="11" t="n">
        <f aca="false">(BX5/AU5)</f>
        <v>0</v>
      </c>
      <c r="CD5" s="11" t="n">
        <f aca="false">(BY5/AV5)</f>
        <v>0</v>
      </c>
      <c r="CE5" s="11" t="n">
        <f aca="false">(100*CD5)</f>
        <v>0</v>
      </c>
      <c r="CF5" s="10" t="n">
        <v>0</v>
      </c>
      <c r="CG5" s="10" t="n">
        <v>2</v>
      </c>
      <c r="CH5" s="10" t="n">
        <v>0</v>
      </c>
      <c r="CI5" s="10" t="n">
        <v>0</v>
      </c>
      <c r="CJ5" s="10" t="n">
        <v>0</v>
      </c>
      <c r="CK5" s="11" t="n">
        <f aca="false">(CG5+CH5+CI5+CJ5)/4</f>
        <v>0.5</v>
      </c>
      <c r="CL5" s="11" t="n">
        <f aca="false">(CG5/AM5)</f>
        <v>0.133333333333333</v>
      </c>
      <c r="CM5" s="11" t="n">
        <f aca="false">(CH5/AN5)</f>
        <v>0</v>
      </c>
      <c r="CN5" s="11" t="n">
        <f aca="false">(CI5/AO5)</f>
        <v>0</v>
      </c>
      <c r="CO5" s="10" t="n">
        <f aca="false">(CJ5/AP5)</f>
        <v>0</v>
      </c>
      <c r="CP5" s="10" t="n">
        <f aca="false">(CK5/AQ5)</f>
        <v>0.032258064516129</v>
      </c>
      <c r="CQ5" s="10" t="n">
        <f aca="false">(100*CP5)</f>
        <v>3.2258064516129</v>
      </c>
      <c r="CR5" s="18" t="n">
        <v>1</v>
      </c>
      <c r="CS5" s="10" t="n">
        <v>64.7</v>
      </c>
      <c r="CT5" s="10" t="n">
        <v>65.3</v>
      </c>
      <c r="CU5" s="10" t="n">
        <v>64.3</v>
      </c>
      <c r="CV5" s="10" t="n">
        <v>62.2</v>
      </c>
      <c r="CW5" s="11" t="n">
        <f aca="false">(CS5+CT5+CU5+CV5)/4</f>
        <v>64.125</v>
      </c>
      <c r="CX5" s="10" t="n">
        <v>0</v>
      </c>
      <c r="CY5" s="10" t="n">
        <v>0</v>
      </c>
      <c r="CZ5" s="10" t="n">
        <v>0</v>
      </c>
      <c r="DA5" s="10" t="n">
        <v>0</v>
      </c>
      <c r="DB5" s="11" t="n">
        <f aca="false">(CX5+CY5+CZ5+DA5)/4</f>
        <v>0</v>
      </c>
      <c r="DC5" s="10" t="n">
        <v>1</v>
      </c>
      <c r="DD5" s="10" t="n">
        <v>1</v>
      </c>
      <c r="DE5" s="10" t="n">
        <v>1</v>
      </c>
      <c r="DF5" s="10" t="n">
        <v>0</v>
      </c>
      <c r="DG5" s="11" t="n">
        <f aca="false">(DC5+DD5+DE5+DF5)/4</f>
        <v>0.75</v>
      </c>
      <c r="DH5" s="10" t="n">
        <v>0</v>
      </c>
      <c r="DI5" s="10" t="n">
        <v>0</v>
      </c>
      <c r="DJ5" s="10" t="n">
        <v>1</v>
      </c>
      <c r="DK5" s="10" t="n">
        <v>0</v>
      </c>
      <c r="DL5" s="11" t="n">
        <f aca="false">(DH5+DI5+DJ5+DK5)/4</f>
        <v>0.25</v>
      </c>
      <c r="DM5" s="10" t="n">
        <v>24</v>
      </c>
      <c r="DN5" s="10" t="n">
        <v>40</v>
      </c>
      <c r="DO5" s="10" t="n">
        <v>7</v>
      </c>
      <c r="DP5" s="10" t="n">
        <v>46</v>
      </c>
      <c r="DQ5" s="11" t="n">
        <f aca="false">(DM5+DN5+DO5+DP5)/4</f>
        <v>29.25</v>
      </c>
      <c r="DR5" s="10" t="n">
        <v>11</v>
      </c>
      <c r="DS5" s="10" t="n">
        <v>17</v>
      </c>
      <c r="DT5" s="10" t="n">
        <v>13</v>
      </c>
      <c r="DU5" s="10" t="n">
        <v>13</v>
      </c>
      <c r="DV5" s="11" t="n">
        <f aca="false">(DR5+DS5+DT5+DU5)/4</f>
        <v>13.5</v>
      </c>
      <c r="DW5" s="10" t="n">
        <v>0</v>
      </c>
      <c r="DX5" s="10" t="n">
        <v>0</v>
      </c>
      <c r="DY5" s="10" t="n">
        <v>0</v>
      </c>
      <c r="DZ5" s="10" t="n">
        <v>0</v>
      </c>
      <c r="EA5" s="11" t="n">
        <f aca="false">(DW5+DX5+DY5+DZ5)/4</f>
        <v>0</v>
      </c>
      <c r="EB5" s="11" t="n">
        <f aca="false">(DW5/DR5)</f>
        <v>0</v>
      </c>
      <c r="EC5" s="11" t="n">
        <f aca="false">(DX5/DS5)</f>
        <v>0</v>
      </c>
      <c r="ED5" s="11" t="n">
        <f aca="false">(DY5/DT5)</f>
        <v>0</v>
      </c>
      <c r="EE5" s="11" t="n">
        <f aca="false">(DZ5/DU5)</f>
        <v>0</v>
      </c>
      <c r="EF5" s="11" t="n">
        <f aca="false">(EA5/DV5)</f>
        <v>0</v>
      </c>
      <c r="EG5" s="11" t="n">
        <f aca="false">(100*EF5)</f>
        <v>0</v>
      </c>
      <c r="EH5" s="10" t="n">
        <v>0</v>
      </c>
      <c r="EI5" s="10" t="n">
        <v>6</v>
      </c>
      <c r="EJ5" s="10" t="n">
        <v>5</v>
      </c>
      <c r="EK5" s="19" t="n">
        <v>4</v>
      </c>
      <c r="EL5" s="10" t="n">
        <v>0</v>
      </c>
      <c r="EM5" s="10" t="n">
        <f aca="false">(EI5+EJ5+EK5+EL5)/4</f>
        <v>3.75</v>
      </c>
      <c r="EN5" s="10" t="n">
        <f aca="false">(EI5/DR5)</f>
        <v>0.545454545454545</v>
      </c>
      <c r="EO5" s="10" t="n">
        <f aca="false">(EJ5/DS5)</f>
        <v>0.294117647058824</v>
      </c>
      <c r="EP5" s="10" t="n">
        <f aca="false">(EK5/DT5)</f>
        <v>0.307692307692308</v>
      </c>
      <c r="EQ5" s="10" t="n">
        <f aca="false">(EL5/DU5)</f>
        <v>0</v>
      </c>
      <c r="ER5" s="10" t="n">
        <f aca="false">EM5/DV5</f>
        <v>0.277777777777778</v>
      </c>
      <c r="ES5" s="10" t="n">
        <f aca="false">(100*ER5)</f>
        <v>27.7777777777778</v>
      </c>
      <c r="ET5" s="10" t="n">
        <v>2</v>
      </c>
      <c r="EU5" s="18" t="n">
        <v>0</v>
      </c>
      <c r="EV5" s="10" t="n">
        <v>0</v>
      </c>
      <c r="EW5" s="10" t="n">
        <v>0</v>
      </c>
      <c r="EX5" s="10" t="n">
        <v>0</v>
      </c>
      <c r="EY5" s="11" t="n">
        <f aca="false">(EU5+EV5+EW5+EX5)/4</f>
        <v>0</v>
      </c>
      <c r="EZ5" s="11" t="n">
        <f aca="false">(EU5/DR5)</f>
        <v>0</v>
      </c>
      <c r="FA5" s="11" t="n">
        <f aca="false">(EV5/DS5)</f>
        <v>0</v>
      </c>
      <c r="FB5" s="11" t="n">
        <f aca="false">(EW5/DT5)</f>
        <v>0</v>
      </c>
      <c r="FC5" s="11" t="n">
        <f aca="false">(EX5/DU5)</f>
        <v>0</v>
      </c>
      <c r="FD5" s="11" t="n">
        <f aca="false">(EY5/DV5)</f>
        <v>0</v>
      </c>
      <c r="FE5" s="11" t="n">
        <f aca="false">(100*FD5)</f>
        <v>0</v>
      </c>
      <c r="FF5" s="10" t="n">
        <v>0</v>
      </c>
      <c r="FG5" s="10" t="n">
        <v>0</v>
      </c>
      <c r="FH5" s="10" t="n">
        <v>0</v>
      </c>
      <c r="FI5" s="10" t="n">
        <v>1</v>
      </c>
      <c r="FJ5" s="10" t="n">
        <v>0</v>
      </c>
      <c r="FK5" s="11" t="n">
        <f aca="false">(FG5+FH5+FI5+FJ5)/4</f>
        <v>0.25</v>
      </c>
      <c r="FL5" s="11" t="n">
        <f aca="false">(FG5/DR5)</f>
        <v>0</v>
      </c>
      <c r="FM5" s="11" t="n">
        <f aca="false">(FH5/DS5)</f>
        <v>0</v>
      </c>
      <c r="FN5" s="11" t="n">
        <f aca="false">(FI5/DT5)</f>
        <v>0.0769230769230769</v>
      </c>
      <c r="FO5" s="11" t="n">
        <f aca="false">(FJ5/DU5)</f>
        <v>0</v>
      </c>
      <c r="FP5" s="11" t="n">
        <f aca="false">(FK5/DV5)</f>
        <v>0.0185185185185185</v>
      </c>
      <c r="FQ5" s="11" t="n">
        <f aca="false">(100*FP5)</f>
        <v>1.85185185185185</v>
      </c>
      <c r="FR5" s="10" t="n">
        <v>1</v>
      </c>
      <c r="FS5" s="10" t="n">
        <v>60.2</v>
      </c>
      <c r="FT5" s="10" t="n">
        <v>59.8</v>
      </c>
      <c r="FU5" s="10" t="n">
        <v>58.4</v>
      </c>
      <c r="FV5" s="10" t="n">
        <v>55.6</v>
      </c>
      <c r="FW5" s="11" t="n">
        <f aca="false">(FS5+FT5+FU5+FV5)/4</f>
        <v>58.5</v>
      </c>
      <c r="FX5" s="10" t="n">
        <v>0</v>
      </c>
      <c r="FY5" s="10" t="n">
        <v>0</v>
      </c>
      <c r="FZ5" s="10" t="n">
        <v>0</v>
      </c>
      <c r="GA5" s="10" t="n">
        <v>0</v>
      </c>
      <c r="GB5" s="11" t="n">
        <f aca="false">(FX5+FY5+FZ5+GA5)/4</f>
        <v>0</v>
      </c>
      <c r="GC5" s="10" t="n">
        <v>1</v>
      </c>
      <c r="GD5" s="10" t="n">
        <v>1</v>
      </c>
      <c r="GE5" s="10" t="n">
        <v>1</v>
      </c>
      <c r="GF5" s="10" t="n">
        <v>1</v>
      </c>
      <c r="GG5" s="11" t="n">
        <f aca="false">(GC5+GD5+GE5+GF5)/4</f>
        <v>1</v>
      </c>
      <c r="GH5" s="10" t="n">
        <v>0</v>
      </c>
      <c r="GI5" s="10" t="n">
        <v>0</v>
      </c>
      <c r="GJ5" s="10" t="n">
        <v>0</v>
      </c>
      <c r="GK5" s="10" t="n">
        <v>0</v>
      </c>
      <c r="GL5" s="11" t="n">
        <f aca="false">(GH5+GI5+GJ5+GK5)/4</f>
        <v>0</v>
      </c>
      <c r="GM5" s="10" t="n">
        <v>36</v>
      </c>
      <c r="GN5" s="10" t="n">
        <v>12</v>
      </c>
      <c r="GO5" s="10" t="n">
        <v>13</v>
      </c>
      <c r="GP5" s="10" t="n">
        <v>0</v>
      </c>
      <c r="GQ5" s="11" t="n">
        <f aca="false">(GM5+GN5+GO5+GP5)/4</f>
        <v>15.25</v>
      </c>
      <c r="GR5" s="10" t="n">
        <v>16</v>
      </c>
      <c r="GS5" s="10" t="n">
        <v>14</v>
      </c>
      <c r="GT5" s="10" t="n">
        <v>4</v>
      </c>
      <c r="GU5" s="10" t="n">
        <v>9</v>
      </c>
      <c r="GV5" s="11" t="n">
        <f aca="false">(GR5+GS5+GT5+GU5)/4</f>
        <v>10.75</v>
      </c>
      <c r="GW5" s="10" t="n">
        <v>0</v>
      </c>
      <c r="GX5" s="10" t="n">
        <v>0</v>
      </c>
      <c r="GY5" s="10" t="n">
        <v>0</v>
      </c>
      <c r="GZ5" s="10" t="n">
        <v>0</v>
      </c>
      <c r="HA5" s="11" t="n">
        <f aca="false">(GW5+GX5+GY5+GZ5)/4</f>
        <v>0</v>
      </c>
      <c r="HB5" s="10" t="n">
        <f aca="false">(GW5/GR5)</f>
        <v>0</v>
      </c>
      <c r="HC5" s="10" t="n">
        <f aca="false">(GX5/GS5)</f>
        <v>0</v>
      </c>
      <c r="HD5" s="10" t="n">
        <f aca="false">(GY5/GT5)</f>
        <v>0</v>
      </c>
      <c r="HE5" s="10" t="n">
        <f aca="false">(GZ5/GU5)/4</f>
        <v>0</v>
      </c>
      <c r="HF5" s="10" t="n">
        <f aca="false">(HB5+HC5+HD5+HE5)/4</f>
        <v>0</v>
      </c>
      <c r="HG5" s="10" t="n">
        <f aca="false">(100*HF5)</f>
        <v>0</v>
      </c>
      <c r="HH5" s="18" t="n">
        <v>0</v>
      </c>
      <c r="HI5" s="10" t="n">
        <v>4</v>
      </c>
      <c r="HJ5" s="10" t="n">
        <v>2</v>
      </c>
      <c r="HK5" s="10" t="n">
        <v>1</v>
      </c>
      <c r="HL5" s="19" t="n">
        <v>2</v>
      </c>
      <c r="HM5" s="10" t="n">
        <f aca="false">(HI5+HJ5+HK5+HL5)/4</f>
        <v>2.25</v>
      </c>
      <c r="HN5" s="10" t="n">
        <f aca="false">(HI5/GR5)</f>
        <v>0.25</v>
      </c>
      <c r="HO5" s="10" t="n">
        <f aca="false">(HJ5/GS5)</f>
        <v>0.142857142857143</v>
      </c>
      <c r="HP5" s="10" t="n">
        <f aca="false">(HK5/GT5)</f>
        <v>0.25</v>
      </c>
      <c r="HQ5" s="10" t="n">
        <f aca="false">(HL5/GU5)</f>
        <v>0.222222222222222</v>
      </c>
      <c r="HR5" s="10" t="n">
        <f aca="false">(HM5/GV5)</f>
        <v>0.209302325581395</v>
      </c>
      <c r="HS5" s="10" t="n">
        <f aca="false">(100*HR5)</f>
        <v>20.9302325581395</v>
      </c>
      <c r="HT5" s="18" t="n">
        <v>2</v>
      </c>
      <c r="HU5" s="10" t="n">
        <v>0</v>
      </c>
      <c r="HV5" s="10" t="n">
        <v>0</v>
      </c>
      <c r="HW5" s="10" t="n">
        <v>0</v>
      </c>
      <c r="HX5" s="19" t="n">
        <v>0</v>
      </c>
      <c r="HY5" s="10" t="n">
        <f aca="false">(HU5+HV5+HW5+HX5)/4</f>
        <v>0</v>
      </c>
      <c r="HZ5" s="10" t="n">
        <f aca="false">(HU5/GR5)</f>
        <v>0</v>
      </c>
      <c r="IA5" s="10" t="n">
        <f aca="false">HV5/GS5</f>
        <v>0</v>
      </c>
      <c r="IB5" s="10" t="n">
        <f aca="false">(HW5/GT5)</f>
        <v>0</v>
      </c>
      <c r="IC5" s="10" t="n">
        <f aca="false">(HX5/GU5)</f>
        <v>0</v>
      </c>
      <c r="ID5" s="10" t="n">
        <f aca="false">(HY5/GV5)</f>
        <v>0</v>
      </c>
      <c r="IE5" s="10" t="n">
        <f aca="false">(100*ID5)</f>
        <v>0</v>
      </c>
      <c r="IF5" s="18" t="n">
        <v>0</v>
      </c>
      <c r="IG5" s="10" t="n">
        <v>0</v>
      </c>
      <c r="IH5" s="10" t="n">
        <v>0</v>
      </c>
      <c r="II5" s="19" t="n">
        <v>0</v>
      </c>
      <c r="IJ5" s="10" t="n">
        <v>0</v>
      </c>
      <c r="IK5" s="10" t="n">
        <f aca="false">(IG5+IH5+II5+IJ5)/4</f>
        <v>0</v>
      </c>
      <c r="IL5" s="10" t="n">
        <f aca="false">(IG5/GM5)</f>
        <v>0</v>
      </c>
      <c r="IM5" s="10" t="n">
        <f aca="false">(IH5/GN5)</f>
        <v>0</v>
      </c>
      <c r="IN5" s="10" t="n">
        <f aca="false">(II5/GO5)</f>
        <v>0</v>
      </c>
      <c r="IO5" s="10" t="e">
        <f aca="false">(IJ5/GP5)</f>
        <v>#DIV/0!</v>
      </c>
      <c r="IP5" s="10" t="n">
        <f aca="false">(IK5/GQ5)</f>
        <v>0</v>
      </c>
      <c r="IQ5" s="10" t="n">
        <f aca="false">(100*IP5)</f>
        <v>0</v>
      </c>
      <c r="IR5" s="18" t="n">
        <v>0</v>
      </c>
      <c r="IS5" s="10" t="n">
        <v>55.9</v>
      </c>
      <c r="IT5" s="10" t="n">
        <v>60.5</v>
      </c>
      <c r="IU5" s="19" t="n">
        <v>59</v>
      </c>
      <c r="IV5" s="10"/>
      <c r="IW5" s="10" t="n">
        <f aca="false">(IS5+IT5+IU5+IV5)/4</f>
        <v>43.85</v>
      </c>
      <c r="IX5" s="16" t="n">
        <v>45211</v>
      </c>
      <c r="IY5" s="10" t="s">
        <v>268</v>
      </c>
    </row>
    <row r="6" customFormat="false" ht="15" hidden="false" customHeight="false" outlineLevel="0" collapsed="false">
      <c r="A6" s="9" t="s">
        <v>259</v>
      </c>
      <c r="B6" s="10" t="s">
        <v>273</v>
      </c>
      <c r="C6" s="10" t="s">
        <v>261</v>
      </c>
      <c r="D6" s="10" t="n">
        <v>2</v>
      </c>
      <c r="E6" s="10" t="n">
        <v>2</v>
      </c>
      <c r="F6" s="10" t="s">
        <v>279</v>
      </c>
      <c r="G6" s="10" t="s">
        <v>280</v>
      </c>
      <c r="H6" s="10" t="n">
        <v>21</v>
      </c>
      <c r="I6" s="10" t="n">
        <v>10</v>
      </c>
      <c r="J6" s="12" t="s">
        <v>270</v>
      </c>
      <c r="K6" s="17"/>
      <c r="L6" s="17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 t="n">
        <v>0</v>
      </c>
      <c r="Y6" s="10" t="n">
        <v>0</v>
      </c>
      <c r="Z6" s="10" t="n">
        <v>0</v>
      </c>
      <c r="AA6" s="10" t="n">
        <v>0</v>
      </c>
      <c r="AB6" s="11" t="n">
        <f aca="false">(X6+Y6+Z6+AA6)/4</f>
        <v>0</v>
      </c>
      <c r="AC6" s="10" t="n">
        <v>1</v>
      </c>
      <c r="AD6" s="10" t="n">
        <v>1</v>
      </c>
      <c r="AE6" s="10" t="n">
        <v>1</v>
      </c>
      <c r="AF6" s="10" t="n">
        <v>1</v>
      </c>
      <c r="AG6" s="11" t="n">
        <f aca="false">(AC6+AD6+AE6+AF6)/4</f>
        <v>1</v>
      </c>
      <c r="AH6" s="10" t="n">
        <v>1</v>
      </c>
      <c r="AI6" s="10" t="n">
        <v>1</v>
      </c>
      <c r="AJ6" s="10" t="n">
        <v>1</v>
      </c>
      <c r="AK6" s="10" t="n">
        <v>1</v>
      </c>
      <c r="AL6" s="11" t="n">
        <f aca="false">(AH6+AI6+AJ6+AK6)/4</f>
        <v>1</v>
      </c>
      <c r="AM6" s="10" t="n">
        <v>12</v>
      </c>
      <c r="AN6" s="10" t="n">
        <v>22</v>
      </c>
      <c r="AO6" s="10" t="n">
        <v>32</v>
      </c>
      <c r="AP6" s="10" t="n">
        <v>42</v>
      </c>
      <c r="AQ6" s="11" t="n">
        <f aca="false">(AM6+AN6+AO6+AP6)/4</f>
        <v>27</v>
      </c>
      <c r="AR6" s="10" t="n">
        <v>8</v>
      </c>
      <c r="AS6" s="10" t="n">
        <v>16</v>
      </c>
      <c r="AT6" s="10" t="n">
        <v>12</v>
      </c>
      <c r="AU6" s="10" t="n">
        <v>21</v>
      </c>
      <c r="AV6" s="11" t="n">
        <f aca="false">(AR6+AS6+AT6+AU6)/4</f>
        <v>14.25</v>
      </c>
      <c r="AW6" s="10" t="n">
        <v>0</v>
      </c>
      <c r="AX6" s="10" t="n">
        <v>0</v>
      </c>
      <c r="AY6" s="10" t="n">
        <v>0</v>
      </c>
      <c r="AZ6" s="10" t="n">
        <v>0</v>
      </c>
      <c r="BA6" s="11" t="n">
        <f aca="false">(AW6+AX6+AY6+AZ6)/4</f>
        <v>0</v>
      </c>
      <c r="BB6" s="11" t="n">
        <f aca="false">(AW6/AR6)</f>
        <v>0</v>
      </c>
      <c r="BC6" s="11" t="n">
        <f aca="false">(AX6/AS6)</f>
        <v>0</v>
      </c>
      <c r="BD6" s="11" t="n">
        <f aca="false">(AY6/AT6)</f>
        <v>0</v>
      </c>
      <c r="BE6" s="11" t="n">
        <f aca="false">(AZ6/AU6)</f>
        <v>0</v>
      </c>
      <c r="BF6" s="11" t="n">
        <f aca="false">(BA6/AV6)</f>
        <v>0</v>
      </c>
      <c r="BG6" s="11" t="n">
        <f aca="false">(BF6*100)</f>
        <v>0</v>
      </c>
      <c r="BH6" s="10" t="n">
        <v>0</v>
      </c>
      <c r="BI6" s="10" t="n">
        <v>4</v>
      </c>
      <c r="BJ6" s="10" t="n">
        <v>8</v>
      </c>
      <c r="BK6" s="10" t="n">
        <v>8</v>
      </c>
      <c r="BL6" s="10" t="n">
        <v>7</v>
      </c>
      <c r="BM6" s="11" t="n">
        <f aca="false">(BI6+BJ6+BK6+BL6)/4</f>
        <v>6.75</v>
      </c>
      <c r="BN6" s="11" t="n">
        <f aca="false">(BI6/AR6)</f>
        <v>0.5</v>
      </c>
      <c r="BO6" s="11" t="n">
        <f aca="false">(BJ6/AS6)</f>
        <v>0.5</v>
      </c>
      <c r="BP6" s="11" t="n">
        <f aca="false">(BK6/AT6)</f>
        <v>0.666666666666667</v>
      </c>
      <c r="BQ6" s="11" t="n">
        <f aca="false">(BL6/AU6)</f>
        <v>0.333333333333333</v>
      </c>
      <c r="BR6" s="11" t="n">
        <f aca="false">(BM6/AV6)</f>
        <v>0.473684210526316</v>
      </c>
      <c r="BS6" s="11" t="n">
        <f aca="false">(100*BR6)</f>
        <v>47.3684210526316</v>
      </c>
      <c r="BT6" s="10" t="n">
        <v>3</v>
      </c>
      <c r="BU6" s="10" t="n">
        <v>0</v>
      </c>
      <c r="BV6" s="10" t="n">
        <v>0</v>
      </c>
      <c r="BW6" s="10" t="n">
        <v>0</v>
      </c>
      <c r="BX6" s="10" t="n">
        <v>0</v>
      </c>
      <c r="BY6" s="11" t="n">
        <f aca="false">(BU6+BV6+BW6+BX6)/4</f>
        <v>0</v>
      </c>
      <c r="BZ6" s="11" t="n">
        <f aca="false">(BU6/AR6)</f>
        <v>0</v>
      </c>
      <c r="CA6" s="11" t="n">
        <f aca="false">(BV6/AS6)</f>
        <v>0</v>
      </c>
      <c r="CB6" s="11" t="n">
        <f aca="false">(BW6/AT6)</f>
        <v>0</v>
      </c>
      <c r="CC6" s="11" t="n">
        <f aca="false">(BX6/AU6)</f>
        <v>0</v>
      </c>
      <c r="CD6" s="11" t="n">
        <f aca="false">(BY6/AV6)</f>
        <v>0</v>
      </c>
      <c r="CE6" s="11" t="n">
        <f aca="false">(100*CD6)</f>
        <v>0</v>
      </c>
      <c r="CF6" s="10" t="n">
        <v>0</v>
      </c>
      <c r="CG6" s="10" t="n">
        <v>3</v>
      </c>
      <c r="CH6" s="10" t="n">
        <v>2</v>
      </c>
      <c r="CI6" s="10" t="n">
        <v>13</v>
      </c>
      <c r="CJ6" s="10" t="n">
        <v>18</v>
      </c>
      <c r="CK6" s="11" t="n">
        <f aca="false">(CG6+CH6+CI6+CJ6)/4</f>
        <v>9</v>
      </c>
      <c r="CL6" s="11" t="n">
        <f aca="false">(CG6/AM6)</f>
        <v>0.25</v>
      </c>
      <c r="CM6" s="11" t="n">
        <f aca="false">(CH6/AN6)</f>
        <v>0.0909090909090909</v>
      </c>
      <c r="CN6" s="11" t="n">
        <f aca="false">(CI6/AO6)</f>
        <v>0.40625</v>
      </c>
      <c r="CO6" s="10" t="n">
        <f aca="false">(CJ6/AP6)</f>
        <v>0.428571428571429</v>
      </c>
      <c r="CP6" s="10" t="n">
        <f aca="false">(CK6/AQ6)</f>
        <v>0.333333333333333</v>
      </c>
      <c r="CQ6" s="10" t="n">
        <f aca="false">(100*CP6)</f>
        <v>33.3333333333333</v>
      </c>
      <c r="CR6" s="18" t="n">
        <v>3</v>
      </c>
      <c r="CS6" s="10" t="n">
        <v>59.6</v>
      </c>
      <c r="CT6" s="10" t="n">
        <v>51.2</v>
      </c>
      <c r="CU6" s="10" t="n">
        <v>82.7</v>
      </c>
      <c r="CV6" s="10" t="n">
        <v>83.5</v>
      </c>
      <c r="CW6" s="11" t="n">
        <f aca="false">(CS6+CT6+CU6+CV6)/4</f>
        <v>69.25</v>
      </c>
      <c r="CX6" s="10" t="n">
        <v>0</v>
      </c>
      <c r="CY6" s="10" t="n">
        <v>0</v>
      </c>
      <c r="CZ6" s="10" t="n">
        <v>0</v>
      </c>
      <c r="DA6" s="10" t="n">
        <v>0</v>
      </c>
      <c r="DB6" s="11" t="n">
        <f aca="false">(CX6+CY6+CZ6+DA6)/4</f>
        <v>0</v>
      </c>
      <c r="DC6" s="10" t="n">
        <v>1</v>
      </c>
      <c r="DD6" s="10" t="n">
        <v>1</v>
      </c>
      <c r="DE6" s="10" t="n">
        <v>1</v>
      </c>
      <c r="DF6" s="10" t="n">
        <v>1</v>
      </c>
      <c r="DG6" s="11" t="n">
        <f aca="false">(DC6+DD6+DE6+DF6)/4</f>
        <v>1</v>
      </c>
      <c r="DH6" s="10" t="n">
        <v>1</v>
      </c>
      <c r="DI6" s="10" t="n">
        <v>1</v>
      </c>
      <c r="DJ6" s="10" t="n">
        <v>1</v>
      </c>
      <c r="DK6" s="10" t="n">
        <v>1</v>
      </c>
      <c r="DL6" s="11" t="n">
        <f aca="false">(DH6+DI6+DJ6+DK6)/4</f>
        <v>1</v>
      </c>
      <c r="DM6" s="10" t="n">
        <v>31</v>
      </c>
      <c r="DN6" s="10" t="n">
        <v>31</v>
      </c>
      <c r="DO6" s="10" t="n">
        <v>59</v>
      </c>
      <c r="DP6" s="10" t="n">
        <v>25</v>
      </c>
      <c r="DQ6" s="11" t="n">
        <f aca="false">(DM6+DN6+DO6+DP6)/4</f>
        <v>36.5</v>
      </c>
      <c r="DR6" s="10" t="n">
        <v>18</v>
      </c>
      <c r="DS6" s="10" t="n">
        <v>15</v>
      </c>
      <c r="DT6" s="10" t="n">
        <v>18</v>
      </c>
      <c r="DU6" s="10" t="n">
        <v>22</v>
      </c>
      <c r="DV6" s="11" t="n">
        <f aca="false">(DR6+DS6+DT6+DU6)/4</f>
        <v>18.25</v>
      </c>
      <c r="DW6" s="10" t="n">
        <v>0</v>
      </c>
      <c r="DX6" s="10" t="n">
        <v>0</v>
      </c>
      <c r="DY6" s="10" t="n">
        <v>0</v>
      </c>
      <c r="DZ6" s="10" t="n">
        <v>0</v>
      </c>
      <c r="EA6" s="11" t="n">
        <f aca="false">(DW6+DX6+DY6+DZ6)/4</f>
        <v>0</v>
      </c>
      <c r="EB6" s="11" t="n">
        <f aca="false">(DW6/DR6)</f>
        <v>0</v>
      </c>
      <c r="EC6" s="11" t="n">
        <f aca="false">(DX6/DS6)</f>
        <v>0</v>
      </c>
      <c r="ED6" s="11" t="n">
        <f aca="false">(DY6/DT6)</f>
        <v>0</v>
      </c>
      <c r="EE6" s="11" t="n">
        <f aca="false">(DZ6/DU6)</f>
        <v>0</v>
      </c>
      <c r="EF6" s="11" t="n">
        <f aca="false">(EA6/DV6)</f>
        <v>0</v>
      </c>
      <c r="EG6" s="11" t="n">
        <f aca="false">(100*EF6)</f>
        <v>0</v>
      </c>
      <c r="EH6" s="10" t="n">
        <v>0</v>
      </c>
      <c r="EI6" s="10" t="n">
        <v>6</v>
      </c>
      <c r="EJ6" s="10" t="n">
        <v>8</v>
      </c>
      <c r="EK6" s="19" t="n">
        <v>6</v>
      </c>
      <c r="EL6" s="10" t="n">
        <v>5</v>
      </c>
      <c r="EM6" s="10" t="n">
        <f aca="false">(EI6+EJ6+EK6+EL6)/4</f>
        <v>6.25</v>
      </c>
      <c r="EN6" s="10" t="n">
        <f aca="false">(EI6/DR6)</f>
        <v>0.333333333333333</v>
      </c>
      <c r="EO6" s="10" t="n">
        <f aca="false">(EJ6/DS6)</f>
        <v>0.533333333333333</v>
      </c>
      <c r="EP6" s="10" t="n">
        <f aca="false">(EK6/DT6)</f>
        <v>0.333333333333333</v>
      </c>
      <c r="EQ6" s="10" t="n">
        <f aca="false">(EL6/DU6)</f>
        <v>0.227272727272727</v>
      </c>
      <c r="ER6" s="10" t="n">
        <f aca="false">EM6/DV6</f>
        <v>0.342465753424658</v>
      </c>
      <c r="ES6" s="10" t="n">
        <f aca="false">(100*ER6)</f>
        <v>34.2465753424658</v>
      </c>
      <c r="ET6" s="10" t="n">
        <v>3</v>
      </c>
      <c r="EU6" s="18" t="n">
        <v>0</v>
      </c>
      <c r="EV6" s="10" t="n">
        <v>0</v>
      </c>
      <c r="EW6" s="10" t="n">
        <v>0</v>
      </c>
      <c r="EX6" s="10" t="n">
        <v>0</v>
      </c>
      <c r="EY6" s="11" t="n">
        <f aca="false">(EU6+EV6+EW6+EX6)/4</f>
        <v>0</v>
      </c>
      <c r="EZ6" s="11" t="n">
        <f aca="false">(EU6/DR6)</f>
        <v>0</v>
      </c>
      <c r="FA6" s="11" t="n">
        <f aca="false">(EV6/DS6)</f>
        <v>0</v>
      </c>
      <c r="FB6" s="11" t="n">
        <f aca="false">(EW6/DT6)</f>
        <v>0</v>
      </c>
      <c r="FC6" s="11" t="n">
        <f aca="false">(EX6/DU6)</f>
        <v>0</v>
      </c>
      <c r="FD6" s="11" t="n">
        <f aca="false">(EY6/DV6)</f>
        <v>0</v>
      </c>
      <c r="FE6" s="11" t="n">
        <f aca="false">(100*FD6)</f>
        <v>0</v>
      </c>
      <c r="FF6" s="10" t="n">
        <v>0</v>
      </c>
      <c r="FG6" s="10" t="n">
        <v>7</v>
      </c>
      <c r="FH6" s="10" t="n">
        <v>12</v>
      </c>
      <c r="FI6" s="10" t="n">
        <v>14</v>
      </c>
      <c r="FJ6" s="10" t="n">
        <v>12</v>
      </c>
      <c r="FK6" s="11" t="n">
        <f aca="false">(FG6+FH6+FI6+FJ6)/4</f>
        <v>11.25</v>
      </c>
      <c r="FL6" s="11" t="n">
        <f aca="false">(FG6/DR6)</f>
        <v>0.388888888888889</v>
      </c>
      <c r="FM6" s="11" t="n">
        <f aca="false">(FH6/DS6)</f>
        <v>0.8</v>
      </c>
      <c r="FN6" s="11" t="n">
        <f aca="false">(FI6/DT6)</f>
        <v>0.777777777777778</v>
      </c>
      <c r="FO6" s="11" t="n">
        <f aca="false">(FJ6/DU6)</f>
        <v>0.545454545454545</v>
      </c>
      <c r="FP6" s="11" t="n">
        <f aca="false">(FK6/DV6)</f>
        <v>0.616438356164384</v>
      </c>
      <c r="FQ6" s="11" t="n">
        <f aca="false">(100*FP6)</f>
        <v>61.6438356164384</v>
      </c>
      <c r="FR6" s="10" t="n">
        <v>3</v>
      </c>
      <c r="FS6" s="10" t="n">
        <v>74.4</v>
      </c>
      <c r="FT6" s="10" t="n">
        <v>76.1</v>
      </c>
      <c r="FU6" s="10" t="n">
        <v>80</v>
      </c>
      <c r="FV6" s="10" t="n">
        <v>69</v>
      </c>
      <c r="FW6" s="11" t="n">
        <f aca="false">(FS6+FT6+FU6+FV6)/4</f>
        <v>74.875</v>
      </c>
      <c r="FX6" s="10" t="n">
        <v>0</v>
      </c>
      <c r="FY6" s="10" t="n">
        <v>0</v>
      </c>
      <c r="FZ6" s="10" t="n">
        <v>0</v>
      </c>
      <c r="GA6" s="10" t="n">
        <v>0</v>
      </c>
      <c r="GB6" s="11" t="n">
        <f aca="false">(FX6+FY6+FZ6+GA6)/4</f>
        <v>0</v>
      </c>
      <c r="GC6" s="10" t="n">
        <v>1</v>
      </c>
      <c r="GD6" s="10" t="n">
        <v>1</v>
      </c>
      <c r="GE6" s="10" t="n">
        <v>1</v>
      </c>
      <c r="GF6" s="10" t="n">
        <v>0</v>
      </c>
      <c r="GG6" s="11" t="n">
        <f aca="false">(GC6+GD6+GE6+GF6)/4</f>
        <v>0.75</v>
      </c>
      <c r="GH6" s="10" t="n">
        <v>1</v>
      </c>
      <c r="GI6" s="10" t="n">
        <v>1</v>
      </c>
      <c r="GJ6" s="10" t="n">
        <v>0</v>
      </c>
      <c r="GK6" s="10" t="n">
        <v>1</v>
      </c>
      <c r="GL6" s="11" t="n">
        <f aca="false">(GH6+GI6+GJ6+GK6)/4</f>
        <v>0.75</v>
      </c>
      <c r="GM6" s="10" t="n">
        <v>85</v>
      </c>
      <c r="GN6" s="10" t="n">
        <v>23</v>
      </c>
      <c r="GO6" s="10" t="n">
        <v>0</v>
      </c>
      <c r="GP6" s="10" t="n">
        <v>2</v>
      </c>
      <c r="GQ6" s="11" t="n">
        <f aca="false">(GM6+GN6+GO6+GP6)/4</f>
        <v>27.5</v>
      </c>
      <c r="GR6" s="10" t="n">
        <v>18</v>
      </c>
      <c r="GS6" s="10" t="n">
        <v>13</v>
      </c>
      <c r="GT6" s="10" t="n">
        <v>20</v>
      </c>
      <c r="GU6" s="10" t="n">
        <v>15</v>
      </c>
      <c r="GV6" s="11" t="n">
        <f aca="false">(GR6+GS6+GT6+GU6)/4</f>
        <v>16.5</v>
      </c>
      <c r="GW6" s="10" t="n">
        <v>0</v>
      </c>
      <c r="GX6" s="10" t="n">
        <v>0</v>
      </c>
      <c r="GY6" s="10" t="n">
        <v>0</v>
      </c>
      <c r="GZ6" s="10" t="n">
        <v>0</v>
      </c>
      <c r="HA6" s="11" t="n">
        <f aca="false">(GW6+GX6+GY6+GZ6)/4</f>
        <v>0</v>
      </c>
      <c r="HB6" s="10" t="n">
        <f aca="false">(GW6/GR6)</f>
        <v>0</v>
      </c>
      <c r="HC6" s="10" t="n">
        <f aca="false">(GX6/GS6)</f>
        <v>0</v>
      </c>
      <c r="HD6" s="10" t="n">
        <f aca="false">(GY6/GT6)</f>
        <v>0</v>
      </c>
      <c r="HE6" s="10" t="n">
        <f aca="false">(GZ6/GU6)/4</f>
        <v>0</v>
      </c>
      <c r="HF6" s="10" t="n">
        <f aca="false">(HB6+HC6+HD6+HE6)/4</f>
        <v>0</v>
      </c>
      <c r="HG6" s="10" t="n">
        <f aca="false">(100*HF6)</f>
        <v>0</v>
      </c>
      <c r="HH6" s="18" t="n">
        <v>0</v>
      </c>
      <c r="HI6" s="10" t="n">
        <v>8</v>
      </c>
      <c r="HJ6" s="10" t="n">
        <v>12</v>
      </c>
      <c r="HK6" s="10" t="n">
        <v>7</v>
      </c>
      <c r="HL6" s="19" t="n">
        <v>0</v>
      </c>
      <c r="HM6" s="10" t="n">
        <f aca="false">(HI6+HJ6+HK6+HL6)/4</f>
        <v>6.75</v>
      </c>
      <c r="HN6" s="10" t="n">
        <f aca="false">(HI6/GR6)</f>
        <v>0.444444444444444</v>
      </c>
      <c r="HO6" s="10" t="n">
        <f aca="false">(HJ6/GS6)</f>
        <v>0.923076923076923</v>
      </c>
      <c r="HP6" s="10" t="n">
        <f aca="false">(HK6/GT6)</f>
        <v>0.35</v>
      </c>
      <c r="HQ6" s="10" t="n">
        <f aca="false">(HL6/GU6)</f>
        <v>0</v>
      </c>
      <c r="HR6" s="10" t="n">
        <f aca="false">(HM6/GV6)</f>
        <v>0.409090909090909</v>
      </c>
      <c r="HS6" s="10" t="n">
        <f aca="false">(100*HR6)</f>
        <v>40.9090909090909</v>
      </c>
      <c r="HT6" s="18" t="n">
        <v>3</v>
      </c>
      <c r="HU6" s="10" t="n">
        <v>0</v>
      </c>
      <c r="HV6" s="10" t="n">
        <v>0</v>
      </c>
      <c r="HW6" s="10" t="n">
        <v>0</v>
      </c>
      <c r="HX6" s="19" t="n">
        <v>0</v>
      </c>
      <c r="HY6" s="10" t="n">
        <f aca="false">(HU6+HV6+HW6+HX6)/4</f>
        <v>0</v>
      </c>
      <c r="HZ6" s="10" t="n">
        <f aca="false">(HU6/GR6)</f>
        <v>0</v>
      </c>
      <c r="IA6" s="10" t="n">
        <f aca="false">HV6/GS6</f>
        <v>0</v>
      </c>
      <c r="IB6" s="10" t="n">
        <f aca="false">(HW6/GT6)</f>
        <v>0</v>
      </c>
      <c r="IC6" s="10" t="n">
        <f aca="false">(HX6/GU6)</f>
        <v>0</v>
      </c>
      <c r="ID6" s="10" t="n">
        <f aca="false">(HY6/GV6)</f>
        <v>0</v>
      </c>
      <c r="IE6" s="10" t="n">
        <f aca="false">(100*ID6)</f>
        <v>0</v>
      </c>
      <c r="IF6" s="18" t="n">
        <v>0</v>
      </c>
      <c r="IG6" s="10" t="n">
        <v>25</v>
      </c>
      <c r="IH6" s="10" t="n">
        <v>0</v>
      </c>
      <c r="II6" s="19" t="n">
        <v>0</v>
      </c>
      <c r="IJ6" s="10" t="n">
        <v>0</v>
      </c>
      <c r="IK6" s="10" t="n">
        <f aca="false">(IG6+IH6+II6+IJ6)/4</f>
        <v>6.25</v>
      </c>
      <c r="IL6" s="10" t="n">
        <f aca="false">(IG6/GM6)</f>
        <v>0.294117647058824</v>
      </c>
      <c r="IM6" s="10" t="n">
        <f aca="false">(IH6/GN6)</f>
        <v>0</v>
      </c>
      <c r="IN6" s="10" t="e">
        <f aca="false">(II6/GO6)</f>
        <v>#DIV/0!</v>
      </c>
      <c r="IO6" s="10" t="n">
        <f aca="false">(IJ6/GP6)</f>
        <v>0</v>
      </c>
      <c r="IP6" s="10" t="n">
        <f aca="false">(IK6/GQ6)</f>
        <v>0.227272727272727</v>
      </c>
      <c r="IQ6" s="10" t="n">
        <f aca="false">(100*IP6)</f>
        <v>22.7272727272727</v>
      </c>
      <c r="IR6" s="18" t="n">
        <v>3</v>
      </c>
      <c r="IS6" s="10" t="n">
        <v>68.3</v>
      </c>
      <c r="IT6" s="10" t="n">
        <v>47.4</v>
      </c>
      <c r="IU6" s="19" t="n">
        <v>62.9</v>
      </c>
      <c r="IV6" s="10" t="n">
        <v>58.8</v>
      </c>
      <c r="IW6" s="10" t="n">
        <f aca="false">(IS6+IT6+IU6+IV6)/4</f>
        <v>59.35</v>
      </c>
      <c r="IX6" s="16" t="n">
        <v>45211</v>
      </c>
      <c r="IY6" s="10" t="s">
        <v>268</v>
      </c>
    </row>
    <row r="7" customFormat="false" ht="15" hidden="false" customHeight="false" outlineLevel="0" collapsed="false">
      <c r="A7" s="9" t="s">
        <v>259</v>
      </c>
      <c r="B7" s="10" t="s">
        <v>273</v>
      </c>
      <c r="C7" s="10" t="s">
        <v>261</v>
      </c>
      <c r="D7" s="10" t="n">
        <v>2</v>
      </c>
      <c r="E7" s="10" t="n">
        <v>2</v>
      </c>
      <c r="F7" s="10" t="s">
        <v>281</v>
      </c>
      <c r="G7" s="10" t="s">
        <v>275</v>
      </c>
      <c r="H7" s="10" t="n">
        <v>21</v>
      </c>
      <c r="I7" s="10" t="n">
        <v>18</v>
      </c>
      <c r="J7" s="10" t="s">
        <v>272</v>
      </c>
      <c r="K7" s="17"/>
      <c r="L7" s="17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 t="n">
        <v>0</v>
      </c>
      <c r="Y7" s="10" t="n">
        <v>0</v>
      </c>
      <c r="Z7" s="10" t="n">
        <v>0</v>
      </c>
      <c r="AA7" s="10" t="n">
        <v>0</v>
      </c>
      <c r="AB7" s="11" t="n">
        <f aca="false">(X7+Y7+Z7+AA7)/4</f>
        <v>0</v>
      </c>
      <c r="AC7" s="10" t="n">
        <v>1</v>
      </c>
      <c r="AD7" s="10" t="n">
        <v>0</v>
      </c>
      <c r="AE7" s="10" t="n">
        <v>1</v>
      </c>
      <c r="AF7" s="10" t="n">
        <v>1</v>
      </c>
      <c r="AG7" s="11" t="n">
        <f aca="false">(AC7+AD7+AE7+AF7)/4</f>
        <v>0.75</v>
      </c>
      <c r="AH7" s="10" t="n">
        <v>1</v>
      </c>
      <c r="AI7" s="10" t="n">
        <v>1</v>
      </c>
      <c r="AJ7" s="10" t="n">
        <v>1</v>
      </c>
      <c r="AK7" s="10" t="n">
        <v>1</v>
      </c>
      <c r="AL7" s="11" t="n">
        <f aca="false">(AH7+AI7+AJ7+AK7)/4</f>
        <v>1</v>
      </c>
      <c r="AM7" s="10" t="n">
        <v>14</v>
      </c>
      <c r="AN7" s="10" t="n">
        <v>72</v>
      </c>
      <c r="AO7" s="10" t="n">
        <v>91</v>
      </c>
      <c r="AP7" s="10" t="n">
        <v>33</v>
      </c>
      <c r="AQ7" s="11" t="n">
        <f aca="false">(AM7+AN7+AO7+AP7)/4</f>
        <v>52.5</v>
      </c>
      <c r="AR7" s="10" t="n">
        <v>4</v>
      </c>
      <c r="AS7" s="10" t="n">
        <v>10</v>
      </c>
      <c r="AT7" s="10" t="n">
        <v>6</v>
      </c>
      <c r="AU7" s="10" t="n">
        <v>15</v>
      </c>
      <c r="AV7" s="11" t="n">
        <f aca="false">(AR7+AS7+AT7+AU7)/4</f>
        <v>8.75</v>
      </c>
      <c r="AW7" s="10" t="n">
        <v>0</v>
      </c>
      <c r="AX7" s="10" t="n">
        <v>0</v>
      </c>
      <c r="AY7" s="10" t="n">
        <v>0</v>
      </c>
      <c r="AZ7" s="10" t="n">
        <v>0</v>
      </c>
      <c r="BA7" s="11" t="n">
        <f aca="false">(AW7+AX7+AY7+AZ7)/4</f>
        <v>0</v>
      </c>
      <c r="BB7" s="11" t="n">
        <f aca="false">(AW7/AR7)</f>
        <v>0</v>
      </c>
      <c r="BC7" s="11" t="n">
        <f aca="false">(AX7/AS7)</f>
        <v>0</v>
      </c>
      <c r="BD7" s="11" t="n">
        <f aca="false">(AY7/AT7)</f>
        <v>0</v>
      </c>
      <c r="BE7" s="11" t="n">
        <f aca="false">(AZ7/AU7)</f>
        <v>0</v>
      </c>
      <c r="BF7" s="11" t="n">
        <f aca="false">(BA7/AV7)</f>
        <v>0</v>
      </c>
      <c r="BG7" s="11" t="n">
        <f aca="false">(BF7*100)</f>
        <v>0</v>
      </c>
      <c r="BH7" s="10" t="n">
        <v>0</v>
      </c>
      <c r="BI7" s="10" t="n">
        <v>3</v>
      </c>
      <c r="BJ7" s="10" t="n">
        <v>0</v>
      </c>
      <c r="BK7" s="10" t="n">
        <v>3</v>
      </c>
      <c r="BL7" s="10" t="n">
        <v>3</v>
      </c>
      <c r="BM7" s="11" t="n">
        <f aca="false">(BI7+BJ7+BK7+BL7)/4</f>
        <v>2.25</v>
      </c>
      <c r="BN7" s="11" t="n">
        <f aca="false">(BI7/AR7)</f>
        <v>0.75</v>
      </c>
      <c r="BO7" s="11" t="n">
        <f aca="false">(BJ7/AS7)</f>
        <v>0</v>
      </c>
      <c r="BP7" s="11" t="n">
        <f aca="false">(BK7/AT7)</f>
        <v>0.5</v>
      </c>
      <c r="BQ7" s="11" t="n">
        <f aca="false">(BL7/AU7)</f>
        <v>0.2</v>
      </c>
      <c r="BR7" s="11" t="n">
        <f aca="false">(BM7/AV7)</f>
        <v>0.257142857142857</v>
      </c>
      <c r="BS7" s="11" t="n">
        <f aca="false">(100*BR7)</f>
        <v>25.7142857142857</v>
      </c>
      <c r="BT7" s="10" t="n">
        <v>2</v>
      </c>
      <c r="BU7" s="10" t="n">
        <v>0</v>
      </c>
      <c r="BV7" s="10" t="n">
        <v>3</v>
      </c>
      <c r="BW7" s="10" t="n">
        <v>3</v>
      </c>
      <c r="BX7" s="10" t="n">
        <v>0</v>
      </c>
      <c r="BY7" s="11" t="n">
        <f aca="false">(BU7+BV7+BW7+BX7)/4</f>
        <v>1.5</v>
      </c>
      <c r="BZ7" s="11" t="n">
        <f aca="false">(BU7/AR7)</f>
        <v>0</v>
      </c>
      <c r="CA7" s="11" t="n">
        <f aca="false">(BV7/AS7)</f>
        <v>0.3</v>
      </c>
      <c r="CB7" s="11" t="n">
        <f aca="false">(BW7/AT7)</f>
        <v>0.5</v>
      </c>
      <c r="CC7" s="11" t="n">
        <f aca="false">(BX7/AU7)</f>
        <v>0</v>
      </c>
      <c r="CD7" s="11" t="n">
        <f aca="false">(BY7/AV7)</f>
        <v>0.171428571428571</v>
      </c>
      <c r="CE7" s="11" t="n">
        <f aca="false">(100*CD7)</f>
        <v>17.1428571428571</v>
      </c>
      <c r="CF7" s="10" t="n">
        <v>2</v>
      </c>
      <c r="CG7" s="10" t="n">
        <v>3</v>
      </c>
      <c r="CH7" s="10" t="n">
        <v>10</v>
      </c>
      <c r="CI7" s="10" t="n">
        <v>16</v>
      </c>
      <c r="CJ7" s="10" t="n">
        <v>8</v>
      </c>
      <c r="CK7" s="11" t="n">
        <f aca="false">(CG7+CH7+CI7+CJ7)/4</f>
        <v>9.25</v>
      </c>
      <c r="CL7" s="11" t="n">
        <f aca="false">(CG7/AM7)</f>
        <v>0.214285714285714</v>
      </c>
      <c r="CM7" s="11" t="n">
        <f aca="false">(CH7/AN7)</f>
        <v>0.138888888888889</v>
      </c>
      <c r="CN7" s="11" t="n">
        <f aca="false">(CI7/AO7)</f>
        <v>0.175824175824176</v>
      </c>
      <c r="CO7" s="10" t="n">
        <f aca="false">(CJ7/AP7)</f>
        <v>0.242424242424242</v>
      </c>
      <c r="CP7" s="10" t="n">
        <f aca="false">(CK7/AQ7)</f>
        <v>0.176190476190476</v>
      </c>
      <c r="CQ7" s="10" t="n">
        <f aca="false">(100*CP7)</f>
        <v>17.6190476190476</v>
      </c>
      <c r="CR7" s="18" t="n">
        <v>1</v>
      </c>
      <c r="CS7" s="10" t="n">
        <v>41.4</v>
      </c>
      <c r="CT7" s="10" t="n">
        <v>80.1</v>
      </c>
      <c r="CU7" s="10" t="n">
        <v>51.8</v>
      </c>
      <c r="CV7" s="10" t="n">
        <v>54.8</v>
      </c>
      <c r="CW7" s="11" t="n">
        <f aca="false">(CS7+CT7+CU7+CV7)/4</f>
        <v>57.025</v>
      </c>
      <c r="CX7" s="10" t="n">
        <v>0</v>
      </c>
      <c r="CY7" s="10" t="n">
        <v>0</v>
      </c>
      <c r="CZ7" s="10" t="n">
        <v>1</v>
      </c>
      <c r="DA7" s="10" t="n">
        <v>1</v>
      </c>
      <c r="DB7" s="11" t="n">
        <f aca="false">(CX7+CY7+CZ7+DA7)/4</f>
        <v>0.5</v>
      </c>
      <c r="DC7" s="10" t="n">
        <v>1</v>
      </c>
      <c r="DD7" s="10" t="n">
        <v>1</v>
      </c>
      <c r="DE7" s="10" t="n">
        <v>1</v>
      </c>
      <c r="DF7" s="10" t="n">
        <v>1</v>
      </c>
      <c r="DG7" s="11" t="n">
        <f aca="false">(DC7+DD7+DE7+DF7)/4</f>
        <v>1</v>
      </c>
      <c r="DH7" s="10" t="n">
        <v>1</v>
      </c>
      <c r="DI7" s="10" t="n">
        <v>1</v>
      </c>
      <c r="DJ7" s="10" t="n">
        <v>1</v>
      </c>
      <c r="DK7" s="10" t="n">
        <v>1</v>
      </c>
      <c r="DL7" s="11" t="n">
        <f aca="false">(DH7+DI7+DJ7+DK7)/4</f>
        <v>1</v>
      </c>
      <c r="DM7" s="10" t="n">
        <v>63</v>
      </c>
      <c r="DN7" s="10" t="n">
        <v>88</v>
      </c>
      <c r="DO7" s="10" t="n">
        <v>93</v>
      </c>
      <c r="DP7" s="10" t="n">
        <v>57</v>
      </c>
      <c r="DQ7" s="11" t="n">
        <f aca="false">(DM7+DN7+DO7+DP7)/4</f>
        <v>75.25</v>
      </c>
      <c r="DR7" s="10" t="n">
        <v>13</v>
      </c>
      <c r="DS7" s="10" t="n">
        <v>14</v>
      </c>
      <c r="DT7" s="10" t="n">
        <v>16</v>
      </c>
      <c r="DU7" s="10" t="n">
        <v>17</v>
      </c>
      <c r="DV7" s="11" t="n">
        <f aca="false">(DR7+DS7+DT7+DU7)/4</f>
        <v>15</v>
      </c>
      <c r="DW7" s="10" t="n">
        <v>0</v>
      </c>
      <c r="DX7" s="10" t="n">
        <v>0</v>
      </c>
      <c r="DY7" s="10" t="n">
        <v>1</v>
      </c>
      <c r="DZ7" s="10" t="n">
        <v>2</v>
      </c>
      <c r="EA7" s="11" t="n">
        <f aca="false">(DW7+DX7+DY7+DZ7)/4</f>
        <v>0.75</v>
      </c>
      <c r="EB7" s="11" t="n">
        <f aca="false">(DW7/DR7)</f>
        <v>0</v>
      </c>
      <c r="EC7" s="11" t="n">
        <f aca="false">(DX7/DS7)</f>
        <v>0</v>
      </c>
      <c r="ED7" s="11" t="n">
        <f aca="false">(DY7/DT7)</f>
        <v>0.0625</v>
      </c>
      <c r="EE7" s="11" t="n">
        <f aca="false">(DZ7/DU7)</f>
        <v>0.117647058823529</v>
      </c>
      <c r="EF7" s="11" t="n">
        <f aca="false">(EA7/DV7)</f>
        <v>0.05</v>
      </c>
      <c r="EG7" s="11" t="n">
        <f aca="false">(100*EF7)</f>
        <v>5</v>
      </c>
      <c r="EH7" s="10" t="n">
        <v>1</v>
      </c>
      <c r="EI7" s="10" t="n">
        <v>6</v>
      </c>
      <c r="EJ7" s="10" t="n">
        <v>4</v>
      </c>
      <c r="EK7" s="19" t="n">
        <v>4</v>
      </c>
      <c r="EL7" s="10" t="n">
        <v>3</v>
      </c>
      <c r="EM7" s="10" t="n">
        <f aca="false">(EI7+EJ7+EK7+EL7)/4</f>
        <v>4.25</v>
      </c>
      <c r="EN7" s="10" t="n">
        <f aca="false">(EI7/DR7)</f>
        <v>0.461538461538462</v>
      </c>
      <c r="EO7" s="10" t="n">
        <f aca="false">(EJ7/DS7)</f>
        <v>0.285714285714286</v>
      </c>
      <c r="EP7" s="10" t="n">
        <f aca="false">(EK7/DT7)</f>
        <v>0.25</v>
      </c>
      <c r="EQ7" s="10" t="n">
        <f aca="false">(EL7/DU7)</f>
        <v>0.176470588235294</v>
      </c>
      <c r="ER7" s="10" t="n">
        <f aca="false">EM7/DV7</f>
        <v>0.283333333333333</v>
      </c>
      <c r="ES7" s="10" t="n">
        <f aca="false">(100*ER7)</f>
        <v>28.3333333333333</v>
      </c>
      <c r="ET7" s="10" t="n">
        <v>2</v>
      </c>
      <c r="EU7" s="18" t="n">
        <v>0</v>
      </c>
      <c r="EV7" s="10" t="n">
        <v>0</v>
      </c>
      <c r="EW7" s="10" t="n">
        <v>0</v>
      </c>
      <c r="EX7" s="10" t="n">
        <v>0</v>
      </c>
      <c r="EY7" s="11" t="n">
        <f aca="false">(EU7+EV7+EW7+EX7)/4</f>
        <v>0</v>
      </c>
      <c r="EZ7" s="11" t="n">
        <f aca="false">(EU7/DR7)</f>
        <v>0</v>
      </c>
      <c r="FA7" s="11" t="n">
        <f aca="false">(EV7/DS7)</f>
        <v>0</v>
      </c>
      <c r="FB7" s="11" t="n">
        <f aca="false">(EW7/DT7)</f>
        <v>0</v>
      </c>
      <c r="FC7" s="11" t="n">
        <f aca="false">(EX7/DU7)</f>
        <v>0</v>
      </c>
      <c r="FD7" s="11" t="n">
        <f aca="false">(EY7/DV7)</f>
        <v>0</v>
      </c>
      <c r="FE7" s="11" t="n">
        <f aca="false">(100*FD7)</f>
        <v>0</v>
      </c>
      <c r="FF7" s="10" t="n">
        <v>0</v>
      </c>
      <c r="FG7" s="10" t="n">
        <v>8</v>
      </c>
      <c r="FH7" s="10" t="n">
        <v>21</v>
      </c>
      <c r="FI7" s="10" t="n">
        <v>12</v>
      </c>
      <c r="FJ7" s="10" t="n">
        <v>2</v>
      </c>
      <c r="FK7" s="11" t="n">
        <f aca="false">(FG7+FH7+FI7+FJ7)/4</f>
        <v>10.75</v>
      </c>
      <c r="FL7" s="11" t="n">
        <f aca="false">(FG7/DR7)</f>
        <v>0.615384615384615</v>
      </c>
      <c r="FM7" s="11" t="n">
        <f aca="false">(FH7/DS7)</f>
        <v>1.5</v>
      </c>
      <c r="FN7" s="11" t="n">
        <f aca="false">(FI7/DT7)</f>
        <v>0.75</v>
      </c>
      <c r="FO7" s="11" t="n">
        <f aca="false">(FJ7/DU7)</f>
        <v>0.117647058823529</v>
      </c>
      <c r="FP7" s="11" t="n">
        <f aca="false">(FK7/DV7)</f>
        <v>0.716666666666667</v>
      </c>
      <c r="FQ7" s="11" t="n">
        <f aca="false">(100*FP7)</f>
        <v>71.6666666666667</v>
      </c>
      <c r="FR7" s="10" t="n">
        <v>3</v>
      </c>
      <c r="FS7" s="10" t="n">
        <v>75.8</v>
      </c>
      <c r="FT7" s="10" t="n">
        <v>68.3</v>
      </c>
      <c r="FU7" s="10" t="n">
        <v>52.7</v>
      </c>
      <c r="FV7" s="10" t="n">
        <v>55.9</v>
      </c>
      <c r="FW7" s="11" t="n">
        <f aca="false">(FS7+FT7+FU7+FV7)/4</f>
        <v>63.175</v>
      </c>
      <c r="FX7" s="10" t="n">
        <v>1</v>
      </c>
      <c r="FY7" s="10" t="n">
        <v>0</v>
      </c>
      <c r="FZ7" s="10" t="n">
        <v>1</v>
      </c>
      <c r="GA7" s="10" t="n">
        <v>0</v>
      </c>
      <c r="GB7" s="11" t="n">
        <f aca="false">(FX7+FY7+FZ7+GA7)/4</f>
        <v>0.5</v>
      </c>
      <c r="GC7" s="10" t="n">
        <v>1</v>
      </c>
      <c r="GD7" s="10" t="n">
        <v>1</v>
      </c>
      <c r="GE7" s="10" t="n">
        <v>1</v>
      </c>
      <c r="GF7" s="10" t="n">
        <v>1</v>
      </c>
      <c r="GG7" s="11" t="n">
        <f aca="false">(GC7+GD7+GE7+GF7)/4</f>
        <v>1</v>
      </c>
      <c r="GH7" s="10" t="n">
        <v>0</v>
      </c>
      <c r="GI7" s="10" t="n">
        <v>1</v>
      </c>
      <c r="GJ7" s="10" t="n">
        <v>0</v>
      </c>
      <c r="GK7" s="10" t="n">
        <v>1</v>
      </c>
      <c r="GL7" s="11" t="n">
        <f aca="false">(GH7+GI7+GJ7+GK7)/4</f>
        <v>0.5</v>
      </c>
      <c r="GM7" s="10" t="n">
        <v>56</v>
      </c>
      <c r="GN7" s="10" t="n">
        <v>36</v>
      </c>
      <c r="GO7" s="10" t="n">
        <v>54</v>
      </c>
      <c r="GP7" s="10" t="n">
        <v>45</v>
      </c>
      <c r="GQ7" s="11" t="n">
        <f aca="false">(GM7+GN7+GO7+GP7)/4</f>
        <v>47.75</v>
      </c>
      <c r="GR7" s="10" t="n">
        <v>13</v>
      </c>
      <c r="GS7" s="10" t="n">
        <v>21</v>
      </c>
      <c r="GT7" s="10" t="n">
        <v>16</v>
      </c>
      <c r="GU7" s="10" t="n">
        <v>9</v>
      </c>
      <c r="GV7" s="11" t="n">
        <f aca="false">(GR7+GS7+GT7+GU7)/4</f>
        <v>14.75</v>
      </c>
      <c r="GW7" s="10" t="n">
        <v>1</v>
      </c>
      <c r="GX7" s="10" t="n">
        <v>0</v>
      </c>
      <c r="GY7" s="10" t="n">
        <v>1</v>
      </c>
      <c r="GZ7" s="10" t="n">
        <v>0</v>
      </c>
      <c r="HA7" s="11" t="n">
        <f aca="false">(GW7+GX7+GY7+GZ7)/4</f>
        <v>0.5</v>
      </c>
      <c r="HB7" s="10" t="n">
        <f aca="false">(GW7/GR7)</f>
        <v>0.0769230769230769</v>
      </c>
      <c r="HC7" s="10" t="n">
        <f aca="false">(GX7/GS7)</f>
        <v>0</v>
      </c>
      <c r="HD7" s="10" t="n">
        <f aca="false">(GY7/GT7)</f>
        <v>0.0625</v>
      </c>
      <c r="HE7" s="10" t="n">
        <f aca="false">(GZ7/GU7)/4</f>
        <v>0</v>
      </c>
      <c r="HF7" s="10" t="n">
        <f aca="false">(HB7+HC7+HD7+HE7)/4</f>
        <v>0.0348557692307692</v>
      </c>
      <c r="HG7" s="10" t="n">
        <f aca="false">(100*HF7)</f>
        <v>3.48557692307692</v>
      </c>
      <c r="HH7" s="18" t="n">
        <v>1</v>
      </c>
      <c r="HI7" s="10" t="n">
        <v>1</v>
      </c>
      <c r="HJ7" s="10" t="n">
        <v>4</v>
      </c>
      <c r="HK7" s="10" t="n">
        <v>3</v>
      </c>
      <c r="HL7" s="19" t="n">
        <v>1</v>
      </c>
      <c r="HM7" s="10" t="n">
        <f aca="false">(HI7+HJ7+HK7+HL7)/4</f>
        <v>2.25</v>
      </c>
      <c r="HN7" s="10" t="n">
        <f aca="false">(HI7/GR7)</f>
        <v>0.0769230769230769</v>
      </c>
      <c r="HO7" s="10" t="n">
        <f aca="false">(HJ7/GS7)</f>
        <v>0.19047619047619</v>
      </c>
      <c r="HP7" s="10" t="n">
        <f aca="false">(HK7/GT7)</f>
        <v>0.1875</v>
      </c>
      <c r="HQ7" s="10" t="n">
        <f aca="false">(HL7/GU7)</f>
        <v>0.111111111111111</v>
      </c>
      <c r="HR7" s="10" t="n">
        <f aca="false">(HM7/GV7)</f>
        <v>0.152542372881356</v>
      </c>
      <c r="HS7" s="10" t="n">
        <f aca="false">(100*HR7)</f>
        <v>15.2542372881356</v>
      </c>
      <c r="HT7" s="18" t="n">
        <v>2</v>
      </c>
      <c r="HU7" s="10" t="n">
        <v>0</v>
      </c>
      <c r="HV7" s="10" t="n">
        <v>0</v>
      </c>
      <c r="HW7" s="10" t="n">
        <v>0</v>
      </c>
      <c r="HX7" s="19" t="n">
        <v>0</v>
      </c>
      <c r="HY7" s="10" t="n">
        <f aca="false">(HU7+HV7+HW7+HX7)/4</f>
        <v>0</v>
      </c>
      <c r="HZ7" s="10" t="n">
        <f aca="false">(HU7/GR7)</f>
        <v>0</v>
      </c>
      <c r="IA7" s="10" t="n">
        <f aca="false">HV7/GS7</f>
        <v>0</v>
      </c>
      <c r="IB7" s="10" t="n">
        <f aca="false">(HW7/GT7)</f>
        <v>0</v>
      </c>
      <c r="IC7" s="10" t="n">
        <f aca="false">(HX7/GU7)</f>
        <v>0</v>
      </c>
      <c r="ID7" s="10" t="n">
        <f aca="false">(HY7/GV7)</f>
        <v>0</v>
      </c>
      <c r="IE7" s="10" t="n">
        <f aca="false">(100*ID7)</f>
        <v>0</v>
      </c>
      <c r="IF7" s="18" t="n">
        <v>0</v>
      </c>
      <c r="IG7" s="10" t="n">
        <v>0</v>
      </c>
      <c r="IH7" s="10" t="n">
        <v>3</v>
      </c>
      <c r="II7" s="19" t="n">
        <v>0</v>
      </c>
      <c r="IJ7" s="10" t="n">
        <v>1</v>
      </c>
      <c r="IK7" s="10" t="n">
        <f aca="false">(IG7+IH7+II7+IJ7)/4</f>
        <v>1</v>
      </c>
      <c r="IL7" s="10" t="n">
        <f aca="false">(IG7/GM7)</f>
        <v>0</v>
      </c>
      <c r="IM7" s="10" t="n">
        <f aca="false">(IH7/GN7)</f>
        <v>0.0833333333333333</v>
      </c>
      <c r="IN7" s="10" t="n">
        <f aca="false">(II7/GO7)</f>
        <v>0</v>
      </c>
      <c r="IO7" s="10" t="n">
        <f aca="false">(IJ7/GP7)</f>
        <v>0.0222222222222222</v>
      </c>
      <c r="IP7" s="10" t="n">
        <f aca="false">(IK7/GQ7)</f>
        <v>0.0209424083769634</v>
      </c>
      <c r="IQ7" s="10" t="n">
        <f aca="false">(100*IP7)</f>
        <v>2.09424083769634</v>
      </c>
      <c r="IR7" s="18" t="n">
        <v>1</v>
      </c>
      <c r="IS7" s="10" t="n">
        <v>53.4</v>
      </c>
      <c r="IT7" s="10" t="n">
        <v>66.9</v>
      </c>
      <c r="IU7" s="19" t="n">
        <v>55.6</v>
      </c>
      <c r="IV7" s="10" t="n">
        <v>46.2</v>
      </c>
      <c r="IW7" s="10" t="n">
        <f aca="false">(IS7+IT7+IU7+IV7)/4</f>
        <v>55.525</v>
      </c>
      <c r="IX7" s="16" t="n">
        <v>45211</v>
      </c>
      <c r="IY7" s="10" t="s">
        <v>268</v>
      </c>
    </row>
    <row r="8" customFormat="false" ht="15" hidden="false" customHeight="false" outlineLevel="0" collapsed="false">
      <c r="A8" s="9" t="s">
        <v>259</v>
      </c>
      <c r="B8" s="10" t="s">
        <v>282</v>
      </c>
      <c r="C8" s="10" t="s">
        <v>261</v>
      </c>
      <c r="D8" s="10" t="n">
        <v>3</v>
      </c>
      <c r="E8" s="10" t="n">
        <v>3</v>
      </c>
      <c r="F8" s="10" t="s">
        <v>283</v>
      </c>
      <c r="G8" s="10" t="s">
        <v>275</v>
      </c>
      <c r="H8" s="10" t="n">
        <v>21</v>
      </c>
      <c r="I8" s="10" t="n">
        <v>5</v>
      </c>
      <c r="J8" s="12" t="s">
        <v>264</v>
      </c>
      <c r="K8" s="13" t="s">
        <v>284</v>
      </c>
      <c r="L8" s="13" t="s">
        <v>285</v>
      </c>
      <c r="M8" s="14" t="n">
        <v>1302</v>
      </c>
      <c r="N8" s="15" t="n">
        <v>45134</v>
      </c>
      <c r="O8" s="10" t="s">
        <v>267</v>
      </c>
      <c r="P8" s="10"/>
      <c r="Q8" s="10" t="n">
        <v>21.99</v>
      </c>
      <c r="R8" s="10" t="n">
        <v>17</v>
      </c>
      <c r="S8" s="10" t="n">
        <v>-15</v>
      </c>
      <c r="T8" s="10" t="n">
        <v>125</v>
      </c>
      <c r="U8" s="10"/>
      <c r="V8" s="10" t="n">
        <v>2.73</v>
      </c>
      <c r="W8" s="9" t="s">
        <v>286</v>
      </c>
      <c r="X8" s="9" t="n">
        <v>0</v>
      </c>
      <c r="Y8" s="9" t="n">
        <v>0</v>
      </c>
      <c r="Z8" s="9" t="n">
        <v>0</v>
      </c>
      <c r="AA8" s="9" t="n">
        <v>0</v>
      </c>
      <c r="AB8" s="11" t="n">
        <f aca="false">(X8+Y8+Z8+AA8)/4</f>
        <v>0</v>
      </c>
      <c r="AC8" s="9" t="n">
        <v>1</v>
      </c>
      <c r="AD8" s="9" t="n">
        <v>1</v>
      </c>
      <c r="AE8" s="9" t="n">
        <v>1</v>
      </c>
      <c r="AF8" s="9" t="n">
        <v>1</v>
      </c>
      <c r="AG8" s="11" t="n">
        <f aca="false">(AC8+AD8+AE8+AF8)/4</f>
        <v>1</v>
      </c>
      <c r="AH8" s="9" t="n">
        <v>0</v>
      </c>
      <c r="AI8" s="9" t="n">
        <v>1</v>
      </c>
      <c r="AJ8" s="9" t="n">
        <v>0</v>
      </c>
      <c r="AK8" s="9" t="n">
        <v>1</v>
      </c>
      <c r="AL8" s="11" t="n">
        <f aca="false">(AH8+AI8+AJ8+AK8)/4</f>
        <v>0.5</v>
      </c>
      <c r="AM8" s="9" t="n">
        <v>5</v>
      </c>
      <c r="AN8" s="9" t="n">
        <v>9</v>
      </c>
      <c r="AO8" s="9" t="n">
        <v>12</v>
      </c>
      <c r="AP8" s="9" t="n">
        <v>53</v>
      </c>
      <c r="AQ8" s="11" t="n">
        <f aca="false">(AM8+AN8+AO8+AP8)/4</f>
        <v>19.75</v>
      </c>
      <c r="AR8" s="9" t="n">
        <v>9</v>
      </c>
      <c r="AS8" s="9" t="n">
        <v>11</v>
      </c>
      <c r="AT8" s="9" t="n">
        <v>7</v>
      </c>
      <c r="AU8" s="9" t="n">
        <v>3</v>
      </c>
      <c r="AV8" s="11" t="n">
        <f aca="false">(AR8+AS8+AT8+AU8)/4</f>
        <v>7.5</v>
      </c>
      <c r="AW8" s="9" t="n">
        <v>0</v>
      </c>
      <c r="AX8" s="9" t="n">
        <v>0</v>
      </c>
      <c r="AY8" s="9" t="n">
        <v>0</v>
      </c>
      <c r="AZ8" s="9" t="n">
        <v>0</v>
      </c>
      <c r="BA8" s="11" t="n">
        <f aca="false">(AW8+AX8+AY8+AZ8)/4</f>
        <v>0</v>
      </c>
      <c r="BB8" s="11" t="n">
        <f aca="false">(AW8/AR8)</f>
        <v>0</v>
      </c>
      <c r="BC8" s="11" t="n">
        <f aca="false">(AX8/AS8)</f>
        <v>0</v>
      </c>
      <c r="BD8" s="11" t="n">
        <f aca="false">(AY8/AT8)</f>
        <v>0</v>
      </c>
      <c r="BE8" s="11" t="n">
        <f aca="false">(AZ8/AU8)</f>
        <v>0</v>
      </c>
      <c r="BF8" s="11" t="n">
        <f aca="false">(BA8/AV8)</f>
        <v>0</v>
      </c>
      <c r="BG8" s="11" t="n">
        <f aca="false">(BF8*100)</f>
        <v>0</v>
      </c>
      <c r="BH8" s="9" t="n">
        <v>0</v>
      </c>
      <c r="BI8" s="9" t="n">
        <v>3</v>
      </c>
      <c r="BJ8" s="9" t="n">
        <v>6</v>
      </c>
      <c r="BK8" s="9" t="n">
        <v>3</v>
      </c>
      <c r="BL8" s="9" t="n">
        <v>3</v>
      </c>
      <c r="BM8" s="11" t="n">
        <f aca="false">(BI8+BJ8+BK8+BL8)/4</f>
        <v>3.75</v>
      </c>
      <c r="BN8" s="11" t="n">
        <f aca="false">(BI8/AR8)</f>
        <v>0.333333333333333</v>
      </c>
      <c r="BO8" s="11" t="n">
        <f aca="false">(BJ8/AS8)</f>
        <v>0.545454545454545</v>
      </c>
      <c r="BP8" s="11" t="n">
        <f aca="false">(BK8/AT8)</f>
        <v>0.428571428571429</v>
      </c>
      <c r="BQ8" s="11" t="n">
        <f aca="false">(BL8/AU8)</f>
        <v>1</v>
      </c>
      <c r="BR8" s="11" t="n">
        <f aca="false">(BM8/AV8)</f>
        <v>0.5</v>
      </c>
      <c r="BS8" s="11" t="n">
        <f aca="false">(100*BR8)</f>
        <v>50</v>
      </c>
      <c r="BT8" s="9" t="n">
        <v>3</v>
      </c>
      <c r="BU8" s="9" t="n">
        <v>0</v>
      </c>
      <c r="BV8" s="9" t="n">
        <v>0</v>
      </c>
      <c r="BW8" s="9" t="n">
        <v>0</v>
      </c>
      <c r="BX8" s="9" t="n">
        <v>0</v>
      </c>
      <c r="BY8" s="11" t="n">
        <f aca="false">(BU8+BV8+BW8+BX8)/4</f>
        <v>0</v>
      </c>
      <c r="BZ8" s="11" t="n">
        <f aca="false">(BU8/AR8)</f>
        <v>0</v>
      </c>
      <c r="CA8" s="11" t="n">
        <f aca="false">(BV8/AS8)</f>
        <v>0</v>
      </c>
      <c r="CB8" s="11" t="n">
        <f aca="false">(BW8/AT8)</f>
        <v>0</v>
      </c>
      <c r="CC8" s="11" t="n">
        <f aca="false">(BX8/AU8)</f>
        <v>0</v>
      </c>
      <c r="CD8" s="11" t="n">
        <f aca="false">(BY8/AV8)</f>
        <v>0</v>
      </c>
      <c r="CE8" s="11" t="n">
        <f aca="false">(100*CD8)</f>
        <v>0</v>
      </c>
      <c r="CF8" s="9" t="n">
        <v>0</v>
      </c>
      <c r="CG8" s="9" t="n">
        <v>0</v>
      </c>
      <c r="CH8" s="9" t="n">
        <v>2</v>
      </c>
      <c r="CI8" s="9" t="n">
        <v>0</v>
      </c>
      <c r="CJ8" s="9" t="n">
        <v>1</v>
      </c>
      <c r="CK8" s="11" t="n">
        <f aca="false">(CG8+CH8+CI8+CJ8)/4</f>
        <v>0.75</v>
      </c>
      <c r="CL8" s="11" t="n">
        <f aca="false">(CG8/AM8)</f>
        <v>0</v>
      </c>
      <c r="CM8" s="11" t="n">
        <f aca="false">(CH8/AN8)</f>
        <v>0.222222222222222</v>
      </c>
      <c r="CN8" s="11" t="n">
        <f aca="false">(CI8/AO8)</f>
        <v>0</v>
      </c>
      <c r="CO8" s="9" t="n">
        <f aca="false">(CJ8/AP8)</f>
        <v>0.0188679245283019</v>
      </c>
      <c r="CP8" s="9" t="n">
        <f aca="false">(CK8/AQ8)</f>
        <v>0.0379746835443038</v>
      </c>
      <c r="CQ8" s="9" t="n">
        <f aca="false">(100*CP8)</f>
        <v>3.79746835443038</v>
      </c>
      <c r="CR8" s="18" t="n">
        <v>1</v>
      </c>
      <c r="CS8" s="9" t="n">
        <v>52</v>
      </c>
      <c r="CT8" s="9" t="n">
        <v>64.6</v>
      </c>
      <c r="CU8" s="9" t="n">
        <v>60.9</v>
      </c>
      <c r="CV8" s="9" t="n">
        <v>63.9</v>
      </c>
      <c r="CW8" s="11" t="n">
        <f aca="false">(CS8+CT8+CU8+CV8)/4</f>
        <v>60.35</v>
      </c>
      <c r="CX8" s="9" t="n">
        <v>0</v>
      </c>
      <c r="CY8" s="9" t="n">
        <v>0</v>
      </c>
      <c r="CZ8" s="9" t="n">
        <v>0</v>
      </c>
      <c r="DA8" s="9" t="n">
        <v>0</v>
      </c>
      <c r="DB8" s="11" t="n">
        <f aca="false">(CX8+CY8+CZ8+DA8)/4</f>
        <v>0</v>
      </c>
      <c r="DC8" s="9" t="n">
        <v>1</v>
      </c>
      <c r="DD8" s="9" t="n">
        <v>1</v>
      </c>
      <c r="DE8" s="9" t="n">
        <v>1</v>
      </c>
      <c r="DF8" s="9" t="n">
        <v>1</v>
      </c>
      <c r="DG8" s="11" t="n">
        <f aca="false">(DC8+DD8+DE8+DF8)/4</f>
        <v>1</v>
      </c>
      <c r="DH8" s="9" t="n">
        <v>0</v>
      </c>
      <c r="DI8" s="9" t="n">
        <v>0</v>
      </c>
      <c r="DJ8" s="9" t="n">
        <v>1</v>
      </c>
      <c r="DK8" s="9" t="n">
        <v>0</v>
      </c>
      <c r="DL8" s="11" t="n">
        <f aca="false">(DH8+DI8+DJ8+DK8)/4</f>
        <v>0.25</v>
      </c>
      <c r="DM8" s="9" t="n">
        <v>46</v>
      </c>
      <c r="DN8" s="9" t="n">
        <v>24</v>
      </c>
      <c r="DO8" s="9" t="n">
        <v>18</v>
      </c>
      <c r="DP8" s="9" t="n">
        <v>26</v>
      </c>
      <c r="DQ8" s="11" t="n">
        <f aca="false">(DM8+DN8+DO8+DP8)/4</f>
        <v>28.5</v>
      </c>
      <c r="DR8" s="9" t="n">
        <v>14</v>
      </c>
      <c r="DS8" s="9" t="n">
        <v>16</v>
      </c>
      <c r="DT8" s="9" t="n">
        <v>7</v>
      </c>
      <c r="DU8" s="9" t="n">
        <v>4</v>
      </c>
      <c r="DV8" s="11" t="n">
        <f aca="false">(DR8+DS8+DT8+DU8)/4</f>
        <v>10.25</v>
      </c>
      <c r="DW8" s="9" t="n">
        <v>0</v>
      </c>
      <c r="DX8" s="9" t="n">
        <v>0</v>
      </c>
      <c r="DY8" s="9" t="n">
        <v>0</v>
      </c>
      <c r="DZ8" s="9" t="n">
        <v>0</v>
      </c>
      <c r="EA8" s="11" t="n">
        <f aca="false">(DW8+DX8+DY8+DZ8)/4</f>
        <v>0</v>
      </c>
      <c r="EB8" s="11" t="n">
        <f aca="false">(DW8/DR8)</f>
        <v>0</v>
      </c>
      <c r="EC8" s="11" t="n">
        <f aca="false">(DX8/DS8)</f>
        <v>0</v>
      </c>
      <c r="ED8" s="11" t="n">
        <f aca="false">(DY8/DT8)</f>
        <v>0</v>
      </c>
      <c r="EE8" s="11" t="n">
        <f aca="false">(DZ8/DU8)</f>
        <v>0</v>
      </c>
      <c r="EF8" s="11" t="n">
        <f aca="false">(EA8/DV8)</f>
        <v>0</v>
      </c>
      <c r="EG8" s="11" t="n">
        <f aca="false">(100*EF8)</f>
        <v>0</v>
      </c>
      <c r="EH8" s="9" t="n">
        <v>0</v>
      </c>
      <c r="EI8" s="9" t="n">
        <v>6</v>
      </c>
      <c r="EJ8" s="9" t="n">
        <v>2</v>
      </c>
      <c r="EK8" s="19" t="n">
        <v>2</v>
      </c>
      <c r="EL8" s="9" t="n">
        <v>2</v>
      </c>
      <c r="EM8" s="9" t="n">
        <f aca="false">(EI8+EJ8+EK8+EL8)/4</f>
        <v>3</v>
      </c>
      <c r="EN8" s="9" t="n">
        <f aca="false">(EI8/DR8)</f>
        <v>0.428571428571429</v>
      </c>
      <c r="EO8" s="9" t="n">
        <f aca="false">(EJ8/DS8)</f>
        <v>0.125</v>
      </c>
      <c r="EP8" s="9" t="n">
        <f aca="false">(EK8/DT8)</f>
        <v>0.285714285714286</v>
      </c>
      <c r="EQ8" s="9" t="n">
        <f aca="false">(EL8/DU8)</f>
        <v>0.5</v>
      </c>
      <c r="ER8" s="9" t="n">
        <f aca="false">EM8/DV8</f>
        <v>0.292682926829268</v>
      </c>
      <c r="ES8" s="9" t="n">
        <f aca="false">(100*ER8)</f>
        <v>29.2682926829268</v>
      </c>
      <c r="ET8" s="9" t="n">
        <v>2</v>
      </c>
      <c r="EU8" s="18" t="n">
        <v>0</v>
      </c>
      <c r="EV8" s="9" t="n">
        <v>0</v>
      </c>
      <c r="EW8" s="9" t="n">
        <v>0</v>
      </c>
      <c r="EX8" s="9" t="n">
        <v>0</v>
      </c>
      <c r="EY8" s="11" t="n">
        <f aca="false">(EU8+EV8+EW8+EX8)/4</f>
        <v>0</v>
      </c>
      <c r="EZ8" s="11" t="n">
        <f aca="false">(EU8/DR8)</f>
        <v>0</v>
      </c>
      <c r="FA8" s="11" t="n">
        <f aca="false">(EV8/DS8)</f>
        <v>0</v>
      </c>
      <c r="FB8" s="11" t="n">
        <f aca="false">(EW8/DT8)</f>
        <v>0</v>
      </c>
      <c r="FC8" s="11" t="n">
        <f aca="false">(EX8/DU8)</f>
        <v>0</v>
      </c>
      <c r="FD8" s="11" t="n">
        <f aca="false">(EY8/DV8)</f>
        <v>0</v>
      </c>
      <c r="FE8" s="11" t="n">
        <f aca="false">(100*FD8)</f>
        <v>0</v>
      </c>
      <c r="FF8" s="9" t="n">
        <v>0</v>
      </c>
      <c r="FG8" s="9" t="n">
        <v>0</v>
      </c>
      <c r="FH8" s="9" t="n">
        <v>0</v>
      </c>
      <c r="FI8" s="9" t="n">
        <v>2</v>
      </c>
      <c r="FJ8" s="9" t="n">
        <v>0</v>
      </c>
      <c r="FK8" s="11" t="n">
        <f aca="false">(FG8+FH8+FI8+FJ8)/4</f>
        <v>0.5</v>
      </c>
      <c r="FL8" s="11" t="n">
        <f aca="false">(FG8/DR8)</f>
        <v>0</v>
      </c>
      <c r="FM8" s="11" t="n">
        <f aca="false">(FH8/DS8)</f>
        <v>0</v>
      </c>
      <c r="FN8" s="11" t="n">
        <f aca="false">(FI8/DT8)</f>
        <v>0.285714285714286</v>
      </c>
      <c r="FO8" s="11" t="n">
        <f aca="false">(FJ8/DU8)</f>
        <v>0</v>
      </c>
      <c r="FP8" s="11" t="n">
        <f aca="false">(FK8/DV8)</f>
        <v>0.0487804878048781</v>
      </c>
      <c r="FQ8" s="11" t="n">
        <f aca="false">(100*FP8)</f>
        <v>4.87804878048781</v>
      </c>
      <c r="FR8" s="9" t="n">
        <v>1</v>
      </c>
      <c r="FS8" s="9" t="n">
        <v>66</v>
      </c>
      <c r="FT8" s="9" t="n">
        <v>61.8</v>
      </c>
      <c r="FU8" s="9" t="n">
        <v>61.9</v>
      </c>
      <c r="FV8" s="9" t="n">
        <v>60</v>
      </c>
      <c r="FW8" s="11" t="n">
        <f aca="false">(FS8+FT8+FU8+FV8)/4</f>
        <v>62.425</v>
      </c>
      <c r="FX8" s="9" t="n">
        <v>1</v>
      </c>
      <c r="FY8" s="9" t="n">
        <v>0</v>
      </c>
      <c r="FZ8" s="9" t="n">
        <v>0</v>
      </c>
      <c r="GA8" s="9" t="n">
        <v>0</v>
      </c>
      <c r="GB8" s="11" t="n">
        <f aca="false">(FX8+FY8+FZ8+GA8)/4</f>
        <v>0.25</v>
      </c>
      <c r="GC8" s="9" t="n">
        <v>1</v>
      </c>
      <c r="GD8" s="9" t="n">
        <v>1</v>
      </c>
      <c r="GE8" s="9" t="n">
        <v>1</v>
      </c>
      <c r="GF8" s="9" t="n">
        <v>1</v>
      </c>
      <c r="GG8" s="11" t="n">
        <f aca="false">(GC8+GD8+GE8+GF8)/4</f>
        <v>1</v>
      </c>
      <c r="GH8" s="9" t="n">
        <v>0</v>
      </c>
      <c r="GI8" s="9" t="n">
        <v>0</v>
      </c>
      <c r="GJ8" s="9" t="n">
        <v>1</v>
      </c>
      <c r="GK8" s="9" t="n">
        <v>0</v>
      </c>
      <c r="GL8" s="11" t="n">
        <f aca="false">(GH8+GI8+GJ8+GK8)/4</f>
        <v>0.25</v>
      </c>
      <c r="GM8" s="9" t="n">
        <v>41</v>
      </c>
      <c r="GN8" s="9" t="n">
        <v>26</v>
      </c>
      <c r="GO8" s="9" t="n">
        <v>28</v>
      </c>
      <c r="GP8" s="9" t="n">
        <v>22</v>
      </c>
      <c r="GQ8" s="11" t="n">
        <f aca="false">(GM8+GN8+GO8+GP8)/4</f>
        <v>29.25</v>
      </c>
      <c r="GR8" s="9" t="n">
        <v>13</v>
      </c>
      <c r="GS8" s="9" t="n">
        <v>12</v>
      </c>
      <c r="GT8" s="9" t="n">
        <v>10</v>
      </c>
      <c r="GU8" s="9" t="n">
        <v>12</v>
      </c>
      <c r="GV8" s="11" t="n">
        <f aca="false">(GR8+GS8+GT8+GU8)/4</f>
        <v>11.75</v>
      </c>
      <c r="GW8" s="9" t="n">
        <v>1</v>
      </c>
      <c r="GX8" s="9" t="n">
        <v>0</v>
      </c>
      <c r="GY8" s="9" t="n">
        <v>0</v>
      </c>
      <c r="GZ8" s="9" t="n">
        <v>0</v>
      </c>
      <c r="HA8" s="11" t="n">
        <f aca="false">(GW8+GX8+GY8+GZ8)/4</f>
        <v>0.25</v>
      </c>
      <c r="HB8" s="9" t="n">
        <f aca="false">(GW8/GR8)</f>
        <v>0.0769230769230769</v>
      </c>
      <c r="HC8" s="9" t="n">
        <f aca="false">(GX8/GS8)</f>
        <v>0</v>
      </c>
      <c r="HD8" s="9" t="n">
        <f aca="false">(GY8/GT8)</f>
        <v>0</v>
      </c>
      <c r="HE8" s="9" t="n">
        <f aca="false">(GZ8/GU8)/4</f>
        <v>0</v>
      </c>
      <c r="HF8" s="9" t="n">
        <f aca="false">(HB8+HC8+HD8+HE8)/4</f>
        <v>0.0192307692307692</v>
      </c>
      <c r="HG8" s="9" t="n">
        <f aca="false">(100*HF8)</f>
        <v>1.92307692307692</v>
      </c>
      <c r="HH8" s="18" t="n">
        <v>1</v>
      </c>
      <c r="HI8" s="9" t="n">
        <v>2</v>
      </c>
      <c r="HJ8" s="9" t="n">
        <v>3</v>
      </c>
      <c r="HK8" s="9" t="n">
        <v>2</v>
      </c>
      <c r="HL8" s="19" t="n">
        <v>6</v>
      </c>
      <c r="HM8" s="9" t="n">
        <f aca="false">(HI8+HJ8+HK8+HL8)/4</f>
        <v>3.25</v>
      </c>
      <c r="HN8" s="9" t="n">
        <f aca="false">(HI8/GR8)</f>
        <v>0.153846153846154</v>
      </c>
      <c r="HO8" s="9" t="n">
        <f aca="false">(HJ8/GS8)</f>
        <v>0.25</v>
      </c>
      <c r="HP8" s="9" t="n">
        <f aca="false">(HK8/GT8)</f>
        <v>0.2</v>
      </c>
      <c r="HQ8" s="9" t="n">
        <f aca="false">(HL8/GU8)</f>
        <v>0.5</v>
      </c>
      <c r="HR8" s="9" t="n">
        <f aca="false">(HM8/GV8)</f>
        <v>0.276595744680851</v>
      </c>
      <c r="HS8" s="9" t="n">
        <f aca="false">(100*HR8)</f>
        <v>27.6595744680851</v>
      </c>
      <c r="HT8" s="18" t="n">
        <v>2</v>
      </c>
      <c r="HU8" s="9" t="n">
        <v>0</v>
      </c>
      <c r="HV8" s="9" t="n">
        <v>0</v>
      </c>
      <c r="HW8" s="9" t="n">
        <v>0</v>
      </c>
      <c r="HX8" s="19" t="n">
        <v>0</v>
      </c>
      <c r="HY8" s="9" t="n">
        <f aca="false">(HU8+HV8+HW8+HX8)/4</f>
        <v>0</v>
      </c>
      <c r="HZ8" s="9" t="n">
        <f aca="false">(HU8/GR8)</f>
        <v>0</v>
      </c>
      <c r="IA8" s="9" t="n">
        <f aca="false">HV8/GS8</f>
        <v>0</v>
      </c>
      <c r="IB8" s="9" t="n">
        <f aca="false">(HW8/GT8)</f>
        <v>0</v>
      </c>
      <c r="IC8" s="9" t="n">
        <f aca="false">(HX8/GU8)</f>
        <v>0</v>
      </c>
      <c r="ID8" s="9" t="n">
        <f aca="false">(HY8/GV8)</f>
        <v>0</v>
      </c>
      <c r="IE8" s="9" t="n">
        <f aca="false">(100*ID8)</f>
        <v>0</v>
      </c>
      <c r="IF8" s="18" t="n">
        <v>0</v>
      </c>
      <c r="IG8" s="9" t="n">
        <v>0</v>
      </c>
      <c r="IH8" s="9" t="n">
        <v>0</v>
      </c>
      <c r="II8" s="19" t="n">
        <v>3</v>
      </c>
      <c r="IJ8" s="9" t="n">
        <v>0</v>
      </c>
      <c r="IK8" s="9" t="n">
        <f aca="false">(IG8+IH8+II8+IJ8)/4</f>
        <v>0.75</v>
      </c>
      <c r="IL8" s="9" t="n">
        <f aca="false">(IG8/GM8)</f>
        <v>0</v>
      </c>
      <c r="IM8" s="9" t="n">
        <f aca="false">(IH8/GN8)</f>
        <v>0</v>
      </c>
      <c r="IN8" s="9" t="n">
        <f aca="false">(II8/GO8)</f>
        <v>0.107142857142857</v>
      </c>
      <c r="IO8" s="9" t="n">
        <f aca="false">(IJ8/GP8)</f>
        <v>0</v>
      </c>
      <c r="IP8" s="9" t="n">
        <f aca="false">(IK8/GQ8)</f>
        <v>0.0256410256410256</v>
      </c>
      <c r="IQ8" s="9" t="n">
        <f aca="false">(100*IP8)</f>
        <v>2.56410256410256</v>
      </c>
      <c r="IR8" s="18" t="n">
        <v>1</v>
      </c>
      <c r="IS8" s="9" t="n">
        <v>63.6</v>
      </c>
      <c r="IT8" s="9" t="n">
        <v>46.4</v>
      </c>
      <c r="IU8" s="19" t="n">
        <v>59.8</v>
      </c>
      <c r="IV8" s="9" t="n">
        <v>56.6</v>
      </c>
      <c r="IW8" s="9" t="n">
        <f aca="false">(IS8+IT8+IU8+IV8)/4</f>
        <v>56.6</v>
      </c>
      <c r="IX8" s="16" t="n">
        <v>45211</v>
      </c>
      <c r="IY8" s="10" t="s">
        <v>268</v>
      </c>
    </row>
    <row r="9" customFormat="false" ht="15" hidden="false" customHeight="false" outlineLevel="0" collapsed="false">
      <c r="A9" s="9" t="s">
        <v>259</v>
      </c>
      <c r="B9" s="10" t="s">
        <v>282</v>
      </c>
      <c r="C9" s="10" t="s">
        <v>261</v>
      </c>
      <c r="D9" s="9" t="n">
        <v>3</v>
      </c>
      <c r="E9" s="9" t="n">
        <v>3</v>
      </c>
      <c r="F9" s="10" t="s">
        <v>287</v>
      </c>
      <c r="G9" s="10" t="s">
        <v>275</v>
      </c>
      <c r="H9" s="9" t="n">
        <v>21</v>
      </c>
      <c r="I9" s="9" t="n">
        <v>10</v>
      </c>
      <c r="J9" s="12" t="s">
        <v>270</v>
      </c>
      <c r="K9" s="20"/>
      <c r="L9" s="20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 t="n">
        <v>0</v>
      </c>
      <c r="Y9" s="9" t="n">
        <v>0</v>
      </c>
      <c r="Z9" s="9" t="n">
        <v>0</v>
      </c>
      <c r="AA9" s="9" t="n">
        <v>0</v>
      </c>
      <c r="AB9" s="11" t="n">
        <f aca="false">(X9+Y9+Z9+AA9)/4</f>
        <v>0</v>
      </c>
      <c r="AC9" s="9" t="n">
        <v>1</v>
      </c>
      <c r="AD9" s="9" t="n">
        <v>1</v>
      </c>
      <c r="AE9" s="9" t="n">
        <v>1</v>
      </c>
      <c r="AF9" s="9" t="n">
        <v>1</v>
      </c>
      <c r="AG9" s="11" t="n">
        <f aca="false">(AC9+AD9+AE9+AF9)/4</f>
        <v>1</v>
      </c>
      <c r="AH9" s="9" t="n">
        <v>1</v>
      </c>
      <c r="AI9" s="9" t="n">
        <v>1</v>
      </c>
      <c r="AJ9" s="9" t="n">
        <v>1</v>
      </c>
      <c r="AK9" s="9" t="n">
        <v>1</v>
      </c>
      <c r="AL9" s="11" t="n">
        <f aca="false">(AH9+AI9+AJ9+AK9)/4</f>
        <v>1</v>
      </c>
      <c r="AM9" s="9" t="n">
        <v>34</v>
      </c>
      <c r="AN9" s="9" t="n">
        <v>28</v>
      </c>
      <c r="AO9" s="9" t="n">
        <v>29</v>
      </c>
      <c r="AP9" s="9" t="n">
        <v>86</v>
      </c>
      <c r="AQ9" s="11" t="n">
        <f aca="false">(AM9+AN9+AO9+AP9)/4</f>
        <v>44.25</v>
      </c>
      <c r="AR9" s="9" t="n">
        <v>9</v>
      </c>
      <c r="AS9" s="9" t="n">
        <v>10</v>
      </c>
      <c r="AT9" s="9" t="n">
        <v>10</v>
      </c>
      <c r="AU9" s="9" t="n">
        <v>10</v>
      </c>
      <c r="AV9" s="11" t="n">
        <f aca="false">(AR9+AS9+AT9+AU9)/4</f>
        <v>9.75</v>
      </c>
      <c r="AW9" s="9" t="n">
        <v>0</v>
      </c>
      <c r="AX9" s="9" t="n">
        <v>0</v>
      </c>
      <c r="AY9" s="9" t="n">
        <v>0</v>
      </c>
      <c r="AZ9" s="9" t="n">
        <v>0</v>
      </c>
      <c r="BA9" s="11" t="n">
        <f aca="false">(AW9+AX9+AY9+AZ9)/4</f>
        <v>0</v>
      </c>
      <c r="BB9" s="11" t="n">
        <f aca="false">(AW9/AR9)</f>
        <v>0</v>
      </c>
      <c r="BC9" s="11" t="n">
        <f aca="false">(AX9/AS9)</f>
        <v>0</v>
      </c>
      <c r="BD9" s="11" t="n">
        <f aca="false">(AY9/AT9)</f>
        <v>0</v>
      </c>
      <c r="BE9" s="11" t="n">
        <f aca="false">(AZ9/AU9)</f>
        <v>0</v>
      </c>
      <c r="BF9" s="11" t="n">
        <f aca="false">(BA9/AV9)</f>
        <v>0</v>
      </c>
      <c r="BG9" s="11" t="n">
        <f aca="false">(BF9*100)</f>
        <v>0</v>
      </c>
      <c r="BH9" s="9" t="n">
        <v>0</v>
      </c>
      <c r="BI9" s="9" t="n">
        <v>3</v>
      </c>
      <c r="BJ9" s="9" t="n">
        <v>4</v>
      </c>
      <c r="BK9" s="9" t="n">
        <v>6</v>
      </c>
      <c r="BL9" s="9" t="n">
        <v>6</v>
      </c>
      <c r="BM9" s="11" t="n">
        <f aca="false">(BI9+BJ9+BK9+BL9)/4</f>
        <v>4.75</v>
      </c>
      <c r="BN9" s="11" t="n">
        <f aca="false">(BI9/AR9)</f>
        <v>0.333333333333333</v>
      </c>
      <c r="BO9" s="11" t="n">
        <f aca="false">(BJ9/AS9)</f>
        <v>0.4</v>
      </c>
      <c r="BP9" s="11" t="n">
        <f aca="false">(BK9/AT9)</f>
        <v>0.6</v>
      </c>
      <c r="BQ9" s="11" t="n">
        <f aca="false">(BL9/AU9)</f>
        <v>0.6</v>
      </c>
      <c r="BR9" s="11" t="n">
        <f aca="false">(BM9/AV9)</f>
        <v>0.487179487179487</v>
      </c>
      <c r="BS9" s="11" t="n">
        <f aca="false">(100*BR9)</f>
        <v>48.7179487179487</v>
      </c>
      <c r="BT9" s="9" t="n">
        <v>3</v>
      </c>
      <c r="BU9" s="9" t="n">
        <v>0</v>
      </c>
      <c r="BV9" s="9" t="n">
        <v>0</v>
      </c>
      <c r="BW9" s="9" t="n">
        <v>0</v>
      </c>
      <c r="BX9" s="9" t="n">
        <v>0</v>
      </c>
      <c r="BY9" s="11" t="n">
        <f aca="false">(BU9+BV9+BW9+BX9)/4</f>
        <v>0</v>
      </c>
      <c r="BZ9" s="11" t="n">
        <f aca="false">(BU9/AR9)</f>
        <v>0</v>
      </c>
      <c r="CA9" s="11" t="n">
        <f aca="false">(BV9/AS9)</f>
        <v>0</v>
      </c>
      <c r="CB9" s="11" t="n">
        <f aca="false">(BW9/AT9)</f>
        <v>0</v>
      </c>
      <c r="CC9" s="11" t="n">
        <f aca="false">(BX9/AU9)</f>
        <v>0</v>
      </c>
      <c r="CD9" s="11" t="n">
        <f aca="false">(BY9/AV9)</f>
        <v>0</v>
      </c>
      <c r="CE9" s="11" t="n">
        <f aca="false">(100*CD9)</f>
        <v>0</v>
      </c>
      <c r="CF9" s="9" t="n">
        <v>0</v>
      </c>
      <c r="CG9" s="9" t="n">
        <v>3</v>
      </c>
      <c r="CH9" s="9" t="n">
        <v>8</v>
      </c>
      <c r="CI9" s="9" t="n">
        <v>9</v>
      </c>
      <c r="CJ9" s="9" t="n">
        <v>18</v>
      </c>
      <c r="CK9" s="11" t="n">
        <f aca="false">(CG9+CH9+CI9+CJ9)/4</f>
        <v>9.5</v>
      </c>
      <c r="CL9" s="11" t="n">
        <f aca="false">(CG9/AM9)</f>
        <v>0.0882352941176471</v>
      </c>
      <c r="CM9" s="11" t="n">
        <f aca="false">(CH9/AN9)</f>
        <v>0.285714285714286</v>
      </c>
      <c r="CN9" s="11" t="n">
        <f aca="false">(CI9/AO9)</f>
        <v>0.310344827586207</v>
      </c>
      <c r="CO9" s="9" t="n">
        <f aca="false">(CJ9/AP9)</f>
        <v>0.209302325581395</v>
      </c>
      <c r="CP9" s="9" t="n">
        <f aca="false">(CK9/AQ9)</f>
        <v>0.214689265536723</v>
      </c>
      <c r="CQ9" s="9" t="n">
        <f aca="false">(100*CP9)</f>
        <v>21.4689265536723</v>
      </c>
      <c r="CR9" s="18" t="n">
        <v>2</v>
      </c>
      <c r="CS9" s="9" t="n">
        <v>65</v>
      </c>
      <c r="CT9" s="9" t="n">
        <v>57.9</v>
      </c>
      <c r="CU9" s="9" t="n">
        <v>75.7</v>
      </c>
      <c r="CV9" s="9" t="n">
        <v>64.5</v>
      </c>
      <c r="CW9" s="11" t="n">
        <f aca="false">(CS9+CT9+CU9+CV9)/4</f>
        <v>65.775</v>
      </c>
      <c r="CX9" s="9" t="n">
        <v>0</v>
      </c>
      <c r="CY9" s="9" t="n">
        <v>0</v>
      </c>
      <c r="CZ9" s="9" t="n">
        <v>0</v>
      </c>
      <c r="DA9" s="9" t="n">
        <v>0</v>
      </c>
      <c r="DB9" s="11" t="n">
        <f aca="false">(CX9+CY9+CZ9+DA9)/4</f>
        <v>0</v>
      </c>
      <c r="DC9" s="9" t="n">
        <v>1</v>
      </c>
      <c r="DD9" s="9" t="n">
        <v>1</v>
      </c>
      <c r="DE9" s="9" t="n">
        <v>1</v>
      </c>
      <c r="DF9" s="9" t="n">
        <v>1</v>
      </c>
      <c r="DG9" s="11" t="n">
        <f aca="false">(DC9+DD9+DE9+DF9)/4</f>
        <v>1</v>
      </c>
      <c r="DH9" s="9" t="n">
        <v>1</v>
      </c>
      <c r="DI9" s="9" t="n">
        <v>1</v>
      </c>
      <c r="DJ9" s="9" t="n">
        <v>1</v>
      </c>
      <c r="DK9" s="9" t="n">
        <v>0</v>
      </c>
      <c r="DL9" s="11" t="n">
        <f aca="false">(DH9+DI9+DJ9+DK9)/4</f>
        <v>0.75</v>
      </c>
      <c r="DM9" s="11" t="n">
        <v>86</v>
      </c>
      <c r="DN9" s="11" t="n">
        <v>78</v>
      </c>
      <c r="DO9" s="11" t="n">
        <v>116</v>
      </c>
      <c r="DP9" s="11" t="n">
        <v>57</v>
      </c>
      <c r="DQ9" s="11" t="n">
        <f aca="false">(DM9+DN9+DO9+DP9)/4</f>
        <v>84.25</v>
      </c>
      <c r="DR9" s="9" t="n">
        <v>13</v>
      </c>
      <c r="DS9" s="9" t="n">
        <v>11</v>
      </c>
      <c r="DT9" s="9" t="n">
        <v>10</v>
      </c>
      <c r="DU9" s="9" t="n">
        <v>9</v>
      </c>
      <c r="DV9" s="11" t="n">
        <f aca="false">(DR9+DS9+DT9+DU9)/4</f>
        <v>10.75</v>
      </c>
      <c r="DW9" s="9" t="n">
        <v>0</v>
      </c>
      <c r="DX9" s="9" t="n">
        <v>0</v>
      </c>
      <c r="DY9" s="9" t="n">
        <v>0</v>
      </c>
      <c r="DZ9" s="9" t="n">
        <v>0</v>
      </c>
      <c r="EA9" s="11" t="n">
        <f aca="false">(DW9+DX9+DY9+DZ9)/4</f>
        <v>0</v>
      </c>
      <c r="EB9" s="11" t="n">
        <f aca="false">(DW9/DR9)</f>
        <v>0</v>
      </c>
      <c r="EC9" s="11" t="n">
        <f aca="false">(DX9/DS9)</f>
        <v>0</v>
      </c>
      <c r="ED9" s="11" t="n">
        <f aca="false">(DY9/DT9)</f>
        <v>0</v>
      </c>
      <c r="EE9" s="11" t="n">
        <f aca="false">(DZ9/DU9)</f>
        <v>0</v>
      </c>
      <c r="EF9" s="11" t="n">
        <f aca="false">(EA9/DV9)</f>
        <v>0</v>
      </c>
      <c r="EG9" s="11" t="n">
        <f aca="false">(100*EF9)</f>
        <v>0</v>
      </c>
      <c r="EH9" s="9" t="n">
        <v>0</v>
      </c>
      <c r="EI9" s="9" t="n">
        <v>4</v>
      </c>
      <c r="EJ9" s="9" t="n">
        <v>6</v>
      </c>
      <c r="EK9" s="19" t="n">
        <v>6</v>
      </c>
      <c r="EL9" s="9" t="n">
        <v>3</v>
      </c>
      <c r="EM9" s="9" t="n">
        <f aca="false">(EI9+EJ9+EK9+EL9)/4</f>
        <v>4.75</v>
      </c>
      <c r="EN9" s="9" t="n">
        <f aca="false">(EI9/DR9)</f>
        <v>0.307692307692308</v>
      </c>
      <c r="EO9" s="9" t="n">
        <f aca="false">(EJ9/DS9)</f>
        <v>0.545454545454545</v>
      </c>
      <c r="EP9" s="9" t="n">
        <f aca="false">(EK9/DT9)</f>
        <v>0.6</v>
      </c>
      <c r="EQ9" s="9" t="n">
        <f aca="false">(EL9/DU9)</f>
        <v>0.333333333333333</v>
      </c>
      <c r="ER9" s="9" t="n">
        <f aca="false">EM9/DV9</f>
        <v>0.441860465116279</v>
      </c>
      <c r="ES9" s="9" t="n">
        <f aca="false">(100*ER9)</f>
        <v>44.1860465116279</v>
      </c>
      <c r="ET9" s="9" t="n">
        <v>3</v>
      </c>
      <c r="EU9" s="18" t="n">
        <v>0</v>
      </c>
      <c r="EV9" s="9" t="n">
        <v>0</v>
      </c>
      <c r="EW9" s="9" t="n">
        <v>0</v>
      </c>
      <c r="EX9" s="9" t="n">
        <v>0</v>
      </c>
      <c r="EY9" s="11" t="n">
        <f aca="false">(EU9+EV9+EW9+EX9)/4</f>
        <v>0</v>
      </c>
      <c r="EZ9" s="11" t="n">
        <f aca="false">(EU9/DR9)</f>
        <v>0</v>
      </c>
      <c r="FA9" s="11" t="n">
        <f aca="false">(EV9/DS9)</f>
        <v>0</v>
      </c>
      <c r="FB9" s="11" t="n">
        <f aca="false">(EW9/DT9)</f>
        <v>0</v>
      </c>
      <c r="FC9" s="11" t="n">
        <f aca="false">(EX9/DU9)</f>
        <v>0</v>
      </c>
      <c r="FD9" s="11" t="n">
        <f aca="false">(EY9/DV9)</f>
        <v>0</v>
      </c>
      <c r="FE9" s="11" t="n">
        <f aca="false">(100*FD9)</f>
        <v>0</v>
      </c>
      <c r="FF9" s="9" t="n">
        <v>0</v>
      </c>
      <c r="FG9" s="9" t="n">
        <v>14</v>
      </c>
      <c r="FH9" s="9" t="n">
        <v>10</v>
      </c>
      <c r="FI9" s="9" t="n">
        <v>6</v>
      </c>
      <c r="FJ9" s="9" t="n">
        <v>0</v>
      </c>
      <c r="FK9" s="11" t="n">
        <f aca="false">(FG9+FH9+FI9+FJ9)/4</f>
        <v>7.5</v>
      </c>
      <c r="FL9" s="11" t="n">
        <f aca="false">(FG9/DR9)</f>
        <v>1.07692307692308</v>
      </c>
      <c r="FM9" s="11" t="n">
        <f aca="false">(FH9/DS9)</f>
        <v>0.909090909090909</v>
      </c>
      <c r="FN9" s="11" t="n">
        <f aca="false">(FI9/DT9)</f>
        <v>0.6</v>
      </c>
      <c r="FO9" s="11" t="n">
        <f aca="false">(FJ9/DU9)</f>
        <v>0</v>
      </c>
      <c r="FP9" s="11" t="n">
        <f aca="false">(FK9/DV9)</f>
        <v>0.697674418604651</v>
      </c>
      <c r="FQ9" s="11" t="n">
        <f aca="false">(100*FP9)</f>
        <v>69.7674418604651</v>
      </c>
      <c r="FR9" s="9" t="n">
        <v>3</v>
      </c>
      <c r="FS9" s="9" t="n">
        <v>52</v>
      </c>
      <c r="FT9" s="9" t="n">
        <v>49.3</v>
      </c>
      <c r="FU9" s="9" t="n">
        <v>57.8</v>
      </c>
      <c r="FV9" s="9" t="n">
        <v>58.4</v>
      </c>
      <c r="FW9" s="11" t="n">
        <f aca="false">(FS9+FT9+FU9+FV9)/4</f>
        <v>54.375</v>
      </c>
      <c r="FX9" s="9" t="n">
        <v>0</v>
      </c>
      <c r="FY9" s="9" t="n">
        <v>0</v>
      </c>
      <c r="FZ9" s="9" t="n">
        <v>0</v>
      </c>
      <c r="GA9" s="9" t="n">
        <v>0</v>
      </c>
      <c r="GB9" s="11" t="n">
        <f aca="false">(FX9+FY9+FZ9+GA9)/4</f>
        <v>0</v>
      </c>
      <c r="GC9" s="9" t="n">
        <v>1</v>
      </c>
      <c r="GD9" s="9" t="n">
        <v>1</v>
      </c>
      <c r="GE9" s="9" t="n">
        <v>1</v>
      </c>
      <c r="GF9" s="9" t="n">
        <v>1</v>
      </c>
      <c r="GG9" s="11" t="n">
        <f aca="false">(GC9+GD9+GE9+GF9)/4</f>
        <v>1</v>
      </c>
      <c r="GH9" s="9" t="n">
        <v>0</v>
      </c>
      <c r="GI9" s="9" t="n">
        <v>0</v>
      </c>
      <c r="GJ9" s="9" t="n">
        <v>0</v>
      </c>
      <c r="GK9" s="9" t="n">
        <v>0</v>
      </c>
      <c r="GL9" s="11" t="n">
        <f aca="false">(GH9+GI9+GJ9+GK9)/4</f>
        <v>0</v>
      </c>
      <c r="GM9" s="9" t="n">
        <v>7</v>
      </c>
      <c r="GN9" s="9" t="n">
        <v>42</v>
      </c>
      <c r="GO9" s="9" t="n">
        <v>62</v>
      </c>
      <c r="GP9" s="9" t="n">
        <v>32</v>
      </c>
      <c r="GQ9" s="11" t="n">
        <f aca="false">(GM9+GN9+GO9+GP9)/4</f>
        <v>35.75</v>
      </c>
      <c r="GR9" s="9" t="n">
        <v>16</v>
      </c>
      <c r="GS9" s="9" t="n">
        <v>10</v>
      </c>
      <c r="GT9" s="9" t="n">
        <v>18</v>
      </c>
      <c r="GU9" s="9" t="n">
        <v>10</v>
      </c>
      <c r="GV9" s="11" t="n">
        <f aca="false">(GR9+GS9+GT9+GU9)/4</f>
        <v>13.5</v>
      </c>
      <c r="GW9" s="9" t="n">
        <v>0</v>
      </c>
      <c r="GX9" s="9" t="n">
        <v>0</v>
      </c>
      <c r="GY9" s="9" t="n">
        <v>0</v>
      </c>
      <c r="GZ9" s="9" t="n">
        <v>0</v>
      </c>
      <c r="HA9" s="11" t="n">
        <f aca="false">(GW9+GX9+GY9+GZ9)/4</f>
        <v>0</v>
      </c>
      <c r="HB9" s="9" t="n">
        <f aca="false">(GW9/GR9)</f>
        <v>0</v>
      </c>
      <c r="HC9" s="9" t="n">
        <f aca="false">(GX9/GS9)</f>
        <v>0</v>
      </c>
      <c r="HD9" s="9" t="n">
        <f aca="false">(GY9/GT9)</f>
        <v>0</v>
      </c>
      <c r="HE9" s="9" t="n">
        <f aca="false">(GZ9/GU9)/4</f>
        <v>0</v>
      </c>
      <c r="HF9" s="9" t="n">
        <f aca="false">(HB9+HC9+HD9+HE9)/4</f>
        <v>0</v>
      </c>
      <c r="HG9" s="9" t="n">
        <f aca="false">(100*HF9)</f>
        <v>0</v>
      </c>
      <c r="HH9" s="18" t="n">
        <v>0</v>
      </c>
      <c r="HI9" s="9" t="n">
        <v>1</v>
      </c>
      <c r="HJ9" s="9" t="n">
        <v>5</v>
      </c>
      <c r="HK9" s="9" t="n">
        <v>1</v>
      </c>
      <c r="HL9" s="19" t="n">
        <v>3</v>
      </c>
      <c r="HM9" s="9" t="n">
        <f aca="false">(HI9+HJ9+HK9+HL9)/4</f>
        <v>2.5</v>
      </c>
      <c r="HN9" s="9" t="n">
        <f aca="false">(HI9/GR9)</f>
        <v>0.0625</v>
      </c>
      <c r="HO9" s="9" t="n">
        <f aca="false">(HJ9/GS9)</f>
        <v>0.5</v>
      </c>
      <c r="HP9" s="9" t="n">
        <f aca="false">(HK9/GT9)</f>
        <v>0.0555555555555556</v>
      </c>
      <c r="HQ9" s="9" t="n">
        <f aca="false">(HL9/GU9)</f>
        <v>0.3</v>
      </c>
      <c r="HR9" s="9" t="n">
        <f aca="false">(HM9/GV9)</f>
        <v>0.185185185185185</v>
      </c>
      <c r="HS9" s="9" t="n">
        <f aca="false">(100*HR9)</f>
        <v>18.5185185185185</v>
      </c>
      <c r="HT9" s="18" t="n">
        <v>2</v>
      </c>
      <c r="HU9" s="9" t="n">
        <v>0</v>
      </c>
      <c r="HV9" s="9" t="n">
        <v>0</v>
      </c>
      <c r="HW9" s="9" t="n">
        <v>0</v>
      </c>
      <c r="HX9" s="19" t="n">
        <v>0</v>
      </c>
      <c r="HY9" s="9" t="n">
        <f aca="false">(HU9+HV9+HW9+HX9)/4</f>
        <v>0</v>
      </c>
      <c r="HZ9" s="9" t="n">
        <f aca="false">(HU9/GR9)</f>
        <v>0</v>
      </c>
      <c r="IA9" s="9" t="n">
        <f aca="false">HV9/GS9</f>
        <v>0</v>
      </c>
      <c r="IB9" s="9" t="n">
        <f aca="false">(HW9/GT9)</f>
        <v>0</v>
      </c>
      <c r="IC9" s="9" t="n">
        <f aca="false">(HX9/GU9)</f>
        <v>0</v>
      </c>
      <c r="ID9" s="9" t="n">
        <f aca="false">(HY9/GV9)</f>
        <v>0</v>
      </c>
      <c r="IE9" s="9" t="n">
        <f aca="false">(100*ID9)</f>
        <v>0</v>
      </c>
      <c r="IF9" s="18" t="n">
        <v>0</v>
      </c>
      <c r="IG9" s="9" t="n">
        <v>3</v>
      </c>
      <c r="IH9" s="9" t="n">
        <v>3</v>
      </c>
      <c r="II9" s="19" t="n">
        <v>3</v>
      </c>
      <c r="IJ9" s="9" t="n">
        <v>8</v>
      </c>
      <c r="IK9" s="9" t="n">
        <f aca="false">(IG9+IH9+II9+IJ9)/4</f>
        <v>4.25</v>
      </c>
      <c r="IL9" s="9" t="n">
        <f aca="false">(IG9/GM9)</f>
        <v>0.428571428571429</v>
      </c>
      <c r="IM9" s="9" t="n">
        <f aca="false">(IH9/GN9)</f>
        <v>0.0714285714285714</v>
      </c>
      <c r="IN9" s="9" t="n">
        <f aca="false">(II9/GO9)</f>
        <v>0.0483870967741936</v>
      </c>
      <c r="IO9" s="9" t="n">
        <f aca="false">(IJ9/GP9)</f>
        <v>0.25</v>
      </c>
      <c r="IP9" s="9" t="n">
        <f aca="false">(IK9/GQ9)</f>
        <v>0.118881118881119</v>
      </c>
      <c r="IQ9" s="9" t="n">
        <f aca="false">(100*IP9)</f>
        <v>11.8881118881119</v>
      </c>
      <c r="IR9" s="18" t="n">
        <v>2</v>
      </c>
      <c r="IS9" s="9" t="n">
        <v>56.7</v>
      </c>
      <c r="IT9" s="9" t="n">
        <v>60.4</v>
      </c>
      <c r="IU9" s="19" t="n">
        <v>71</v>
      </c>
      <c r="IV9" s="9" t="n">
        <v>66.1</v>
      </c>
      <c r="IW9" s="9" t="n">
        <f aca="false">(IS9+IT9+IU9+IV9)/4</f>
        <v>63.55</v>
      </c>
      <c r="IX9" s="16" t="n">
        <v>45211</v>
      </c>
      <c r="IY9" s="10" t="s">
        <v>268</v>
      </c>
    </row>
    <row r="10" customFormat="false" ht="15" hidden="false" customHeight="false" outlineLevel="0" collapsed="false">
      <c r="A10" s="9" t="s">
        <v>259</v>
      </c>
      <c r="B10" s="10" t="s">
        <v>282</v>
      </c>
      <c r="C10" s="10" t="s">
        <v>261</v>
      </c>
      <c r="D10" s="9" t="n">
        <v>3</v>
      </c>
      <c r="E10" s="9" t="n">
        <v>3</v>
      </c>
      <c r="F10" s="10" t="s">
        <v>288</v>
      </c>
      <c r="G10" s="10" t="s">
        <v>280</v>
      </c>
      <c r="H10" s="9" t="n">
        <v>21</v>
      </c>
      <c r="I10" s="9" t="n">
        <v>20</v>
      </c>
      <c r="J10" s="10" t="s">
        <v>272</v>
      </c>
      <c r="K10" s="20"/>
      <c r="L10" s="20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 t="n">
        <v>0</v>
      </c>
      <c r="Y10" s="9" t="n">
        <v>0</v>
      </c>
      <c r="Z10" s="9" t="n">
        <v>0</v>
      </c>
      <c r="AA10" s="9" t="n">
        <v>0</v>
      </c>
      <c r="AB10" s="11" t="n">
        <f aca="false">(X10+Y10+Z10+AA10)/4</f>
        <v>0</v>
      </c>
      <c r="AC10" s="9" t="n">
        <v>1</v>
      </c>
      <c r="AD10" s="9" t="n">
        <v>1</v>
      </c>
      <c r="AE10" s="9" t="n">
        <v>1</v>
      </c>
      <c r="AF10" s="9" t="n">
        <v>1</v>
      </c>
      <c r="AG10" s="11" t="n">
        <f aca="false">(AC10+AD10+AE10+AF10)/4</f>
        <v>1</v>
      </c>
      <c r="AH10" s="9" t="n">
        <v>1</v>
      </c>
      <c r="AI10" s="9" t="n">
        <v>1</v>
      </c>
      <c r="AJ10" s="9" t="n">
        <v>1</v>
      </c>
      <c r="AK10" s="9" t="n">
        <v>1</v>
      </c>
      <c r="AL10" s="11" t="n">
        <f aca="false">(AH10+AI10+AJ10+AK10)/4</f>
        <v>1</v>
      </c>
      <c r="AM10" s="9" t="n">
        <v>43</v>
      </c>
      <c r="AN10" s="9" t="n">
        <v>68</v>
      </c>
      <c r="AO10" s="9" t="n">
        <v>124</v>
      </c>
      <c r="AP10" s="9" t="n">
        <v>45</v>
      </c>
      <c r="AQ10" s="11" t="n">
        <f aca="false">(AM10+AN10+AO10+AP10)/4</f>
        <v>70</v>
      </c>
      <c r="AR10" s="9" t="n">
        <v>45</v>
      </c>
      <c r="AS10" s="9" t="n">
        <v>22</v>
      </c>
      <c r="AT10" s="9" t="n">
        <v>33</v>
      </c>
      <c r="AU10" s="9" t="n">
        <v>8</v>
      </c>
      <c r="AV10" s="11" t="n">
        <f aca="false">(AR10+AS10+AT10+AU10)/4</f>
        <v>27</v>
      </c>
      <c r="AW10" s="9" t="n">
        <v>0</v>
      </c>
      <c r="AX10" s="9" t="n">
        <v>0</v>
      </c>
      <c r="AY10" s="9" t="n">
        <v>0</v>
      </c>
      <c r="AZ10" s="9" t="n">
        <v>0</v>
      </c>
      <c r="BA10" s="11" t="n">
        <f aca="false">(AW10+AX10+AY10+AZ10)/4</f>
        <v>0</v>
      </c>
      <c r="BB10" s="11" t="n">
        <f aca="false">(AW10/AR10)</f>
        <v>0</v>
      </c>
      <c r="BC10" s="11" t="n">
        <f aca="false">(AX10/AS10)</f>
        <v>0</v>
      </c>
      <c r="BD10" s="11" t="n">
        <f aca="false">(AY10/AT10)</f>
        <v>0</v>
      </c>
      <c r="BE10" s="11" t="n">
        <f aca="false">(AZ10/AU10)</f>
        <v>0</v>
      </c>
      <c r="BF10" s="11" t="n">
        <f aca="false">(BA10/AV10)</f>
        <v>0</v>
      </c>
      <c r="BG10" s="11" t="n">
        <f aca="false">(BF10*100)</f>
        <v>0</v>
      </c>
      <c r="BH10" s="9" t="n">
        <v>0</v>
      </c>
      <c r="BI10" s="9" t="n">
        <v>5</v>
      </c>
      <c r="BJ10" s="9" t="n">
        <v>3</v>
      </c>
      <c r="BK10" s="9" t="n">
        <v>5</v>
      </c>
      <c r="BL10" s="9" t="n">
        <v>7</v>
      </c>
      <c r="BM10" s="11" t="n">
        <f aca="false">(BI10+BJ10+BK10+BL10)/4</f>
        <v>5</v>
      </c>
      <c r="BN10" s="11" t="n">
        <f aca="false">(BI10/AR10)</f>
        <v>0.111111111111111</v>
      </c>
      <c r="BO10" s="11" t="n">
        <f aca="false">(BJ10/AS10)</f>
        <v>0.136363636363636</v>
      </c>
      <c r="BP10" s="11" t="n">
        <f aca="false">(BK10/AT10)</f>
        <v>0.151515151515152</v>
      </c>
      <c r="BQ10" s="11" t="n">
        <f aca="false">(BL10/AU10)</f>
        <v>0.875</v>
      </c>
      <c r="BR10" s="11" t="n">
        <f aca="false">(BM10/AV10)</f>
        <v>0.185185185185185</v>
      </c>
      <c r="BS10" s="11" t="n">
        <f aca="false">(100*BR10)</f>
        <v>18.5185185185185</v>
      </c>
      <c r="BT10" s="9" t="n">
        <v>2</v>
      </c>
      <c r="BU10" s="9" t="n">
        <v>0</v>
      </c>
      <c r="BV10" s="9" t="n">
        <v>0</v>
      </c>
      <c r="BW10" s="9" t="n">
        <v>0</v>
      </c>
      <c r="BX10" s="9" t="n">
        <v>0</v>
      </c>
      <c r="BY10" s="11" t="n">
        <f aca="false">(BU10+BV10+BW10+BX10)/4</f>
        <v>0</v>
      </c>
      <c r="BZ10" s="11" t="n">
        <f aca="false">(BU10/AR10)</f>
        <v>0</v>
      </c>
      <c r="CA10" s="11" t="n">
        <f aca="false">(BV10/AS10)</f>
        <v>0</v>
      </c>
      <c r="CB10" s="11" t="n">
        <f aca="false">(BW10/AT10)</f>
        <v>0</v>
      </c>
      <c r="CC10" s="11" t="n">
        <f aca="false">(BX10/AU10)</f>
        <v>0</v>
      </c>
      <c r="CD10" s="11" t="n">
        <f aca="false">(BY10/AV10)</f>
        <v>0</v>
      </c>
      <c r="CE10" s="11" t="n">
        <f aca="false">(100*CD10)</f>
        <v>0</v>
      </c>
      <c r="CF10" s="9" t="n">
        <v>0</v>
      </c>
      <c r="CG10" s="9" t="n">
        <v>7</v>
      </c>
      <c r="CH10" s="9" t="n">
        <v>10</v>
      </c>
      <c r="CI10" s="9" t="n">
        <v>18</v>
      </c>
      <c r="CJ10" s="9" t="n">
        <v>5</v>
      </c>
      <c r="CK10" s="11" t="n">
        <f aca="false">(CG10+CH10+CI10+CJ10)/4</f>
        <v>10</v>
      </c>
      <c r="CL10" s="11" t="n">
        <f aca="false">(CG10/AM10)</f>
        <v>0.162790697674419</v>
      </c>
      <c r="CM10" s="11" t="n">
        <f aca="false">(CH10/AN10)</f>
        <v>0.147058823529412</v>
      </c>
      <c r="CN10" s="11" t="n">
        <f aca="false">(CI10/AO10)</f>
        <v>0.145161290322581</v>
      </c>
      <c r="CO10" s="9" t="n">
        <f aca="false">(CJ10/AP10)</f>
        <v>0.111111111111111</v>
      </c>
      <c r="CP10" s="9" t="n">
        <f aca="false">(CK10/AQ10)</f>
        <v>0.142857142857143</v>
      </c>
      <c r="CQ10" s="9" t="n">
        <f aca="false">(100*CP10)</f>
        <v>14.2857142857143</v>
      </c>
      <c r="CR10" s="18" t="n">
        <v>2</v>
      </c>
      <c r="CS10" s="9" t="n">
        <v>64.9</v>
      </c>
      <c r="CT10" s="9" t="n">
        <v>65.2</v>
      </c>
      <c r="CU10" s="9" t="n">
        <v>67.5</v>
      </c>
      <c r="CV10" s="9" t="n">
        <v>59</v>
      </c>
      <c r="CW10" s="11" t="n">
        <f aca="false">(CS10+CT10+CU10+CV10)/4</f>
        <v>64.15</v>
      </c>
      <c r="CX10" s="9" t="n">
        <v>0</v>
      </c>
      <c r="CY10" s="9" t="n">
        <v>0</v>
      </c>
      <c r="CZ10" s="9" t="n">
        <v>0</v>
      </c>
      <c r="DA10" s="9" t="n">
        <v>0</v>
      </c>
      <c r="DB10" s="11" t="n">
        <f aca="false">(CX10+CY10+CZ10+DA10)/4</f>
        <v>0</v>
      </c>
      <c r="DC10" s="9" t="n">
        <v>1</v>
      </c>
      <c r="DD10" s="9" t="n">
        <v>1</v>
      </c>
      <c r="DE10" s="9" t="n">
        <v>1</v>
      </c>
      <c r="DF10" s="9" t="n">
        <v>1</v>
      </c>
      <c r="DG10" s="11" t="n">
        <f aca="false">(DC10+DD10+DE10+DF10)/4</f>
        <v>1</v>
      </c>
      <c r="DH10" s="9" t="n">
        <v>1</v>
      </c>
      <c r="DI10" s="9" t="n">
        <v>1</v>
      </c>
      <c r="DJ10" s="9" t="n">
        <v>1</v>
      </c>
      <c r="DK10" s="9" t="n">
        <v>1</v>
      </c>
      <c r="DL10" s="11" t="n">
        <f aca="false">(DH10+DI10+DJ10+DK10)/4</f>
        <v>1</v>
      </c>
      <c r="DM10" s="9" t="n">
        <v>115</v>
      </c>
      <c r="DN10" s="9" t="n">
        <v>131</v>
      </c>
      <c r="DO10" s="9" t="n">
        <v>161</v>
      </c>
      <c r="DP10" s="9" t="n">
        <v>150</v>
      </c>
      <c r="DQ10" s="11" t="n">
        <f aca="false">(DM10+DN10+DO10+DP10)/4</f>
        <v>139.25</v>
      </c>
      <c r="DR10" s="9" t="n">
        <v>16</v>
      </c>
      <c r="DS10" s="9" t="n">
        <v>24</v>
      </c>
      <c r="DT10" s="9" t="n">
        <v>35</v>
      </c>
      <c r="DU10" s="9" t="n">
        <v>19</v>
      </c>
      <c r="DV10" s="11" t="n">
        <f aca="false">(DR10+DS10+DT10+DU10)/4</f>
        <v>23.5</v>
      </c>
      <c r="DW10" s="9" t="n">
        <v>0</v>
      </c>
      <c r="DX10" s="9" t="n">
        <v>0</v>
      </c>
      <c r="DY10" s="9" t="n">
        <v>0</v>
      </c>
      <c r="DZ10" s="9" t="n">
        <v>0</v>
      </c>
      <c r="EA10" s="11" t="n">
        <f aca="false">(DW10+DX10+DY10+DZ10)/4</f>
        <v>0</v>
      </c>
      <c r="EB10" s="11" t="n">
        <f aca="false">(DW10/DR10)</f>
        <v>0</v>
      </c>
      <c r="EC10" s="11" t="n">
        <f aca="false">(DX10/DS10)</f>
        <v>0</v>
      </c>
      <c r="ED10" s="11" t="n">
        <f aca="false">(DY10/DT10)</f>
        <v>0</v>
      </c>
      <c r="EE10" s="11" t="n">
        <f aca="false">(DZ10/DU10)</f>
        <v>0</v>
      </c>
      <c r="EF10" s="11" t="n">
        <f aca="false">(EA10/DV10)</f>
        <v>0</v>
      </c>
      <c r="EG10" s="11" t="n">
        <f aca="false">(100*EF10)</f>
        <v>0</v>
      </c>
      <c r="EH10" s="9" t="n">
        <v>0</v>
      </c>
      <c r="EI10" s="9" t="n">
        <v>8</v>
      </c>
      <c r="EJ10" s="9" t="n">
        <v>8</v>
      </c>
      <c r="EK10" s="19" t="n">
        <v>6</v>
      </c>
      <c r="EL10" s="9" t="n">
        <v>4</v>
      </c>
      <c r="EM10" s="9" t="n">
        <f aca="false">(EI10+EJ10+EK10+EL10)/4</f>
        <v>6.5</v>
      </c>
      <c r="EN10" s="9" t="n">
        <f aca="false">(EI10/DR10)</f>
        <v>0.5</v>
      </c>
      <c r="EO10" s="9" t="n">
        <f aca="false">(EJ10/DS10)</f>
        <v>0.333333333333333</v>
      </c>
      <c r="EP10" s="9" t="n">
        <f aca="false">(EK10/DT10)</f>
        <v>0.171428571428571</v>
      </c>
      <c r="EQ10" s="9" t="n">
        <f aca="false">(EL10/DU10)</f>
        <v>0.210526315789474</v>
      </c>
      <c r="ER10" s="9" t="n">
        <f aca="false">EM10/DV10</f>
        <v>0.276595744680851</v>
      </c>
      <c r="ES10" s="9" t="n">
        <f aca="false">(100*ER10)</f>
        <v>27.6595744680851</v>
      </c>
      <c r="ET10" s="9" t="n">
        <v>2</v>
      </c>
      <c r="EU10" s="18" t="n">
        <v>0</v>
      </c>
      <c r="EV10" s="9" t="n">
        <v>0</v>
      </c>
      <c r="EW10" s="9" t="n">
        <v>0</v>
      </c>
      <c r="EX10" s="9" t="n">
        <v>0</v>
      </c>
      <c r="EY10" s="11" t="n">
        <f aca="false">(EU10+EV10+EW10+EX10)/4</f>
        <v>0</v>
      </c>
      <c r="EZ10" s="11" t="n">
        <f aca="false">(EU10/DR10)</f>
        <v>0</v>
      </c>
      <c r="FA10" s="11" t="n">
        <f aca="false">(EV10/DS10)</f>
        <v>0</v>
      </c>
      <c r="FB10" s="11" t="n">
        <f aca="false">(EW10/DT10)</f>
        <v>0</v>
      </c>
      <c r="FC10" s="11" t="n">
        <f aca="false">(EX10/DU10)</f>
        <v>0</v>
      </c>
      <c r="FD10" s="11" t="n">
        <f aca="false">(EY10/DV10)</f>
        <v>0</v>
      </c>
      <c r="FE10" s="11" t="n">
        <f aca="false">(100*FD10)</f>
        <v>0</v>
      </c>
      <c r="FF10" s="9" t="n">
        <v>0</v>
      </c>
      <c r="FG10" s="9" t="n">
        <v>18</v>
      </c>
      <c r="FH10" s="9" t="n">
        <v>13</v>
      </c>
      <c r="FI10" s="9" t="n">
        <v>14</v>
      </c>
      <c r="FJ10" s="9" t="n">
        <v>12</v>
      </c>
      <c r="FK10" s="11" t="n">
        <f aca="false">(FG10+FH10+FI10+FJ10)/4</f>
        <v>14.25</v>
      </c>
      <c r="FL10" s="11" t="n">
        <f aca="false">(FG10/DR10)</f>
        <v>1.125</v>
      </c>
      <c r="FM10" s="11" t="n">
        <f aca="false">(FH10/DS10)</f>
        <v>0.541666666666667</v>
      </c>
      <c r="FN10" s="11" t="n">
        <f aca="false">(FI10/DT10)</f>
        <v>0.4</v>
      </c>
      <c r="FO10" s="11" t="n">
        <f aca="false">(FJ10/DU10)</f>
        <v>0.631578947368421</v>
      </c>
      <c r="FP10" s="11" t="n">
        <f aca="false">(FK10/DV10)</f>
        <v>0.606382978723404</v>
      </c>
      <c r="FQ10" s="11" t="n">
        <f aca="false">(100*FP10)</f>
        <v>60.6382978723404</v>
      </c>
      <c r="FR10" s="9" t="n">
        <v>3</v>
      </c>
      <c r="FS10" s="9" t="n">
        <v>64.7</v>
      </c>
      <c r="FT10" s="9" t="n">
        <v>51.8</v>
      </c>
      <c r="FU10" s="9" t="n">
        <v>70.5</v>
      </c>
      <c r="FV10" s="9" t="n">
        <v>58.7</v>
      </c>
      <c r="FW10" s="11" t="n">
        <f aca="false">(FS10+FT10+FU10+FV10)/4</f>
        <v>61.425</v>
      </c>
      <c r="FX10" s="9" t="n">
        <v>0</v>
      </c>
      <c r="FY10" s="9" t="n">
        <v>0</v>
      </c>
      <c r="FZ10" s="9" t="n">
        <v>0</v>
      </c>
      <c r="GA10" s="9" t="n">
        <v>1</v>
      </c>
      <c r="GB10" s="11" t="n">
        <f aca="false">(FX10+FY10+FZ10+GA10)/4</f>
        <v>0.25</v>
      </c>
      <c r="GC10" s="9" t="n">
        <v>1</v>
      </c>
      <c r="GD10" s="9" t="n">
        <v>1</v>
      </c>
      <c r="GE10" s="9" t="n">
        <v>1</v>
      </c>
      <c r="GF10" s="9" t="n">
        <v>1</v>
      </c>
      <c r="GG10" s="11" t="n">
        <f aca="false">(GC10+GD10+GE10+GF10)/4</f>
        <v>1</v>
      </c>
      <c r="GH10" s="9" t="n">
        <v>1</v>
      </c>
      <c r="GI10" s="9" t="n">
        <v>1</v>
      </c>
      <c r="GJ10" s="9" t="n">
        <v>1</v>
      </c>
      <c r="GK10" s="9" t="n">
        <v>1</v>
      </c>
      <c r="GL10" s="11" t="n">
        <f aca="false">(GH10+GI10+GJ10+GK10)/4</f>
        <v>1</v>
      </c>
      <c r="GM10" s="9" t="n">
        <v>162</v>
      </c>
      <c r="GN10" s="9" t="n">
        <v>66</v>
      </c>
      <c r="GO10" s="9" t="n">
        <v>126</v>
      </c>
      <c r="GP10" s="9" t="n">
        <v>222</v>
      </c>
      <c r="GQ10" s="11" t="n">
        <f aca="false">(GM10+GN10+GO10+GP10)/4</f>
        <v>144</v>
      </c>
      <c r="GR10" s="9" t="n">
        <v>21</v>
      </c>
      <c r="GS10" s="9" t="n">
        <v>23</v>
      </c>
      <c r="GT10" s="9" t="n">
        <v>27</v>
      </c>
      <c r="GU10" s="9" t="n">
        <v>30</v>
      </c>
      <c r="GV10" s="11" t="n">
        <f aca="false">(GR10+GS10+GT10+GU10)/4</f>
        <v>25.25</v>
      </c>
      <c r="GW10" s="9" t="n">
        <v>0</v>
      </c>
      <c r="GX10" s="9" t="n">
        <v>0</v>
      </c>
      <c r="GY10" s="9" t="n">
        <v>0</v>
      </c>
      <c r="GZ10" s="9" t="n">
        <v>2</v>
      </c>
      <c r="HA10" s="11" t="n">
        <f aca="false">(GW10+GX10+GY10+GZ10)/4</f>
        <v>0.5</v>
      </c>
      <c r="HB10" s="9" t="n">
        <f aca="false">(GW10/GR10)</f>
        <v>0</v>
      </c>
      <c r="HC10" s="9" t="n">
        <f aca="false">(GX10/GS10)</f>
        <v>0</v>
      </c>
      <c r="HD10" s="9" t="n">
        <f aca="false">(GY10/GT10)</f>
        <v>0</v>
      </c>
      <c r="HE10" s="9" t="n">
        <f aca="false">(GZ10/GU10)/4</f>
        <v>0.0166666666666667</v>
      </c>
      <c r="HF10" s="9" t="n">
        <f aca="false">(HB10+HC10+HD10+HE10)/4</f>
        <v>0.00416666666666667</v>
      </c>
      <c r="HG10" s="9" t="n">
        <f aca="false">(100*HF10)</f>
        <v>0.416666666666667</v>
      </c>
      <c r="HH10" s="18" t="n">
        <v>1</v>
      </c>
      <c r="HI10" s="9" t="n">
        <v>8</v>
      </c>
      <c r="HJ10" s="9" t="n">
        <v>6</v>
      </c>
      <c r="HK10" s="9" t="n">
        <v>10</v>
      </c>
      <c r="HL10" s="19" t="n">
        <v>4</v>
      </c>
      <c r="HM10" s="9" t="n">
        <f aca="false">(HI10+HJ10+HK10+HL10)/4</f>
        <v>7</v>
      </c>
      <c r="HN10" s="9" t="n">
        <f aca="false">(HI10/GR10)</f>
        <v>0.380952380952381</v>
      </c>
      <c r="HO10" s="9" t="n">
        <f aca="false">(HJ10/GS10)</f>
        <v>0.260869565217391</v>
      </c>
      <c r="HP10" s="9" t="n">
        <f aca="false">(HK10/GT10)</f>
        <v>0.37037037037037</v>
      </c>
      <c r="HQ10" s="9" t="n">
        <f aca="false">(HL10/GU10)</f>
        <v>0.133333333333333</v>
      </c>
      <c r="HR10" s="9" t="n">
        <f aca="false">(HM10/GV10)</f>
        <v>0.277227722772277</v>
      </c>
      <c r="HS10" s="9" t="n">
        <f aca="false">(100*HR10)</f>
        <v>27.7227722772277</v>
      </c>
      <c r="HT10" s="18" t="n">
        <v>2</v>
      </c>
      <c r="HU10" s="9" t="n">
        <v>0</v>
      </c>
      <c r="HV10" s="9" t="n">
        <v>0</v>
      </c>
      <c r="HW10" s="9" t="n">
        <v>0</v>
      </c>
      <c r="HX10" s="19" t="n">
        <v>0</v>
      </c>
      <c r="HY10" s="9" t="n">
        <f aca="false">(HU10+HV10+HW10+HX10)/4</f>
        <v>0</v>
      </c>
      <c r="HZ10" s="9" t="n">
        <f aca="false">(HU10/GR10)</f>
        <v>0</v>
      </c>
      <c r="IA10" s="9" t="n">
        <f aca="false">HV10/GS10</f>
        <v>0</v>
      </c>
      <c r="IB10" s="9" t="n">
        <f aca="false">(HW10/GT10)</f>
        <v>0</v>
      </c>
      <c r="IC10" s="9" t="n">
        <f aca="false">(HX10/GU10)</f>
        <v>0</v>
      </c>
      <c r="ID10" s="9" t="n">
        <f aca="false">(HY10/GV10)</f>
        <v>0</v>
      </c>
      <c r="IE10" s="9" t="n">
        <f aca="false">(100*ID10)</f>
        <v>0</v>
      </c>
      <c r="IF10" s="18" t="n">
        <v>0</v>
      </c>
      <c r="IG10" s="9" t="n">
        <v>17</v>
      </c>
      <c r="IH10" s="9" t="n">
        <v>26</v>
      </c>
      <c r="II10" s="19" t="n">
        <v>12</v>
      </c>
      <c r="IJ10" s="9" t="n">
        <v>10</v>
      </c>
      <c r="IK10" s="9" t="n">
        <f aca="false">(IG10+IH10+II10+IJ10)/4</f>
        <v>16.25</v>
      </c>
      <c r="IL10" s="9" t="n">
        <f aca="false">(IG10/GM10)</f>
        <v>0.104938271604938</v>
      </c>
      <c r="IM10" s="9" t="n">
        <f aca="false">(IH10/GN10)</f>
        <v>0.393939393939394</v>
      </c>
      <c r="IN10" s="9" t="n">
        <f aca="false">(II10/GO10)</f>
        <v>0.0952380952380952</v>
      </c>
      <c r="IO10" s="9" t="n">
        <f aca="false">(IJ10/GP10)</f>
        <v>0.045045045045045</v>
      </c>
      <c r="IP10" s="9" t="n">
        <f aca="false">(IK10/GQ10)</f>
        <v>0.112847222222222</v>
      </c>
      <c r="IQ10" s="9" t="n">
        <f aca="false">(100*IP10)</f>
        <v>11.2847222222222</v>
      </c>
      <c r="IR10" s="18" t="n">
        <v>2</v>
      </c>
      <c r="IS10" s="9" t="n">
        <v>64</v>
      </c>
      <c r="IT10" s="9" t="n">
        <v>65</v>
      </c>
      <c r="IU10" s="19" t="n">
        <v>50.2</v>
      </c>
      <c r="IV10" s="9" t="n">
        <v>84</v>
      </c>
      <c r="IW10" s="9" t="n">
        <f aca="false">(IS10+IT10+IU10+IV10)/4</f>
        <v>65.8</v>
      </c>
      <c r="IX10" s="16" t="n">
        <v>45211</v>
      </c>
      <c r="IY10" s="10" t="s">
        <v>268</v>
      </c>
    </row>
    <row r="11" customFormat="false" ht="15" hidden="false" customHeight="false" outlineLevel="0" collapsed="false">
      <c r="A11" s="9" t="s">
        <v>259</v>
      </c>
      <c r="B11" s="10" t="s">
        <v>289</v>
      </c>
      <c r="C11" s="10" t="s">
        <v>261</v>
      </c>
      <c r="D11" s="9" t="n">
        <v>4</v>
      </c>
      <c r="E11" s="9" t="n">
        <v>4</v>
      </c>
      <c r="F11" s="10" t="s">
        <v>290</v>
      </c>
      <c r="G11" s="10" t="s">
        <v>291</v>
      </c>
      <c r="H11" s="9" t="n">
        <v>21</v>
      </c>
      <c r="I11" s="9" t="n">
        <v>5</v>
      </c>
      <c r="J11" s="12" t="s">
        <v>264</v>
      </c>
      <c r="K11" s="13" t="s">
        <v>292</v>
      </c>
      <c r="L11" s="13" t="s">
        <v>293</v>
      </c>
      <c r="M11" s="14" t="n">
        <v>1294</v>
      </c>
      <c r="N11" s="15" t="n">
        <v>45153</v>
      </c>
      <c r="O11" s="10" t="s">
        <v>294</v>
      </c>
      <c r="P11" s="9"/>
      <c r="Q11" s="9" t="n">
        <v>48.01</v>
      </c>
      <c r="R11" s="9" t="n">
        <v>15</v>
      </c>
      <c r="S11" s="9" t="n">
        <v>-15</v>
      </c>
      <c r="T11" s="9" t="n">
        <v>130</v>
      </c>
      <c r="U11" s="9"/>
      <c r="V11" s="9" t="n">
        <v>2.91</v>
      </c>
      <c r="W11" s="9" t="s">
        <v>295</v>
      </c>
      <c r="X11" s="9" t="n">
        <v>0</v>
      </c>
      <c r="Y11" s="9" t="n">
        <v>0</v>
      </c>
      <c r="Z11" s="9" t="n">
        <v>0</v>
      </c>
      <c r="AA11" s="9" t="n">
        <v>0</v>
      </c>
      <c r="AB11" s="11" t="n">
        <f aca="false">(X11+Y11+Z11+AA11)/4</f>
        <v>0</v>
      </c>
      <c r="AC11" s="9" t="n">
        <v>1</v>
      </c>
      <c r="AD11" s="9" t="n">
        <v>1</v>
      </c>
      <c r="AE11" s="9" t="n">
        <v>1</v>
      </c>
      <c r="AF11" s="9" t="n">
        <v>1</v>
      </c>
      <c r="AG11" s="11" t="n">
        <f aca="false">(AC11+AD11+AE11+AF11)/4</f>
        <v>1</v>
      </c>
      <c r="AH11" s="9" t="n">
        <v>1</v>
      </c>
      <c r="AI11" s="9" t="n">
        <v>1</v>
      </c>
      <c r="AJ11" s="9" t="n">
        <v>1</v>
      </c>
      <c r="AK11" s="9" t="n">
        <v>1</v>
      </c>
      <c r="AL11" s="11" t="n">
        <f aca="false">(AH11+AI11+AJ11+AK11)/4</f>
        <v>1</v>
      </c>
      <c r="AM11" s="9" t="n">
        <v>7</v>
      </c>
      <c r="AN11" s="9" t="n">
        <v>6</v>
      </c>
      <c r="AO11" s="9" t="n">
        <v>64</v>
      </c>
      <c r="AP11" s="9" t="n">
        <v>73</v>
      </c>
      <c r="AQ11" s="11" t="n">
        <f aca="false">(AM11+AN11+AO11+AP11)/4</f>
        <v>37.5</v>
      </c>
      <c r="AR11" s="9" t="n">
        <v>15</v>
      </c>
      <c r="AS11" s="9" t="n">
        <v>9</v>
      </c>
      <c r="AT11" s="9" t="n">
        <v>18</v>
      </c>
      <c r="AU11" s="9" t="n">
        <v>17</v>
      </c>
      <c r="AV11" s="11" t="n">
        <f aca="false">(AR11+AS11+AT11+AU11)/4</f>
        <v>14.75</v>
      </c>
      <c r="AW11" s="9" t="n">
        <v>0</v>
      </c>
      <c r="AX11" s="9" t="n">
        <v>0</v>
      </c>
      <c r="AY11" s="9" t="n">
        <v>0</v>
      </c>
      <c r="AZ11" s="9" t="n">
        <v>0</v>
      </c>
      <c r="BA11" s="11" t="n">
        <f aca="false">(AW11+AX11+AY11+AZ11)/4</f>
        <v>0</v>
      </c>
      <c r="BB11" s="11" t="n">
        <f aca="false">(AW11/AR11)</f>
        <v>0</v>
      </c>
      <c r="BC11" s="11" t="n">
        <f aca="false">(AX11/AS11)</f>
        <v>0</v>
      </c>
      <c r="BD11" s="11" t="n">
        <f aca="false">(AY11/AT11)</f>
        <v>0</v>
      </c>
      <c r="BE11" s="11" t="n">
        <f aca="false">(AZ11/AU11)</f>
        <v>0</v>
      </c>
      <c r="BF11" s="11" t="n">
        <f aca="false">(BA11/AV11)</f>
        <v>0</v>
      </c>
      <c r="BG11" s="11" t="n">
        <f aca="false">(BF11*100)</f>
        <v>0</v>
      </c>
      <c r="BH11" s="9" t="n">
        <v>0</v>
      </c>
      <c r="BI11" s="9" t="n">
        <v>2</v>
      </c>
      <c r="BJ11" s="9" t="n">
        <v>1</v>
      </c>
      <c r="BK11" s="9" t="n">
        <v>8</v>
      </c>
      <c r="BL11" s="9" t="n">
        <v>3</v>
      </c>
      <c r="BM11" s="11" t="n">
        <f aca="false">(BI11+BJ11+BK11+BL11)/4</f>
        <v>3.5</v>
      </c>
      <c r="BN11" s="11" t="n">
        <f aca="false">(BI11/AR11)</f>
        <v>0.133333333333333</v>
      </c>
      <c r="BO11" s="11" t="n">
        <f aca="false">(BJ11/AS11)</f>
        <v>0.111111111111111</v>
      </c>
      <c r="BP11" s="11" t="n">
        <f aca="false">(BK11/AT11)</f>
        <v>0.444444444444444</v>
      </c>
      <c r="BQ11" s="11" t="n">
        <f aca="false">(BL11/AU11)</f>
        <v>0.176470588235294</v>
      </c>
      <c r="BR11" s="11" t="n">
        <f aca="false">(BM11/AV11)</f>
        <v>0.23728813559322</v>
      </c>
      <c r="BS11" s="11" t="n">
        <f aca="false">(100*BR11)</f>
        <v>23.728813559322</v>
      </c>
      <c r="BT11" s="9" t="n">
        <v>2</v>
      </c>
      <c r="BU11" s="9" t="n">
        <v>0</v>
      </c>
      <c r="BV11" s="9" t="n">
        <v>0</v>
      </c>
      <c r="BW11" s="9" t="n">
        <v>0</v>
      </c>
      <c r="BX11" s="9" t="n">
        <v>0</v>
      </c>
      <c r="BY11" s="11" t="n">
        <f aca="false">(BU11+BV11+BW11+BX11)/4</f>
        <v>0</v>
      </c>
      <c r="BZ11" s="11" t="n">
        <f aca="false">(BU11/AR11)</f>
        <v>0</v>
      </c>
      <c r="CA11" s="11" t="n">
        <f aca="false">(BV11/AS11)</f>
        <v>0</v>
      </c>
      <c r="CB11" s="11" t="n">
        <f aca="false">(BW11/AT11)</f>
        <v>0</v>
      </c>
      <c r="CC11" s="11" t="n">
        <f aca="false">(BX11/AU11)</f>
        <v>0</v>
      </c>
      <c r="CD11" s="11" t="n">
        <f aca="false">(BY11/AV11)</f>
        <v>0</v>
      </c>
      <c r="CE11" s="11" t="n">
        <f aca="false">(100*CD11)</f>
        <v>0</v>
      </c>
      <c r="CF11" s="9" t="n">
        <v>0</v>
      </c>
      <c r="CG11" s="9" t="n">
        <v>3</v>
      </c>
      <c r="CH11" s="9" t="n">
        <v>2</v>
      </c>
      <c r="CI11" s="9" t="n">
        <v>16</v>
      </c>
      <c r="CJ11" s="9" t="n">
        <v>7</v>
      </c>
      <c r="CK11" s="11" t="n">
        <f aca="false">(CG11+CH11+CI11+CJ11)/4</f>
        <v>7</v>
      </c>
      <c r="CL11" s="11" t="n">
        <f aca="false">(CG11/AM11)</f>
        <v>0.428571428571429</v>
      </c>
      <c r="CM11" s="11" t="n">
        <f aca="false">(CH11/AN11)</f>
        <v>0.333333333333333</v>
      </c>
      <c r="CN11" s="11" t="n">
        <f aca="false">(CI11/AO11)</f>
        <v>0.25</v>
      </c>
      <c r="CO11" s="9" t="n">
        <f aca="false">(CJ11/AP11)</f>
        <v>0.0958904109589041</v>
      </c>
      <c r="CP11" s="9" t="n">
        <f aca="false">(CK11/AQ11)</f>
        <v>0.186666666666667</v>
      </c>
      <c r="CQ11" s="9" t="n">
        <f aca="false">(100*CP11)</f>
        <v>18.6666666666667</v>
      </c>
      <c r="CR11" s="18" t="n">
        <v>2</v>
      </c>
      <c r="CS11" s="9" t="n">
        <v>73.2</v>
      </c>
      <c r="CT11" s="9" t="n">
        <v>63</v>
      </c>
      <c r="CU11" s="9" t="n">
        <v>69.5</v>
      </c>
      <c r="CV11" s="9" t="n">
        <v>75.5</v>
      </c>
      <c r="CW11" s="11" t="n">
        <f aca="false">(CS11+CT11+CU11+CV11)/4</f>
        <v>70.3</v>
      </c>
      <c r="CX11" s="9" t="n">
        <v>0</v>
      </c>
      <c r="CY11" s="9" t="n">
        <v>0</v>
      </c>
      <c r="CZ11" s="9" t="n">
        <v>0</v>
      </c>
      <c r="DA11" s="9" t="n">
        <v>0</v>
      </c>
      <c r="DB11" s="11" t="n">
        <f aca="false">(CX11+CY11+CZ11+DA11)/4</f>
        <v>0</v>
      </c>
      <c r="DC11" s="9" t="n">
        <v>1</v>
      </c>
      <c r="DD11" s="9" t="n">
        <v>1</v>
      </c>
      <c r="DE11" s="9" t="n">
        <v>0</v>
      </c>
      <c r="DF11" s="9" t="n">
        <v>1</v>
      </c>
      <c r="DG11" s="11" t="n">
        <f aca="false">(DC11+DD11+DE11+DF11)/4</f>
        <v>0.75</v>
      </c>
      <c r="DH11" s="9" t="n">
        <v>0</v>
      </c>
      <c r="DI11" s="9" t="n">
        <v>1</v>
      </c>
      <c r="DJ11" s="9" t="n">
        <v>1</v>
      </c>
      <c r="DK11" s="9" t="n">
        <v>1</v>
      </c>
      <c r="DL11" s="11" t="n">
        <f aca="false">(DH11+DI11+DJ11+DK11)/4</f>
        <v>0.75</v>
      </c>
      <c r="DM11" s="9" t="n">
        <v>25</v>
      </c>
      <c r="DN11" s="9" t="n">
        <v>49</v>
      </c>
      <c r="DO11" s="9" t="n">
        <v>25</v>
      </c>
      <c r="DP11" s="9" t="n">
        <v>148</v>
      </c>
      <c r="DQ11" s="11" t="n">
        <f aca="false">(DM11+DN11+DO11+DP11)/4</f>
        <v>61.75</v>
      </c>
      <c r="DR11" s="9" t="n">
        <v>11</v>
      </c>
      <c r="DS11" s="9" t="n">
        <v>22</v>
      </c>
      <c r="DT11" s="9" t="n">
        <v>8</v>
      </c>
      <c r="DU11" s="9" t="n">
        <v>20</v>
      </c>
      <c r="DV11" s="11" t="n">
        <f aca="false">(DR11+DS11+DT11+DU11)/4</f>
        <v>15.25</v>
      </c>
      <c r="DW11" s="9" t="n">
        <v>0</v>
      </c>
      <c r="DX11" s="9" t="n">
        <v>0</v>
      </c>
      <c r="DY11" s="9" t="n">
        <v>0</v>
      </c>
      <c r="DZ11" s="9" t="n">
        <v>0</v>
      </c>
      <c r="EA11" s="11" t="n">
        <f aca="false">(DW11+DX11+DY11+DZ11)/4</f>
        <v>0</v>
      </c>
      <c r="EB11" s="11" t="n">
        <f aca="false">(DW11/DR11)</f>
        <v>0</v>
      </c>
      <c r="EC11" s="11" t="n">
        <f aca="false">(DX11/DS11)</f>
        <v>0</v>
      </c>
      <c r="ED11" s="11" t="n">
        <f aca="false">(DY11/DT11)</f>
        <v>0</v>
      </c>
      <c r="EE11" s="11" t="n">
        <f aca="false">(DZ11/DU11)</f>
        <v>0</v>
      </c>
      <c r="EF11" s="11" t="n">
        <f aca="false">(EA11/DV11)</f>
        <v>0</v>
      </c>
      <c r="EG11" s="11" t="n">
        <f aca="false">(100*EF11)</f>
        <v>0</v>
      </c>
      <c r="EH11" s="9" t="n">
        <v>0</v>
      </c>
      <c r="EI11" s="9" t="n">
        <v>2</v>
      </c>
      <c r="EJ11" s="9" t="n">
        <v>1</v>
      </c>
      <c r="EK11" s="19" t="n">
        <v>0</v>
      </c>
      <c r="EL11" s="9" t="n">
        <v>5</v>
      </c>
      <c r="EM11" s="9" t="n">
        <f aca="false">(EI11+EJ11+EK11+EL11)/4</f>
        <v>2</v>
      </c>
      <c r="EN11" s="9" t="n">
        <f aca="false">(EI11/DR11)</f>
        <v>0.181818181818182</v>
      </c>
      <c r="EO11" s="9" t="n">
        <f aca="false">(EJ11/DS11)</f>
        <v>0.0454545454545455</v>
      </c>
      <c r="EP11" s="9" t="n">
        <f aca="false">(EK11/DT11)</f>
        <v>0</v>
      </c>
      <c r="EQ11" s="9" t="n">
        <f aca="false">(EL11/DU11)</f>
        <v>0.25</v>
      </c>
      <c r="ER11" s="9" t="n">
        <f aca="false">EM11/DV11</f>
        <v>0.131147540983607</v>
      </c>
      <c r="ES11" s="9" t="n">
        <f aca="false">(100*ER11)</f>
        <v>13.1147540983607</v>
      </c>
      <c r="ET11" s="9" t="n">
        <v>2</v>
      </c>
      <c r="EU11" s="18" t="n">
        <v>0</v>
      </c>
      <c r="EV11" s="9" t="n">
        <v>0</v>
      </c>
      <c r="EW11" s="9" t="n">
        <v>0</v>
      </c>
      <c r="EX11" s="9" t="n">
        <v>0</v>
      </c>
      <c r="EY11" s="11" t="n">
        <f aca="false">(EU11+EV11+EW11+EX11)/4</f>
        <v>0</v>
      </c>
      <c r="EZ11" s="11" t="n">
        <f aca="false">(EU11/DR11)</f>
        <v>0</v>
      </c>
      <c r="FA11" s="11" t="n">
        <f aca="false">(EV11/DS11)</f>
        <v>0</v>
      </c>
      <c r="FB11" s="11" t="n">
        <f aca="false">(EW11/DT11)</f>
        <v>0</v>
      </c>
      <c r="FC11" s="11" t="n">
        <f aca="false">(EX11/DU11)</f>
        <v>0</v>
      </c>
      <c r="FD11" s="11" t="n">
        <f aca="false">(EY11/DV11)</f>
        <v>0</v>
      </c>
      <c r="FE11" s="11" t="n">
        <f aca="false">(100*FD11)</f>
        <v>0</v>
      </c>
      <c r="FF11" s="9" t="n">
        <v>0</v>
      </c>
      <c r="FG11" s="9" t="n">
        <v>0</v>
      </c>
      <c r="FH11" s="9" t="n">
        <v>5</v>
      </c>
      <c r="FI11" s="9" t="n">
        <v>1</v>
      </c>
      <c r="FJ11" s="9" t="n">
        <v>5</v>
      </c>
      <c r="FK11" s="11" t="n">
        <f aca="false">(FG11+FH11+FI11+FJ11)/4</f>
        <v>2.75</v>
      </c>
      <c r="FL11" s="11" t="n">
        <f aca="false">(FG11/DR11)</f>
        <v>0</v>
      </c>
      <c r="FM11" s="11" t="n">
        <f aca="false">(FH11/DS11)</f>
        <v>0.227272727272727</v>
      </c>
      <c r="FN11" s="11" t="n">
        <f aca="false">(FI11/DT11)</f>
        <v>0.125</v>
      </c>
      <c r="FO11" s="11" t="n">
        <f aca="false">(FJ11/DU11)</f>
        <v>0.25</v>
      </c>
      <c r="FP11" s="11" t="n">
        <f aca="false">(FK11/DV11)</f>
        <v>0.180327868852459</v>
      </c>
      <c r="FQ11" s="11" t="n">
        <f aca="false">(100*FP11)</f>
        <v>18.0327868852459</v>
      </c>
      <c r="FR11" s="9" t="n">
        <v>2</v>
      </c>
      <c r="FS11" s="9" t="n">
        <v>71.1</v>
      </c>
      <c r="FT11" s="9" t="n">
        <v>75.6</v>
      </c>
      <c r="FU11" s="9" t="n">
        <v>54</v>
      </c>
      <c r="FV11" s="9" t="n">
        <v>70.2</v>
      </c>
      <c r="FW11" s="11" t="n">
        <f aca="false">(FS11+FT11+FU11+FV11)/4</f>
        <v>67.725</v>
      </c>
      <c r="FX11" s="9" t="n">
        <v>1</v>
      </c>
      <c r="FY11" s="9" t="n">
        <v>0</v>
      </c>
      <c r="FZ11" s="9" t="n">
        <v>1</v>
      </c>
      <c r="GA11" s="9" t="n">
        <v>0</v>
      </c>
      <c r="GB11" s="11" t="n">
        <f aca="false">(FX11+FY11+FZ11+GA11)/4</f>
        <v>0.5</v>
      </c>
      <c r="GC11" s="9" t="n">
        <v>1</v>
      </c>
      <c r="GD11" s="9" t="n">
        <v>1</v>
      </c>
      <c r="GE11" s="9" t="n">
        <v>0</v>
      </c>
      <c r="GF11" s="9" t="n">
        <v>0</v>
      </c>
      <c r="GG11" s="11" t="n">
        <f aca="false">(GC11+GD11+GE11+GF11)/4</f>
        <v>0.5</v>
      </c>
      <c r="GH11" s="9" t="n">
        <v>1</v>
      </c>
      <c r="GI11" s="9" t="n">
        <v>1</v>
      </c>
      <c r="GJ11" s="9" t="n">
        <v>1</v>
      </c>
      <c r="GK11" s="9" t="n">
        <v>0</v>
      </c>
      <c r="GL11" s="11" t="n">
        <f aca="false">(GH11+GI11+GJ11+GK11)/4</f>
        <v>0.75</v>
      </c>
      <c r="GM11" s="9" t="n">
        <v>42</v>
      </c>
      <c r="GN11" s="9" t="n">
        <v>63</v>
      </c>
      <c r="GO11" s="9" t="n">
        <v>11</v>
      </c>
      <c r="GP11" s="9" t="n">
        <v>67</v>
      </c>
      <c r="GQ11" s="11" t="n">
        <f aca="false">(GM11+GN11+GO11+GP11)/4</f>
        <v>45.75</v>
      </c>
      <c r="GR11" s="9" t="n">
        <v>8</v>
      </c>
      <c r="GS11" s="9" t="n">
        <v>39</v>
      </c>
      <c r="GT11" s="9" t="n">
        <v>9</v>
      </c>
      <c r="GU11" s="9" t="n">
        <v>31</v>
      </c>
      <c r="GV11" s="11" t="n">
        <f aca="false">(GR11+GS11+GT11+GU11)/4</f>
        <v>21.75</v>
      </c>
      <c r="GW11" s="9" t="n">
        <v>2</v>
      </c>
      <c r="GX11" s="9" t="n">
        <v>0</v>
      </c>
      <c r="GY11" s="9" t="n">
        <v>5</v>
      </c>
      <c r="GZ11" s="9" t="n">
        <v>0</v>
      </c>
      <c r="HA11" s="11" t="n">
        <f aca="false">(GW11+GX11+GY11+GZ11)/4</f>
        <v>1.75</v>
      </c>
      <c r="HB11" s="9" t="n">
        <f aca="false">(GW11/GR11)</f>
        <v>0.25</v>
      </c>
      <c r="HC11" s="9" t="n">
        <f aca="false">(GX11/GS11)</f>
        <v>0</v>
      </c>
      <c r="HD11" s="9" t="n">
        <f aca="false">(GY11/GT11)</f>
        <v>0.555555555555556</v>
      </c>
      <c r="HE11" s="9" t="n">
        <f aca="false">(GZ11/GU11)/4</f>
        <v>0</v>
      </c>
      <c r="HF11" s="9" t="n">
        <f aca="false">(HB11+HC11+HD11+HE11)/4</f>
        <v>0.201388888888889</v>
      </c>
      <c r="HG11" s="9" t="n">
        <f aca="false">(100*HF11)</f>
        <v>20.1388888888889</v>
      </c>
      <c r="HH11" s="18" t="n">
        <v>2</v>
      </c>
      <c r="HI11" s="9" t="n">
        <v>2</v>
      </c>
      <c r="HJ11" s="9" t="n">
        <v>4</v>
      </c>
      <c r="HK11" s="9" t="n">
        <v>0</v>
      </c>
      <c r="HL11" s="19" t="n">
        <v>0</v>
      </c>
      <c r="HM11" s="9" t="n">
        <f aca="false">(HI11+HJ11+HK11+HL11)/4</f>
        <v>1.5</v>
      </c>
      <c r="HN11" s="9" t="n">
        <f aca="false">(HI11/GR11)</f>
        <v>0.25</v>
      </c>
      <c r="HO11" s="9" t="n">
        <f aca="false">(HJ11/GS11)</f>
        <v>0.102564102564103</v>
      </c>
      <c r="HP11" s="9" t="n">
        <f aca="false">(HK11/GT11)</f>
        <v>0</v>
      </c>
      <c r="HQ11" s="9" t="n">
        <f aca="false">(HL11/GU11)</f>
        <v>0</v>
      </c>
      <c r="HR11" s="9" t="n">
        <f aca="false">(HM11/GV11)</f>
        <v>0.0689655172413793</v>
      </c>
      <c r="HS11" s="9" t="n">
        <f aca="false">(100*HR11)</f>
        <v>6.89655172413793</v>
      </c>
      <c r="HT11" s="18" t="n">
        <v>1</v>
      </c>
      <c r="HU11" s="9" t="n">
        <v>0</v>
      </c>
      <c r="HV11" s="9" t="n">
        <v>0</v>
      </c>
      <c r="HW11" s="9" t="n">
        <v>0</v>
      </c>
      <c r="HX11" s="19" t="n">
        <v>0</v>
      </c>
      <c r="HY11" s="9" t="n">
        <f aca="false">(HU11+HV11+HW11+HX11)/4</f>
        <v>0</v>
      </c>
      <c r="HZ11" s="9" t="n">
        <f aca="false">(HU11/GR11)</f>
        <v>0</v>
      </c>
      <c r="IA11" s="9" t="n">
        <f aca="false">HV11/GS11</f>
        <v>0</v>
      </c>
      <c r="IB11" s="9" t="n">
        <f aca="false">(HW11/GT11)</f>
        <v>0</v>
      </c>
      <c r="IC11" s="9" t="n">
        <f aca="false">(HX11/GU11)</f>
        <v>0</v>
      </c>
      <c r="ID11" s="9" t="n">
        <f aca="false">(HY11/GV11)</f>
        <v>0</v>
      </c>
      <c r="IE11" s="9" t="n">
        <f aca="false">(100*ID11)</f>
        <v>0</v>
      </c>
      <c r="IF11" s="18" t="n">
        <v>0</v>
      </c>
      <c r="IG11" s="9" t="n">
        <v>4</v>
      </c>
      <c r="IH11" s="9" t="n">
        <v>5</v>
      </c>
      <c r="II11" s="19" t="n">
        <v>4</v>
      </c>
      <c r="IJ11" s="9" t="n">
        <v>0</v>
      </c>
      <c r="IK11" s="9" t="n">
        <f aca="false">(IG11+IH11+II11+IJ11)/4</f>
        <v>3.25</v>
      </c>
      <c r="IL11" s="9" t="n">
        <f aca="false">(IG11/GM11)</f>
        <v>0.0952380952380952</v>
      </c>
      <c r="IM11" s="9" t="n">
        <f aca="false">(IH11/GN11)</f>
        <v>0.0793650793650794</v>
      </c>
      <c r="IN11" s="9" t="n">
        <f aca="false">(II11/GO11)</f>
        <v>0.363636363636364</v>
      </c>
      <c r="IO11" s="9" t="n">
        <f aca="false">(IJ11/GP11)</f>
        <v>0</v>
      </c>
      <c r="IP11" s="9" t="n">
        <f aca="false">(IK11/GQ11)</f>
        <v>0.0710382513661202</v>
      </c>
      <c r="IQ11" s="9" t="n">
        <f aca="false">(100*IP11)</f>
        <v>7.10382513661202</v>
      </c>
      <c r="IR11" s="18" t="n">
        <v>1</v>
      </c>
      <c r="IS11" s="9" t="n">
        <v>73.3</v>
      </c>
      <c r="IT11" s="9" t="n">
        <v>63.7</v>
      </c>
      <c r="IU11" s="19" t="n">
        <v>51.9</v>
      </c>
      <c r="IV11" s="9" t="n">
        <v>67.7</v>
      </c>
      <c r="IW11" s="9" t="n">
        <f aca="false">(IS11+IT11+IU11+IV11)/4</f>
        <v>64.15</v>
      </c>
      <c r="IX11" s="16" t="n">
        <v>45208</v>
      </c>
      <c r="IY11" s="10" t="s">
        <v>268</v>
      </c>
    </row>
    <row r="12" customFormat="false" ht="15" hidden="false" customHeight="false" outlineLevel="0" collapsed="false">
      <c r="A12" s="9" t="s">
        <v>259</v>
      </c>
      <c r="B12" s="10" t="s">
        <v>289</v>
      </c>
      <c r="C12" s="10" t="s">
        <v>261</v>
      </c>
      <c r="D12" s="9" t="n">
        <v>4</v>
      </c>
      <c r="E12" s="9" t="n">
        <v>4</v>
      </c>
      <c r="F12" s="10" t="s">
        <v>296</v>
      </c>
      <c r="G12" s="10" t="s">
        <v>297</v>
      </c>
      <c r="H12" s="9" t="n">
        <v>21</v>
      </c>
      <c r="I12" s="9" t="n">
        <v>10</v>
      </c>
      <c r="J12" s="12" t="s">
        <v>270</v>
      </c>
      <c r="K12" s="20"/>
      <c r="L12" s="20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 t="n">
        <v>0</v>
      </c>
      <c r="Y12" s="9" t="n">
        <v>0</v>
      </c>
      <c r="Z12" s="9" t="n">
        <v>0</v>
      </c>
      <c r="AA12" s="9" t="n">
        <v>0</v>
      </c>
      <c r="AB12" s="11" t="n">
        <f aca="false">(X12+Y12+Z12+AA12)/4</f>
        <v>0</v>
      </c>
      <c r="AC12" s="9" t="n">
        <v>1</v>
      </c>
      <c r="AD12" s="9" t="n">
        <v>1</v>
      </c>
      <c r="AE12" s="9" t="n">
        <v>1</v>
      </c>
      <c r="AF12" s="9" t="n">
        <v>1</v>
      </c>
      <c r="AG12" s="11" t="n">
        <f aca="false">(AC12+AD12+AE12+AF12)/4</f>
        <v>1</v>
      </c>
      <c r="AH12" s="9" t="n">
        <v>1</v>
      </c>
      <c r="AI12" s="9" t="n">
        <v>1</v>
      </c>
      <c r="AJ12" s="9" t="n">
        <v>1</v>
      </c>
      <c r="AK12" s="9" t="n">
        <v>1</v>
      </c>
      <c r="AL12" s="11" t="n">
        <f aca="false">(AH12+AI12+AJ12+AK12)/4</f>
        <v>1</v>
      </c>
      <c r="AM12" s="9" t="n">
        <v>98</v>
      </c>
      <c r="AN12" s="9" t="n">
        <v>54</v>
      </c>
      <c r="AO12" s="9" t="n">
        <v>35</v>
      </c>
      <c r="AP12" s="9" t="n">
        <v>63</v>
      </c>
      <c r="AQ12" s="11" t="n">
        <f aca="false">(AM12+AN12+AO12+AP12)/4</f>
        <v>62.5</v>
      </c>
      <c r="AR12" s="9" t="n">
        <v>26</v>
      </c>
      <c r="AS12" s="9" t="n">
        <v>10</v>
      </c>
      <c r="AT12" s="9" t="n">
        <v>6</v>
      </c>
      <c r="AU12" s="9" t="n">
        <v>6</v>
      </c>
      <c r="AV12" s="11" t="n">
        <f aca="false">(AR12+AS12+AT12+AU12)/4</f>
        <v>12</v>
      </c>
      <c r="AW12" s="9" t="n">
        <v>0</v>
      </c>
      <c r="AX12" s="9" t="n">
        <v>0</v>
      </c>
      <c r="AY12" s="9" t="n">
        <v>0</v>
      </c>
      <c r="AZ12" s="9" t="n">
        <v>0</v>
      </c>
      <c r="BA12" s="11" t="n">
        <f aca="false">(AW12+AX12+AY12+AZ12)/4</f>
        <v>0</v>
      </c>
      <c r="BB12" s="11" t="n">
        <f aca="false">(AW12/AR12)</f>
        <v>0</v>
      </c>
      <c r="BC12" s="11" t="n">
        <f aca="false">(AX12/AS12)</f>
        <v>0</v>
      </c>
      <c r="BD12" s="11" t="n">
        <f aca="false">(AY12/AT12)</f>
        <v>0</v>
      </c>
      <c r="BE12" s="11" t="n">
        <f aca="false">(AZ12/AU12)</f>
        <v>0</v>
      </c>
      <c r="BF12" s="11" t="n">
        <f aca="false">(BA12/AV12)</f>
        <v>0</v>
      </c>
      <c r="BG12" s="11" t="n">
        <f aca="false">(BF12*100)</f>
        <v>0</v>
      </c>
      <c r="BH12" s="9" t="n">
        <v>0</v>
      </c>
      <c r="BI12" s="9" t="n">
        <v>4</v>
      </c>
      <c r="BJ12" s="9" t="n">
        <v>5</v>
      </c>
      <c r="BK12" s="9" t="n">
        <v>4</v>
      </c>
      <c r="BL12" s="9" t="n">
        <v>4</v>
      </c>
      <c r="BM12" s="11" t="n">
        <f aca="false">(BI12+BJ12+BK12+BL12)/4</f>
        <v>4.25</v>
      </c>
      <c r="BN12" s="11" t="n">
        <f aca="false">(BI12/AR12)</f>
        <v>0.153846153846154</v>
      </c>
      <c r="BO12" s="11" t="n">
        <f aca="false">(BJ12/AS12)</f>
        <v>0.5</v>
      </c>
      <c r="BP12" s="11" t="n">
        <f aca="false">(BK12/AT12)</f>
        <v>0.666666666666667</v>
      </c>
      <c r="BQ12" s="11" t="n">
        <f aca="false">(BL12/AU12)</f>
        <v>0.666666666666667</v>
      </c>
      <c r="BR12" s="11" t="n">
        <f aca="false">(BM12/AV12)</f>
        <v>0.354166666666667</v>
      </c>
      <c r="BS12" s="11" t="n">
        <f aca="false">(100*BR12)</f>
        <v>35.4166666666667</v>
      </c>
      <c r="BT12" s="9" t="n">
        <v>3</v>
      </c>
      <c r="BU12" s="9" t="n">
        <v>0</v>
      </c>
      <c r="BV12" s="9" t="n">
        <v>0</v>
      </c>
      <c r="BW12" s="9" t="n">
        <v>0</v>
      </c>
      <c r="BX12" s="9" t="n">
        <v>0</v>
      </c>
      <c r="BY12" s="11" t="n">
        <f aca="false">(BU12+BV12+BW12+BX12)/4</f>
        <v>0</v>
      </c>
      <c r="BZ12" s="11" t="n">
        <f aca="false">(BU12/AR12)</f>
        <v>0</v>
      </c>
      <c r="CA12" s="11" t="n">
        <f aca="false">(BV12/AS12)</f>
        <v>0</v>
      </c>
      <c r="CB12" s="11" t="n">
        <f aca="false">(BW12/AT12)</f>
        <v>0</v>
      </c>
      <c r="CC12" s="11" t="n">
        <f aca="false">(BX12/AU12)</f>
        <v>0</v>
      </c>
      <c r="CD12" s="11" t="n">
        <f aca="false">(BY12/AV12)</f>
        <v>0</v>
      </c>
      <c r="CE12" s="11" t="n">
        <f aca="false">(100*CD12)</f>
        <v>0</v>
      </c>
      <c r="CF12" s="9" t="n">
        <v>0</v>
      </c>
      <c r="CG12" s="9" t="n">
        <v>3</v>
      </c>
      <c r="CH12" s="9" t="n">
        <v>3</v>
      </c>
      <c r="CI12" s="9" t="n">
        <v>2</v>
      </c>
      <c r="CJ12" s="9" t="n">
        <v>4</v>
      </c>
      <c r="CK12" s="11" t="n">
        <f aca="false">(CG12+CH12+CI12+CJ12)/4</f>
        <v>3</v>
      </c>
      <c r="CL12" s="11" t="n">
        <f aca="false">(CG12/AM12)</f>
        <v>0.0306122448979592</v>
      </c>
      <c r="CM12" s="11" t="n">
        <f aca="false">(CH12/AN12)</f>
        <v>0.0555555555555556</v>
      </c>
      <c r="CN12" s="11" t="n">
        <f aca="false">(CI12/AO12)</f>
        <v>0.0571428571428571</v>
      </c>
      <c r="CO12" s="9" t="n">
        <f aca="false">(CJ12/AP12)</f>
        <v>0.0634920634920635</v>
      </c>
      <c r="CP12" s="9" t="n">
        <f aca="false">(CK12/AQ12)</f>
        <v>0.048</v>
      </c>
      <c r="CQ12" s="9" t="n">
        <f aca="false">(100*CP12)</f>
        <v>4.8</v>
      </c>
      <c r="CR12" s="18" t="n">
        <v>1</v>
      </c>
      <c r="CS12" s="9" t="n">
        <v>62.1</v>
      </c>
      <c r="CT12" s="9" t="n">
        <v>65.6</v>
      </c>
      <c r="CU12" s="9" t="n">
        <v>62.9</v>
      </c>
      <c r="CV12" s="9" t="n">
        <v>52.4</v>
      </c>
      <c r="CW12" s="11" t="n">
        <f aca="false">(CS12+CT12+CU12+CV12)/4</f>
        <v>60.75</v>
      </c>
      <c r="CX12" s="9" t="n">
        <v>0</v>
      </c>
      <c r="CY12" s="9" t="n">
        <v>0</v>
      </c>
      <c r="CZ12" s="9" t="n">
        <v>0</v>
      </c>
      <c r="DA12" s="9" t="n">
        <v>0</v>
      </c>
      <c r="DB12" s="11" t="n">
        <f aca="false">(CX12+CY12+CZ12+DA12)/4</f>
        <v>0</v>
      </c>
      <c r="DC12" s="9" t="n">
        <v>1</v>
      </c>
      <c r="DD12" s="9" t="n">
        <v>1</v>
      </c>
      <c r="DE12" s="9" t="n">
        <v>1</v>
      </c>
      <c r="DF12" s="9" t="n">
        <v>1</v>
      </c>
      <c r="DG12" s="11" t="n">
        <f aca="false">(DC12+DD12+DE12+DF12)/4</f>
        <v>1</v>
      </c>
      <c r="DH12" s="9" t="n">
        <v>1</v>
      </c>
      <c r="DI12" s="9" t="n">
        <v>1</v>
      </c>
      <c r="DJ12" s="9" t="n">
        <v>1</v>
      </c>
      <c r="DK12" s="9" t="n">
        <v>0</v>
      </c>
      <c r="DL12" s="11" t="n">
        <f aca="false">(DH12+DI12+DJ12+DK12)/4</f>
        <v>0.75</v>
      </c>
      <c r="DM12" s="9" t="n">
        <v>76</v>
      </c>
      <c r="DN12" s="9" t="n">
        <v>136</v>
      </c>
      <c r="DO12" s="9" t="n">
        <v>112</v>
      </c>
      <c r="DP12" s="9" t="n">
        <v>79</v>
      </c>
      <c r="DQ12" s="11" t="n">
        <f aca="false">(DM12+DN12+DO12+DP12)/4</f>
        <v>100.75</v>
      </c>
      <c r="DR12" s="9" t="n">
        <v>7</v>
      </c>
      <c r="DS12" s="9" t="n">
        <v>4</v>
      </c>
      <c r="DT12" s="9" t="n">
        <v>6</v>
      </c>
      <c r="DU12" s="9" t="n">
        <v>18</v>
      </c>
      <c r="DV12" s="11" t="n">
        <f aca="false">(DR12+DS12+DT12+DU12)/4</f>
        <v>8.75</v>
      </c>
      <c r="DW12" s="9" t="n">
        <v>0</v>
      </c>
      <c r="DX12" s="9" t="n">
        <v>0</v>
      </c>
      <c r="DY12" s="9" t="n">
        <v>0</v>
      </c>
      <c r="DZ12" s="9" t="n">
        <v>0</v>
      </c>
      <c r="EA12" s="11" t="n">
        <f aca="false">(DW12+DX12+DY12+DZ12)/4</f>
        <v>0</v>
      </c>
      <c r="EB12" s="11" t="n">
        <f aca="false">(DW12/DR12)</f>
        <v>0</v>
      </c>
      <c r="EC12" s="11" t="n">
        <f aca="false">(DX12/DS12)</f>
        <v>0</v>
      </c>
      <c r="ED12" s="11" t="n">
        <f aca="false">(DY12/DT12)</f>
        <v>0</v>
      </c>
      <c r="EE12" s="11" t="n">
        <f aca="false">(DZ12/DU12)</f>
        <v>0</v>
      </c>
      <c r="EF12" s="11" t="n">
        <f aca="false">(EA12/DV12)</f>
        <v>0</v>
      </c>
      <c r="EG12" s="11" t="n">
        <f aca="false">(100*EF12)</f>
        <v>0</v>
      </c>
      <c r="EH12" s="9" t="n">
        <v>0</v>
      </c>
      <c r="EI12" s="9" t="n">
        <v>4</v>
      </c>
      <c r="EJ12" s="9" t="n">
        <v>3</v>
      </c>
      <c r="EK12" s="19" t="n">
        <v>2</v>
      </c>
      <c r="EL12" s="9" t="n">
        <v>5</v>
      </c>
      <c r="EM12" s="9" t="n">
        <f aca="false">(EI12+EJ12+EK12+EL12)/4</f>
        <v>3.5</v>
      </c>
      <c r="EN12" s="9" t="n">
        <f aca="false">(EI12/DR12)</f>
        <v>0.571428571428571</v>
      </c>
      <c r="EO12" s="9" t="n">
        <f aca="false">(EJ12/DS12)</f>
        <v>0.75</v>
      </c>
      <c r="EP12" s="9" t="n">
        <f aca="false">(EK12/DT12)</f>
        <v>0.333333333333333</v>
      </c>
      <c r="EQ12" s="9" t="n">
        <f aca="false">(EL12/DU12)</f>
        <v>0.277777777777778</v>
      </c>
      <c r="ER12" s="9" t="n">
        <f aca="false">EM12/DV12</f>
        <v>0.4</v>
      </c>
      <c r="ES12" s="9" t="n">
        <f aca="false">(100*ER12)</f>
        <v>40</v>
      </c>
      <c r="ET12" s="9" t="n">
        <v>3</v>
      </c>
      <c r="EU12" s="18" t="n">
        <v>0</v>
      </c>
      <c r="EV12" s="9" t="n">
        <v>0</v>
      </c>
      <c r="EW12" s="9" t="n">
        <v>1</v>
      </c>
      <c r="EX12" s="9" t="n">
        <v>0</v>
      </c>
      <c r="EY12" s="11" t="n">
        <f aca="false">(EU12+EV12+EW12+EX12)/4</f>
        <v>0.25</v>
      </c>
      <c r="EZ12" s="11" t="n">
        <f aca="false">(EU12/DR12)</f>
        <v>0</v>
      </c>
      <c r="FA12" s="11" t="n">
        <f aca="false">(EV12/DS12)</f>
        <v>0</v>
      </c>
      <c r="FB12" s="11" t="n">
        <f aca="false">(EW12/DT12)</f>
        <v>0.166666666666667</v>
      </c>
      <c r="FC12" s="11" t="n">
        <f aca="false">(EX12/DU12)</f>
        <v>0</v>
      </c>
      <c r="FD12" s="11" t="n">
        <f aca="false">(EY12/DV12)</f>
        <v>0.0285714285714286</v>
      </c>
      <c r="FE12" s="11" t="n">
        <f aca="false">(100*FD12)</f>
        <v>2.85714285714286</v>
      </c>
      <c r="FF12" s="9" t="n">
        <v>1</v>
      </c>
      <c r="FG12" s="9" t="n">
        <v>7</v>
      </c>
      <c r="FH12" s="9" t="n">
        <v>3</v>
      </c>
      <c r="FI12" s="9" t="n">
        <v>3</v>
      </c>
      <c r="FJ12" s="9" t="n">
        <v>0</v>
      </c>
      <c r="FK12" s="11" t="n">
        <f aca="false">(FG12+FH12+FI12+FJ12)/4</f>
        <v>3.25</v>
      </c>
      <c r="FL12" s="11" t="n">
        <f aca="false">(FG12/DR12)</f>
        <v>1</v>
      </c>
      <c r="FM12" s="11" t="n">
        <f aca="false">(FH12/DS12)</f>
        <v>0.75</v>
      </c>
      <c r="FN12" s="11" t="n">
        <f aca="false">(FI12/DT12)</f>
        <v>0.5</v>
      </c>
      <c r="FO12" s="11" t="n">
        <f aca="false">(FJ12/DU12)</f>
        <v>0</v>
      </c>
      <c r="FP12" s="11" t="n">
        <f aca="false">(FK12/DV12)</f>
        <v>0.371428571428571</v>
      </c>
      <c r="FQ12" s="11" t="n">
        <f aca="false">(100*FP12)</f>
        <v>37.1428571428571</v>
      </c>
      <c r="FR12" s="9" t="n">
        <v>3</v>
      </c>
      <c r="FS12" s="9" t="n">
        <v>54.9</v>
      </c>
      <c r="FT12" s="9" t="n">
        <v>56.9</v>
      </c>
      <c r="FU12" s="9" t="n">
        <v>53.4</v>
      </c>
      <c r="FV12" s="9" t="n">
        <v>57.1</v>
      </c>
      <c r="FW12" s="11" t="n">
        <f aca="false">(FS12+FT12+FU12+FV12)/4</f>
        <v>55.575</v>
      </c>
      <c r="FX12" s="9" t="n">
        <v>0</v>
      </c>
      <c r="FY12" s="9" t="n">
        <v>0</v>
      </c>
      <c r="FZ12" s="9" t="n">
        <v>0</v>
      </c>
      <c r="GA12" s="9" t="n">
        <v>1</v>
      </c>
      <c r="GB12" s="11" t="n">
        <f aca="false">(FX12+FY12+FZ12+GA12)/4</f>
        <v>0.25</v>
      </c>
      <c r="GC12" s="9" t="n">
        <v>1</v>
      </c>
      <c r="GD12" s="9" t="n">
        <v>0</v>
      </c>
      <c r="GE12" s="9" t="n">
        <v>1</v>
      </c>
      <c r="GF12" s="9" t="n">
        <v>1</v>
      </c>
      <c r="GG12" s="11" t="n">
        <f aca="false">(GC12+GD12+GE12+GF12)/4</f>
        <v>0.75</v>
      </c>
      <c r="GH12" s="9" t="n">
        <v>1</v>
      </c>
      <c r="GI12" s="9" t="n">
        <v>1</v>
      </c>
      <c r="GJ12" s="9" t="n">
        <v>1</v>
      </c>
      <c r="GK12" s="9" t="n">
        <v>1</v>
      </c>
      <c r="GL12" s="11" t="n">
        <f aca="false">(GH12+GI12+GJ12+GK12)/4</f>
        <v>1</v>
      </c>
      <c r="GM12" s="9" t="n">
        <v>58</v>
      </c>
      <c r="GN12" s="9" t="n">
        <v>26</v>
      </c>
      <c r="GO12" s="9" t="n">
        <v>92</v>
      </c>
      <c r="GP12" s="9" t="n">
        <v>44</v>
      </c>
      <c r="GQ12" s="11" t="n">
        <f aca="false">(GM12+GN12+GO12+GP12)/4</f>
        <v>55</v>
      </c>
      <c r="GR12" s="9" t="n">
        <v>13</v>
      </c>
      <c r="GS12" s="9" t="n">
        <v>15</v>
      </c>
      <c r="GT12" s="9" t="n">
        <v>11</v>
      </c>
      <c r="GU12" s="9" t="n">
        <v>18</v>
      </c>
      <c r="GV12" s="11" t="n">
        <f aca="false">(GR12+GS12+GT12+GU12)/4</f>
        <v>14.25</v>
      </c>
      <c r="GW12" s="9" t="n">
        <v>0</v>
      </c>
      <c r="GX12" s="9" t="n">
        <v>0</v>
      </c>
      <c r="GY12" s="9" t="n">
        <v>0</v>
      </c>
      <c r="GZ12" s="9" t="n">
        <v>1</v>
      </c>
      <c r="HA12" s="11" t="n">
        <f aca="false">(GW12+GX12+GY12+GZ12)/4</f>
        <v>0.25</v>
      </c>
      <c r="HB12" s="9" t="n">
        <f aca="false">(GW12/GR12)</f>
        <v>0</v>
      </c>
      <c r="HC12" s="9" t="n">
        <f aca="false">(GX12/GS12)</f>
        <v>0</v>
      </c>
      <c r="HD12" s="9" t="n">
        <f aca="false">(GY12/GT12)</f>
        <v>0</v>
      </c>
      <c r="HE12" s="9" t="n">
        <f aca="false">(GZ12/GU12)/4</f>
        <v>0.0138888888888889</v>
      </c>
      <c r="HF12" s="9" t="n">
        <f aca="false">(HB12+HC12+HD12+HE12)/4</f>
        <v>0.00347222222222222</v>
      </c>
      <c r="HG12" s="9" t="n">
        <f aca="false">(100*HF12)</f>
        <v>0.347222222222222</v>
      </c>
      <c r="HH12" s="18" t="n">
        <v>1</v>
      </c>
      <c r="HI12" s="9" t="n">
        <v>6</v>
      </c>
      <c r="HJ12" s="9" t="n">
        <v>0</v>
      </c>
      <c r="HK12" s="9" t="n">
        <v>4</v>
      </c>
      <c r="HL12" s="19" t="n">
        <v>5</v>
      </c>
      <c r="HM12" s="9" t="n">
        <f aca="false">(HI12+HJ12+HK12+HL12)/4</f>
        <v>3.75</v>
      </c>
      <c r="HN12" s="9" t="n">
        <f aca="false">(HI12/GR12)</f>
        <v>0.461538461538462</v>
      </c>
      <c r="HO12" s="9" t="n">
        <f aca="false">(HJ12/GS12)</f>
        <v>0</v>
      </c>
      <c r="HP12" s="9" t="n">
        <f aca="false">(HK12/GT12)</f>
        <v>0.363636363636364</v>
      </c>
      <c r="HQ12" s="9" t="n">
        <f aca="false">(HL12/GU12)</f>
        <v>0.277777777777778</v>
      </c>
      <c r="HR12" s="9" t="n">
        <f aca="false">(HM12/GV12)</f>
        <v>0.263157894736842</v>
      </c>
      <c r="HS12" s="9" t="n">
        <f aca="false">(100*HR12)</f>
        <v>26.3157894736842</v>
      </c>
      <c r="HT12" s="18" t="n">
        <v>2</v>
      </c>
      <c r="HU12" s="9" t="n">
        <v>0</v>
      </c>
      <c r="HV12" s="9" t="n">
        <v>3</v>
      </c>
      <c r="HW12" s="9" t="n">
        <v>0</v>
      </c>
      <c r="HX12" s="19" t="n">
        <v>0</v>
      </c>
      <c r="HY12" s="9" t="n">
        <f aca="false">(HU12+HV12+HW12+HX12)/4</f>
        <v>0.75</v>
      </c>
      <c r="HZ12" s="9" t="n">
        <f aca="false">(HU12/GR12)</f>
        <v>0</v>
      </c>
      <c r="IA12" s="9" t="n">
        <f aca="false">HV12/GS12</f>
        <v>0.2</v>
      </c>
      <c r="IB12" s="9" t="n">
        <f aca="false">(HW12/GT12)</f>
        <v>0</v>
      </c>
      <c r="IC12" s="9" t="n">
        <f aca="false">(HX12/GU12)</f>
        <v>0</v>
      </c>
      <c r="ID12" s="9" t="n">
        <f aca="false">(HY12/GV12)</f>
        <v>0.0526315789473684</v>
      </c>
      <c r="IE12" s="9" t="n">
        <f aca="false">(100*ID12)</f>
        <v>5.26315789473684</v>
      </c>
      <c r="IF12" s="18" t="n">
        <v>1</v>
      </c>
      <c r="IG12" s="9" t="n">
        <v>2</v>
      </c>
      <c r="IH12" s="9" t="n">
        <v>1</v>
      </c>
      <c r="II12" s="19" t="n">
        <v>1</v>
      </c>
      <c r="IJ12" s="9" t="n">
        <v>6</v>
      </c>
      <c r="IK12" s="9" t="n">
        <f aca="false">(IG12+IH12+II12+IJ12)/4</f>
        <v>2.5</v>
      </c>
      <c r="IL12" s="9" t="n">
        <f aca="false">(IG12/GM12)</f>
        <v>0.0344827586206897</v>
      </c>
      <c r="IM12" s="9" t="n">
        <f aca="false">(IH12/GN12)</f>
        <v>0.0384615384615385</v>
      </c>
      <c r="IN12" s="9" t="n">
        <f aca="false">(II12/GO12)</f>
        <v>0.0108695652173913</v>
      </c>
      <c r="IO12" s="9" t="n">
        <f aca="false">(IJ12/GP12)</f>
        <v>0.136363636363636</v>
      </c>
      <c r="IP12" s="9" t="n">
        <f aca="false">(IK12/GQ12)</f>
        <v>0.0454545454545455</v>
      </c>
      <c r="IQ12" s="9" t="n">
        <f aca="false">(100*IP12)</f>
        <v>4.54545454545455</v>
      </c>
      <c r="IR12" s="18" t="n">
        <v>1</v>
      </c>
      <c r="IS12" s="9" t="n">
        <v>65.3</v>
      </c>
      <c r="IT12" s="9" t="n">
        <v>59.6</v>
      </c>
      <c r="IU12" s="19" t="n">
        <v>67.9</v>
      </c>
      <c r="IV12" s="9" t="n">
        <v>61.6</v>
      </c>
      <c r="IW12" s="9" t="n">
        <f aca="false">(IS12+IT12+IU12+IV12)/4</f>
        <v>63.6</v>
      </c>
      <c r="IX12" s="16" t="n">
        <v>45208</v>
      </c>
      <c r="IY12" s="10" t="s">
        <v>268</v>
      </c>
    </row>
    <row r="13" customFormat="false" ht="15" hidden="false" customHeight="false" outlineLevel="0" collapsed="false">
      <c r="A13" s="9" t="s">
        <v>259</v>
      </c>
      <c r="B13" s="10" t="s">
        <v>289</v>
      </c>
      <c r="C13" s="10" t="s">
        <v>261</v>
      </c>
      <c r="D13" s="9" t="n">
        <v>4</v>
      </c>
      <c r="E13" s="9" t="n">
        <v>4</v>
      </c>
      <c r="F13" s="10" t="s">
        <v>298</v>
      </c>
      <c r="G13" s="10" t="s">
        <v>280</v>
      </c>
      <c r="H13" s="9" t="n">
        <v>21</v>
      </c>
      <c r="I13" s="9" t="n">
        <v>20</v>
      </c>
      <c r="J13" s="10" t="s">
        <v>272</v>
      </c>
      <c r="K13" s="20"/>
      <c r="L13" s="20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 t="n">
        <v>0</v>
      </c>
      <c r="Y13" s="9" t="n">
        <v>0</v>
      </c>
      <c r="Z13" s="9" t="n">
        <v>0</v>
      </c>
      <c r="AA13" s="9" t="n">
        <v>0</v>
      </c>
      <c r="AB13" s="11" t="n">
        <f aca="false">(X13+Y13+Z13+AA13)/4</f>
        <v>0</v>
      </c>
      <c r="AC13" s="9" t="n">
        <v>1</v>
      </c>
      <c r="AD13" s="9" t="n">
        <v>1</v>
      </c>
      <c r="AE13" s="9" t="n">
        <v>1</v>
      </c>
      <c r="AF13" s="9" t="n">
        <v>1</v>
      </c>
      <c r="AG13" s="11" t="n">
        <f aca="false">(AC13+AD13+AE13+AF13)/4</f>
        <v>1</v>
      </c>
      <c r="AH13" s="9" t="n">
        <v>1</v>
      </c>
      <c r="AI13" s="9" t="n">
        <v>1</v>
      </c>
      <c r="AJ13" s="9" t="n">
        <v>1</v>
      </c>
      <c r="AK13" s="9" t="n">
        <v>1</v>
      </c>
      <c r="AL13" s="11" t="n">
        <f aca="false">(AH13+AI13+AJ13+AK13)/4</f>
        <v>1</v>
      </c>
      <c r="AM13" s="9" t="n">
        <v>42</v>
      </c>
      <c r="AN13" s="9" t="n">
        <v>76</v>
      </c>
      <c r="AO13" s="9" t="n">
        <v>105</v>
      </c>
      <c r="AP13" s="9" t="n">
        <v>27</v>
      </c>
      <c r="AQ13" s="11" t="n">
        <f aca="false">(AM13+AN13+AO13+AP13)/4</f>
        <v>62.5</v>
      </c>
      <c r="AR13" s="9" t="n">
        <v>90</v>
      </c>
      <c r="AS13" s="9" t="n">
        <v>10</v>
      </c>
      <c r="AT13" s="9" t="n">
        <v>12</v>
      </c>
      <c r="AU13" s="9" t="n">
        <v>28</v>
      </c>
      <c r="AV13" s="11" t="n">
        <f aca="false">(AR13+AS13+AT13+AU13)/4</f>
        <v>35</v>
      </c>
      <c r="AW13" s="9" t="n">
        <v>0</v>
      </c>
      <c r="AX13" s="9" t="n">
        <v>0</v>
      </c>
      <c r="AY13" s="9" t="n">
        <v>0</v>
      </c>
      <c r="AZ13" s="9" t="n">
        <v>0</v>
      </c>
      <c r="BA13" s="11" t="n">
        <f aca="false">(AW13+AX13+AY13+AZ13)/4</f>
        <v>0</v>
      </c>
      <c r="BB13" s="11" t="n">
        <f aca="false">(AW13/AR13)</f>
        <v>0</v>
      </c>
      <c r="BC13" s="11" t="n">
        <f aca="false">(AX13/AS13)</f>
        <v>0</v>
      </c>
      <c r="BD13" s="11" t="n">
        <f aca="false">(AY13/AT13)</f>
        <v>0</v>
      </c>
      <c r="BE13" s="11" t="n">
        <f aca="false">(AZ13/AU13)</f>
        <v>0</v>
      </c>
      <c r="BF13" s="11" t="n">
        <f aca="false">(BA13/AV13)</f>
        <v>0</v>
      </c>
      <c r="BG13" s="11" t="n">
        <f aca="false">(BF13*100)</f>
        <v>0</v>
      </c>
      <c r="BH13" s="9" t="n">
        <v>0</v>
      </c>
      <c r="BI13" s="9" t="n">
        <v>23</v>
      </c>
      <c r="BJ13" s="9" t="n">
        <v>8</v>
      </c>
      <c r="BK13" s="9" t="n">
        <v>6</v>
      </c>
      <c r="BL13" s="9" t="n">
        <v>12</v>
      </c>
      <c r="BM13" s="11" t="n">
        <f aca="false">(BI13+BJ13+BK13+BL13)/4</f>
        <v>12.25</v>
      </c>
      <c r="BN13" s="11" t="n">
        <f aca="false">(BI13/AR13)</f>
        <v>0.255555555555556</v>
      </c>
      <c r="BO13" s="11" t="n">
        <f aca="false">(BJ13/AS13)</f>
        <v>0.8</v>
      </c>
      <c r="BP13" s="11" t="n">
        <f aca="false">(BK13/AT13)</f>
        <v>0.5</v>
      </c>
      <c r="BQ13" s="11" t="n">
        <f aca="false">(BL13/AU13)</f>
        <v>0.428571428571429</v>
      </c>
      <c r="BR13" s="11" t="n">
        <f aca="false">(BM13/AV13)</f>
        <v>0.35</v>
      </c>
      <c r="BS13" s="11" t="n">
        <f aca="false">(100*BR13)</f>
        <v>35</v>
      </c>
      <c r="BT13" s="9" t="n">
        <v>3</v>
      </c>
      <c r="BU13" s="9" t="n">
        <v>0</v>
      </c>
      <c r="BV13" s="9" t="n">
        <v>0</v>
      </c>
      <c r="BW13" s="9" t="n">
        <v>0</v>
      </c>
      <c r="BX13" s="9" t="n">
        <v>0</v>
      </c>
      <c r="BY13" s="11" t="n">
        <f aca="false">(BU13+BV13+BW13+BX13)/4</f>
        <v>0</v>
      </c>
      <c r="BZ13" s="11" t="n">
        <f aca="false">(BU13/AR13)</f>
        <v>0</v>
      </c>
      <c r="CA13" s="11" t="n">
        <f aca="false">(BV13/AS13)</f>
        <v>0</v>
      </c>
      <c r="CB13" s="11" t="n">
        <f aca="false">(BW13/AT13)</f>
        <v>0</v>
      </c>
      <c r="CC13" s="11" t="n">
        <f aca="false">(BX13/AU13)</f>
        <v>0</v>
      </c>
      <c r="CD13" s="11" t="n">
        <f aca="false">(BY13/AV13)</f>
        <v>0</v>
      </c>
      <c r="CE13" s="11" t="n">
        <f aca="false">(100*CD13)</f>
        <v>0</v>
      </c>
      <c r="CF13" s="9" t="n">
        <v>0</v>
      </c>
      <c r="CG13" s="9" t="n">
        <v>13</v>
      </c>
      <c r="CH13" s="9" t="n">
        <v>21</v>
      </c>
      <c r="CI13" s="9" t="n">
        <v>20</v>
      </c>
      <c r="CJ13" s="9" t="n">
        <v>4</v>
      </c>
      <c r="CK13" s="11" t="n">
        <f aca="false">(CG13+CH13+CI13+CJ13)/4</f>
        <v>14.5</v>
      </c>
      <c r="CL13" s="11" t="n">
        <f aca="false">(CG13/AM13)</f>
        <v>0.30952380952381</v>
      </c>
      <c r="CM13" s="11" t="n">
        <f aca="false">(CH13/AN13)</f>
        <v>0.276315789473684</v>
      </c>
      <c r="CN13" s="11" t="n">
        <f aca="false">(CI13/AO13)</f>
        <v>0.19047619047619</v>
      </c>
      <c r="CO13" s="9" t="n">
        <f aca="false">(CJ13/AP13)</f>
        <v>0.148148148148148</v>
      </c>
      <c r="CP13" s="9" t="n">
        <f aca="false">(CK13/AQ13)</f>
        <v>0.232</v>
      </c>
      <c r="CQ13" s="9" t="n">
        <f aca="false">(100*CP13)</f>
        <v>23.2</v>
      </c>
      <c r="CR13" s="18" t="n">
        <v>2</v>
      </c>
      <c r="CS13" s="9" t="n">
        <v>73.8</v>
      </c>
      <c r="CT13" s="9" t="n">
        <v>80.7</v>
      </c>
      <c r="CU13" s="9" t="n">
        <v>78.1</v>
      </c>
      <c r="CV13" s="9" t="n">
        <v>62.7</v>
      </c>
      <c r="CW13" s="11" t="n">
        <f aca="false">(CS13+CT13+CU13+CV13)/4</f>
        <v>73.825</v>
      </c>
      <c r="CX13" s="9" t="n">
        <v>0</v>
      </c>
      <c r="CY13" s="9" t="n">
        <v>0</v>
      </c>
      <c r="CZ13" s="9" t="n">
        <v>0</v>
      </c>
      <c r="DA13" s="9" t="n">
        <v>0</v>
      </c>
      <c r="DB13" s="11" t="n">
        <f aca="false">(CX13+CY13+CZ13+DA13)/4</f>
        <v>0</v>
      </c>
      <c r="DC13" s="9" t="n">
        <v>1</v>
      </c>
      <c r="DD13" s="9" t="n">
        <v>1</v>
      </c>
      <c r="DE13" s="9" t="n">
        <v>1</v>
      </c>
      <c r="DF13" s="9" t="n">
        <v>1</v>
      </c>
      <c r="DG13" s="11" t="n">
        <f aca="false">(DC13+DD13+DE13+DF13)/4</f>
        <v>1</v>
      </c>
      <c r="DH13" s="9" t="n">
        <v>1</v>
      </c>
      <c r="DI13" s="9" t="n">
        <v>1</v>
      </c>
      <c r="DJ13" s="9" t="n">
        <v>1</v>
      </c>
      <c r="DK13" s="9" t="n">
        <v>1</v>
      </c>
      <c r="DL13" s="11" t="n">
        <f aca="false">(DH13+DI13+DJ13+DK13)/4</f>
        <v>1</v>
      </c>
      <c r="DM13" s="9" t="n">
        <v>216</v>
      </c>
      <c r="DN13" s="9" t="n">
        <v>56</v>
      </c>
      <c r="DO13" s="9" t="n">
        <v>124</v>
      </c>
      <c r="DP13" s="9" t="n">
        <v>194</v>
      </c>
      <c r="DQ13" s="11" t="n">
        <f aca="false">(DM13+DN13+DO13+DP13)/4</f>
        <v>147.5</v>
      </c>
      <c r="DR13" s="9" t="n">
        <v>22</v>
      </c>
      <c r="DS13" s="9" t="n">
        <v>10</v>
      </c>
      <c r="DT13" s="9" t="n">
        <v>16</v>
      </c>
      <c r="DU13" s="9" t="n">
        <v>17</v>
      </c>
      <c r="DV13" s="11" t="n">
        <f aca="false">(DR13+DS13+DT13+DU13)/4</f>
        <v>16.25</v>
      </c>
      <c r="DW13" s="9" t="n">
        <v>0</v>
      </c>
      <c r="DX13" s="9" t="n">
        <v>0</v>
      </c>
      <c r="DY13" s="9" t="n">
        <v>0</v>
      </c>
      <c r="DZ13" s="9" t="n">
        <v>0</v>
      </c>
      <c r="EA13" s="11" t="n">
        <f aca="false">(DW13+DX13+DY13+DZ13)/4</f>
        <v>0</v>
      </c>
      <c r="EB13" s="11" t="n">
        <f aca="false">(DW13/DR13)</f>
        <v>0</v>
      </c>
      <c r="EC13" s="11" t="n">
        <f aca="false">(DX13/DS13)</f>
        <v>0</v>
      </c>
      <c r="ED13" s="11" t="n">
        <f aca="false">(DY13/DT13)</f>
        <v>0</v>
      </c>
      <c r="EE13" s="11" t="n">
        <f aca="false">(DZ13/DU13)</f>
        <v>0</v>
      </c>
      <c r="EF13" s="11" t="n">
        <f aca="false">(EA13/DV13)</f>
        <v>0</v>
      </c>
      <c r="EG13" s="11" t="n">
        <f aca="false">(100*EF13)</f>
        <v>0</v>
      </c>
      <c r="EH13" s="9" t="n">
        <v>0</v>
      </c>
      <c r="EI13" s="9" t="n">
        <v>9</v>
      </c>
      <c r="EJ13" s="9" t="n">
        <v>4</v>
      </c>
      <c r="EK13" s="19" t="n">
        <v>7</v>
      </c>
      <c r="EL13" s="9" t="n">
        <v>3</v>
      </c>
      <c r="EM13" s="9" t="n">
        <f aca="false">(EI13+EJ13+EK13+EL13)/4</f>
        <v>5.75</v>
      </c>
      <c r="EN13" s="9" t="n">
        <f aca="false">(EI13/DR13)</f>
        <v>0.409090909090909</v>
      </c>
      <c r="EO13" s="9" t="n">
        <f aca="false">(EJ13/DS13)</f>
        <v>0.4</v>
      </c>
      <c r="EP13" s="9" t="n">
        <f aca="false">(EK13/DT13)</f>
        <v>0.4375</v>
      </c>
      <c r="EQ13" s="9" t="n">
        <f aca="false">(EL13/DU13)</f>
        <v>0.176470588235294</v>
      </c>
      <c r="ER13" s="9" t="n">
        <f aca="false">EM13/DV13</f>
        <v>0.353846153846154</v>
      </c>
      <c r="ES13" s="9" t="n">
        <f aca="false">(100*ER13)</f>
        <v>35.3846153846154</v>
      </c>
      <c r="ET13" s="9" t="n">
        <v>3</v>
      </c>
      <c r="EU13" s="18" t="n">
        <v>0</v>
      </c>
      <c r="EV13" s="9" t="n">
        <v>0</v>
      </c>
      <c r="EW13" s="9" t="n">
        <v>0</v>
      </c>
      <c r="EX13" s="9" t="n">
        <v>0</v>
      </c>
      <c r="EY13" s="11" t="n">
        <f aca="false">(EU13+EV13+EW13+EX13)/4</f>
        <v>0</v>
      </c>
      <c r="EZ13" s="11" t="n">
        <f aca="false">(EU13/DR13)</f>
        <v>0</v>
      </c>
      <c r="FA13" s="11" t="n">
        <f aca="false">(EV13/DS13)</f>
        <v>0</v>
      </c>
      <c r="FB13" s="11" t="n">
        <f aca="false">(EW13/DT13)</f>
        <v>0</v>
      </c>
      <c r="FC13" s="11" t="n">
        <f aca="false">(EX13/DU13)</f>
        <v>0</v>
      </c>
      <c r="FD13" s="11" t="n">
        <f aca="false">(EY13/DV13)</f>
        <v>0</v>
      </c>
      <c r="FE13" s="11" t="n">
        <f aca="false">(100*FD13)</f>
        <v>0</v>
      </c>
      <c r="FF13" s="9" t="n">
        <v>0</v>
      </c>
      <c r="FG13" s="9" t="n">
        <v>21</v>
      </c>
      <c r="FH13" s="9" t="n">
        <v>23</v>
      </c>
      <c r="FI13" s="9" t="n">
        <v>55</v>
      </c>
      <c r="FJ13" s="9" t="n">
        <v>40</v>
      </c>
      <c r="FK13" s="11" t="n">
        <f aca="false">(FG13+FH13+FI13+FJ13)/4</f>
        <v>34.75</v>
      </c>
      <c r="FL13" s="11" t="n">
        <f aca="false">(FG13/DM13)</f>
        <v>0.0972222222222222</v>
      </c>
      <c r="FM13" s="11" t="n">
        <f aca="false">(FH13/DN13)</f>
        <v>0.410714285714286</v>
      </c>
      <c r="FN13" s="11" t="n">
        <f aca="false">(FI13/DO13)</f>
        <v>0.443548387096774</v>
      </c>
      <c r="FO13" s="11" t="n">
        <f aca="false">(FJ13/DP13)</f>
        <v>0.206185567010309</v>
      </c>
      <c r="FP13" s="11" t="n">
        <f aca="false">(FK13/DV13)</f>
        <v>2.13846153846154</v>
      </c>
      <c r="FQ13" s="11" t="n">
        <f aca="false">(100*FP13)</f>
        <v>213.846153846154</v>
      </c>
      <c r="FR13" s="9" t="n">
        <v>3</v>
      </c>
      <c r="FS13" s="9" t="n">
        <v>72.9</v>
      </c>
      <c r="FT13" s="9" t="n">
        <v>64.8</v>
      </c>
      <c r="FU13" s="9" t="n">
        <v>71.7</v>
      </c>
      <c r="FV13" s="9" t="n">
        <v>78.1</v>
      </c>
      <c r="FW13" s="11" t="n">
        <f aca="false">(FS13+FT13+FU13+FV13)/4</f>
        <v>71.875</v>
      </c>
      <c r="FX13" s="9" t="n">
        <v>0</v>
      </c>
      <c r="FY13" s="9" t="n">
        <v>0</v>
      </c>
      <c r="FZ13" s="9" t="n">
        <v>0</v>
      </c>
      <c r="GA13" s="9" t="n">
        <v>0</v>
      </c>
      <c r="GB13" s="11" t="n">
        <f aca="false">(FX13+FY13+FZ13+GA13)/4</f>
        <v>0</v>
      </c>
      <c r="GC13" s="9" t="n">
        <v>1</v>
      </c>
      <c r="GD13" s="9" t="n">
        <v>1</v>
      </c>
      <c r="GE13" s="9" t="n">
        <v>1</v>
      </c>
      <c r="GF13" s="9" t="n">
        <v>1</v>
      </c>
      <c r="GG13" s="11" t="n">
        <f aca="false">(GC13+GD13+GE13+GF13)/4</f>
        <v>1</v>
      </c>
      <c r="GH13" s="9" t="n">
        <v>1</v>
      </c>
      <c r="GI13" s="9" t="n">
        <v>1</v>
      </c>
      <c r="GJ13" s="9" t="n">
        <v>1</v>
      </c>
      <c r="GK13" s="9" t="n">
        <v>1</v>
      </c>
      <c r="GL13" s="11" t="n">
        <f aca="false">(GH13+GI13+GJ13+GK13)/4</f>
        <v>1</v>
      </c>
      <c r="GM13" s="9" t="n">
        <v>126</v>
      </c>
      <c r="GN13" s="9" t="n">
        <v>165</v>
      </c>
      <c r="GO13" s="9" t="n">
        <v>124</v>
      </c>
      <c r="GP13" s="9" t="n">
        <v>55</v>
      </c>
      <c r="GQ13" s="11" t="n">
        <f aca="false">(GM13+GN13+GO13+GP13)/4</f>
        <v>117.5</v>
      </c>
      <c r="GR13" s="9" t="n">
        <v>16</v>
      </c>
      <c r="GS13" s="9" t="n">
        <v>24</v>
      </c>
      <c r="GT13" s="9" t="n">
        <v>12</v>
      </c>
      <c r="GU13" s="9" t="n">
        <v>11</v>
      </c>
      <c r="GV13" s="11" t="n">
        <f aca="false">(GR13+GS13+GT13+GU13)/4</f>
        <v>15.75</v>
      </c>
      <c r="GW13" s="9" t="n">
        <v>0</v>
      </c>
      <c r="GX13" s="9" t="n">
        <v>0</v>
      </c>
      <c r="GY13" s="9" t="n">
        <v>0</v>
      </c>
      <c r="GZ13" s="9" t="n">
        <v>0</v>
      </c>
      <c r="HA13" s="11" t="n">
        <f aca="false">(GW13+GX13+GY13+GZ13)/4</f>
        <v>0</v>
      </c>
      <c r="HB13" s="9" t="n">
        <f aca="false">(GW13/GR13)</f>
        <v>0</v>
      </c>
      <c r="HC13" s="9" t="n">
        <f aca="false">(GX13/GS13)</f>
        <v>0</v>
      </c>
      <c r="HD13" s="9" t="n">
        <f aca="false">(GY13/GT13)</f>
        <v>0</v>
      </c>
      <c r="HE13" s="9" t="n">
        <f aca="false">(GZ13/GU13)/4</f>
        <v>0</v>
      </c>
      <c r="HF13" s="9" t="n">
        <f aca="false">(HB13+HC13+HD13+HE13)/4</f>
        <v>0</v>
      </c>
      <c r="HG13" s="9" t="n">
        <f aca="false">(100*HF13)</f>
        <v>0</v>
      </c>
      <c r="HH13" s="18" t="n">
        <v>0</v>
      </c>
      <c r="HI13" s="9" t="n">
        <v>7</v>
      </c>
      <c r="HJ13" s="9" t="n">
        <v>10</v>
      </c>
      <c r="HK13" s="9" t="n">
        <v>3</v>
      </c>
      <c r="HL13" s="19" t="n">
        <v>5</v>
      </c>
      <c r="HM13" s="9" t="n">
        <f aca="false">(HI13+HJ13+HK13+HL13)/4</f>
        <v>6.25</v>
      </c>
      <c r="HN13" s="9" t="n">
        <f aca="false">(HI13/GR13)</f>
        <v>0.4375</v>
      </c>
      <c r="HO13" s="9" t="n">
        <f aca="false">(HJ13/GS13)</f>
        <v>0.416666666666667</v>
      </c>
      <c r="HP13" s="9" t="n">
        <f aca="false">(HK13/GT13)</f>
        <v>0.25</v>
      </c>
      <c r="HQ13" s="9" t="n">
        <f aca="false">(HL13/GU13)</f>
        <v>0.454545454545455</v>
      </c>
      <c r="HR13" s="9" t="n">
        <f aca="false">(HM13/GV13)</f>
        <v>0.396825396825397</v>
      </c>
      <c r="HS13" s="9" t="n">
        <f aca="false">(100*HR13)</f>
        <v>39.6825396825397</v>
      </c>
      <c r="HT13" s="18" t="n">
        <v>3</v>
      </c>
      <c r="HU13" s="9" t="n">
        <v>0</v>
      </c>
      <c r="HV13" s="9" t="n">
        <v>0</v>
      </c>
      <c r="HW13" s="9" t="n">
        <v>0</v>
      </c>
      <c r="HX13" s="19" t="n">
        <v>0</v>
      </c>
      <c r="HY13" s="9" t="n">
        <f aca="false">(HU13+HV13+HW13+HX13)/4</f>
        <v>0</v>
      </c>
      <c r="HZ13" s="9" t="n">
        <f aca="false">(HU13/GR13)</f>
        <v>0</v>
      </c>
      <c r="IA13" s="9" t="n">
        <f aca="false">HV13/GS13</f>
        <v>0</v>
      </c>
      <c r="IB13" s="9" t="n">
        <f aca="false">(HW13/GT13)</f>
        <v>0</v>
      </c>
      <c r="IC13" s="9" t="n">
        <f aca="false">(HX13/GU13)</f>
        <v>0</v>
      </c>
      <c r="ID13" s="9" t="n">
        <f aca="false">(HY13/GV13)</f>
        <v>0</v>
      </c>
      <c r="IE13" s="9" t="n">
        <f aca="false">(100*ID13)</f>
        <v>0</v>
      </c>
      <c r="IF13" s="18" t="n">
        <v>0</v>
      </c>
      <c r="IG13" s="9" t="n">
        <v>8</v>
      </c>
      <c r="IH13" s="9" t="n">
        <v>18</v>
      </c>
      <c r="II13" s="19" t="n">
        <v>16</v>
      </c>
      <c r="IJ13" s="9" t="n">
        <v>5</v>
      </c>
      <c r="IK13" s="9" t="n">
        <f aca="false">(IG13+IH13+II13+IJ13)/4</f>
        <v>11.75</v>
      </c>
      <c r="IL13" s="9" t="n">
        <f aca="false">(IG13/GM13)</f>
        <v>0.0634920634920635</v>
      </c>
      <c r="IM13" s="9" t="n">
        <f aca="false">(IH13/GN13)</f>
        <v>0.109090909090909</v>
      </c>
      <c r="IN13" s="9" t="n">
        <f aca="false">(II13/GO13)</f>
        <v>0.129032258064516</v>
      </c>
      <c r="IO13" s="9" t="n">
        <f aca="false">(IJ13/GP13)</f>
        <v>0.0909090909090909</v>
      </c>
      <c r="IP13" s="9" t="n">
        <f aca="false">(IK13/GQ13)</f>
        <v>0.1</v>
      </c>
      <c r="IQ13" s="9" t="n">
        <f aca="false">(100*IP13)</f>
        <v>10</v>
      </c>
      <c r="IR13" s="18" t="n">
        <v>2</v>
      </c>
      <c r="IS13" s="9" t="n">
        <v>75</v>
      </c>
      <c r="IT13" s="9" t="n">
        <v>80.2</v>
      </c>
      <c r="IU13" s="19" t="n">
        <v>75.9</v>
      </c>
      <c r="IV13" s="9" t="n">
        <v>81.5</v>
      </c>
      <c r="IW13" s="9" t="n">
        <f aca="false">(IS13+IT13+IU13+IV13)/4</f>
        <v>78.15</v>
      </c>
      <c r="IX13" s="16" t="n">
        <v>45208</v>
      </c>
      <c r="IY13" s="10" t="s">
        <v>268</v>
      </c>
    </row>
    <row r="14" customFormat="false" ht="15" hidden="false" customHeight="false" outlineLevel="0" collapsed="false">
      <c r="A14" s="9" t="s">
        <v>299</v>
      </c>
      <c r="B14" s="10" t="s">
        <v>300</v>
      </c>
      <c r="C14" s="10" t="s">
        <v>261</v>
      </c>
      <c r="D14" s="9" t="n">
        <v>1</v>
      </c>
      <c r="E14" s="9" t="n">
        <v>5</v>
      </c>
      <c r="F14" s="10" t="s">
        <v>301</v>
      </c>
      <c r="G14" s="10" t="s">
        <v>297</v>
      </c>
      <c r="H14" s="9" t="n">
        <v>21</v>
      </c>
      <c r="I14" s="9" t="n">
        <v>5</v>
      </c>
      <c r="J14" s="12" t="s">
        <v>264</v>
      </c>
      <c r="K14" s="13" t="s">
        <v>302</v>
      </c>
      <c r="L14" s="13" t="s">
        <v>303</v>
      </c>
      <c r="M14" s="14" t="n">
        <v>1312</v>
      </c>
      <c r="N14" s="15" t="n">
        <v>45134</v>
      </c>
      <c r="O14" s="10" t="s">
        <v>267</v>
      </c>
      <c r="P14" s="9"/>
      <c r="Q14" s="9" t="n">
        <v>2.95</v>
      </c>
      <c r="R14" s="9" t="n">
        <v>15</v>
      </c>
      <c r="S14" s="9" t="n">
        <v>-12</v>
      </c>
      <c r="T14" s="9" t="n">
        <v>100</v>
      </c>
      <c r="U14" s="9"/>
      <c r="V14" s="9" t="n">
        <f aca="false">(45/100)</f>
        <v>0.45</v>
      </c>
      <c r="W14" s="9" t="s">
        <v>304</v>
      </c>
      <c r="X14" s="9" t="n">
        <v>0</v>
      </c>
      <c r="Y14" s="9" t="n">
        <v>0</v>
      </c>
      <c r="Z14" s="9" t="n">
        <v>0</v>
      </c>
      <c r="AA14" s="9" t="n">
        <v>0</v>
      </c>
      <c r="AB14" s="11" t="n">
        <f aca="false">(X14+Y14+Z14+AA14)/4</f>
        <v>0</v>
      </c>
      <c r="AC14" s="9" t="n">
        <v>1</v>
      </c>
      <c r="AD14" s="9" t="n">
        <v>1</v>
      </c>
      <c r="AE14" s="9" t="n">
        <v>1</v>
      </c>
      <c r="AF14" s="9" t="n">
        <v>1</v>
      </c>
      <c r="AG14" s="11" t="n">
        <f aca="false">(AC14+AD14+AE14+AF14)/4</f>
        <v>1</v>
      </c>
      <c r="AH14" s="9" t="n">
        <v>1</v>
      </c>
      <c r="AI14" s="9" t="n">
        <v>1</v>
      </c>
      <c r="AJ14" s="9" t="n">
        <v>1</v>
      </c>
      <c r="AK14" s="9" t="n">
        <v>1</v>
      </c>
      <c r="AL14" s="11" t="n">
        <f aca="false">(AH14+AI14+AJ14+AK14)/4</f>
        <v>1</v>
      </c>
      <c r="AM14" s="9" t="n">
        <v>34</v>
      </c>
      <c r="AN14" s="9" t="n">
        <v>6</v>
      </c>
      <c r="AO14" s="9" t="n">
        <v>28</v>
      </c>
      <c r="AP14" s="9" t="n">
        <v>130</v>
      </c>
      <c r="AQ14" s="11" t="n">
        <f aca="false">(AM14+AN14+AO14+AP14)/4</f>
        <v>49.5</v>
      </c>
      <c r="AR14" s="9" t="n">
        <v>12</v>
      </c>
      <c r="AS14" s="9" t="n">
        <v>8</v>
      </c>
      <c r="AT14" s="9" t="n">
        <v>14</v>
      </c>
      <c r="AU14" s="9" t="n">
        <v>19</v>
      </c>
      <c r="AV14" s="11" t="n">
        <f aca="false">(AR14+AS14+AT14+AU14)/4</f>
        <v>13.25</v>
      </c>
      <c r="AW14" s="9" t="n">
        <v>0</v>
      </c>
      <c r="AX14" s="9" t="n">
        <v>0</v>
      </c>
      <c r="AY14" s="9" t="n">
        <v>0</v>
      </c>
      <c r="AZ14" s="9" t="n">
        <v>0</v>
      </c>
      <c r="BA14" s="11" t="n">
        <f aca="false">(AW14+AX14+AY14+AZ14)/4</f>
        <v>0</v>
      </c>
      <c r="BB14" s="11" t="n">
        <f aca="false">(AW14/AR14)</f>
        <v>0</v>
      </c>
      <c r="BC14" s="11" t="n">
        <f aca="false">(AX14/AS14)</f>
        <v>0</v>
      </c>
      <c r="BD14" s="11" t="n">
        <f aca="false">(AY14/AT14)</f>
        <v>0</v>
      </c>
      <c r="BE14" s="11" t="n">
        <f aca="false">(AZ14/AU14)</f>
        <v>0</v>
      </c>
      <c r="BF14" s="11" t="n">
        <f aca="false">(BA14/AV14)</f>
        <v>0</v>
      </c>
      <c r="BG14" s="11" t="n">
        <f aca="false">(BF14*100)</f>
        <v>0</v>
      </c>
      <c r="BH14" s="9" t="n">
        <v>0</v>
      </c>
      <c r="BI14" s="9" t="n">
        <v>3</v>
      </c>
      <c r="BJ14" s="9" t="n">
        <v>4</v>
      </c>
      <c r="BK14" s="9" t="n">
        <v>2</v>
      </c>
      <c r="BL14" s="9" t="n">
        <v>5</v>
      </c>
      <c r="BM14" s="11" t="n">
        <f aca="false">(BI14+BJ14+BK14+BL14)/4</f>
        <v>3.5</v>
      </c>
      <c r="BN14" s="11" t="n">
        <f aca="false">(BI14/AR14)</f>
        <v>0.25</v>
      </c>
      <c r="BO14" s="11" t="n">
        <f aca="false">(BJ14/AS14)</f>
        <v>0.5</v>
      </c>
      <c r="BP14" s="11" t="n">
        <f aca="false">(BK14/AT14)</f>
        <v>0.142857142857143</v>
      </c>
      <c r="BQ14" s="11" t="n">
        <f aca="false">(BL14/AU14)</f>
        <v>0.263157894736842</v>
      </c>
      <c r="BR14" s="11" t="n">
        <f aca="false">(BM14/AV14)</f>
        <v>0.264150943396226</v>
      </c>
      <c r="BS14" s="11" t="n">
        <f aca="false">(100*BR14)</f>
        <v>26.4150943396226</v>
      </c>
      <c r="BT14" s="9" t="n">
        <v>2</v>
      </c>
      <c r="BU14" s="9" t="n">
        <v>0</v>
      </c>
      <c r="BV14" s="9" t="n">
        <v>0</v>
      </c>
      <c r="BW14" s="9" t="n">
        <v>0</v>
      </c>
      <c r="BX14" s="9" t="n">
        <v>0</v>
      </c>
      <c r="BY14" s="11" t="n">
        <f aca="false">(BU14+BV14+BW14+BX14)/4</f>
        <v>0</v>
      </c>
      <c r="BZ14" s="11" t="n">
        <f aca="false">(BU14/AR14)</f>
        <v>0</v>
      </c>
      <c r="CA14" s="11" t="n">
        <f aca="false">(BV14/AS14)</f>
        <v>0</v>
      </c>
      <c r="CB14" s="11" t="n">
        <f aca="false">(BW14/AT14)</f>
        <v>0</v>
      </c>
      <c r="CC14" s="11" t="n">
        <f aca="false">(BX14/AU14)</f>
        <v>0</v>
      </c>
      <c r="CD14" s="11" t="n">
        <f aca="false">(BY14/AV14)</f>
        <v>0</v>
      </c>
      <c r="CE14" s="11" t="n">
        <f aca="false">(100*CD14)</f>
        <v>0</v>
      </c>
      <c r="CF14" s="9" t="n">
        <v>0</v>
      </c>
      <c r="CG14" s="9" t="n">
        <v>11</v>
      </c>
      <c r="CH14" s="9" t="n">
        <v>4</v>
      </c>
      <c r="CI14" s="9" t="n">
        <v>4</v>
      </c>
      <c r="CJ14" s="9" t="n">
        <v>7</v>
      </c>
      <c r="CK14" s="11" t="n">
        <f aca="false">(CG14+CH14+CI14+CJ14)/4</f>
        <v>6.5</v>
      </c>
      <c r="CL14" s="11" t="n">
        <f aca="false">(CG14/AM14)</f>
        <v>0.323529411764706</v>
      </c>
      <c r="CM14" s="11" t="n">
        <f aca="false">(CH14/AN14)</f>
        <v>0.666666666666667</v>
      </c>
      <c r="CN14" s="11" t="n">
        <f aca="false">(CI14/AO14)</f>
        <v>0.142857142857143</v>
      </c>
      <c r="CO14" s="9" t="n">
        <f aca="false">(CJ14/AP14)</f>
        <v>0.0538461538461539</v>
      </c>
      <c r="CP14" s="9" t="n">
        <f aca="false">(CK14/AQ14)</f>
        <v>0.131313131313131</v>
      </c>
      <c r="CQ14" s="9" t="n">
        <f aca="false">(100*CP14)</f>
        <v>13.1313131313131</v>
      </c>
      <c r="CR14" s="18" t="n">
        <v>2</v>
      </c>
      <c r="CS14" s="9" t="n">
        <v>74.6</v>
      </c>
      <c r="CT14" s="9" t="n">
        <v>62</v>
      </c>
      <c r="CU14" s="9" t="n">
        <v>68.3</v>
      </c>
      <c r="CV14" s="9" t="n">
        <v>65.3</v>
      </c>
      <c r="CW14" s="11" t="n">
        <f aca="false">(CS14+CT14+CU14+CV14)/4</f>
        <v>67.55</v>
      </c>
      <c r="CX14" s="9" t="n">
        <v>0</v>
      </c>
      <c r="CY14" s="9" t="n">
        <v>0</v>
      </c>
      <c r="CZ14" s="9" t="n">
        <v>0</v>
      </c>
      <c r="DA14" s="9" t="n">
        <v>0</v>
      </c>
      <c r="DB14" s="11" t="n">
        <f aca="false">(CX14+CY14+CZ14+DA14)/4</f>
        <v>0</v>
      </c>
      <c r="DC14" s="9" t="n">
        <v>1</v>
      </c>
      <c r="DD14" s="9" t="n">
        <v>1</v>
      </c>
      <c r="DE14" s="9" t="n">
        <v>1</v>
      </c>
      <c r="DF14" s="9" t="n">
        <v>1</v>
      </c>
      <c r="DG14" s="11" t="n">
        <f aca="false">(DC14+DD14+DE14+DF14)/4</f>
        <v>1</v>
      </c>
      <c r="DH14" s="9" t="n">
        <v>1</v>
      </c>
      <c r="DI14" s="9" t="n">
        <v>1</v>
      </c>
      <c r="DJ14" s="9" t="n">
        <v>0</v>
      </c>
      <c r="DK14" s="9" t="n">
        <v>1</v>
      </c>
      <c r="DL14" s="11" t="n">
        <f aca="false">(DH14+DI14+DJ14+DK14)/4</f>
        <v>0.75</v>
      </c>
      <c r="DM14" s="9" t="n">
        <v>149</v>
      </c>
      <c r="DN14" s="9" t="n">
        <v>131</v>
      </c>
      <c r="DO14" s="9" t="n">
        <v>133</v>
      </c>
      <c r="DP14" s="9" t="n">
        <v>142</v>
      </c>
      <c r="DQ14" s="11" t="n">
        <f aca="false">(DM14+DN14+DO14+DP14)/4</f>
        <v>138.75</v>
      </c>
      <c r="DR14" s="9" t="n">
        <v>23</v>
      </c>
      <c r="DS14" s="9" t="n">
        <v>15</v>
      </c>
      <c r="DT14" s="9" t="n">
        <v>18</v>
      </c>
      <c r="DU14" s="9" t="n">
        <v>20</v>
      </c>
      <c r="DV14" s="11" t="n">
        <f aca="false">(DR14+DS14+DT14+DU14)/4</f>
        <v>19</v>
      </c>
      <c r="DW14" s="9" t="n">
        <v>0</v>
      </c>
      <c r="DX14" s="9" t="n">
        <v>0</v>
      </c>
      <c r="DY14" s="9" t="n">
        <v>0</v>
      </c>
      <c r="DZ14" s="9" t="n">
        <v>0</v>
      </c>
      <c r="EA14" s="11" t="n">
        <f aca="false">(DW14+DX14+DY14+DZ14)/4</f>
        <v>0</v>
      </c>
      <c r="EB14" s="11" t="n">
        <f aca="false">(DW14/DR14)</f>
        <v>0</v>
      </c>
      <c r="EC14" s="11" t="n">
        <f aca="false">(DX14/DS14)</f>
        <v>0</v>
      </c>
      <c r="ED14" s="11" t="n">
        <f aca="false">(DY14/DT14)</f>
        <v>0</v>
      </c>
      <c r="EE14" s="11" t="n">
        <f aca="false">(DZ14/DU14)</f>
        <v>0</v>
      </c>
      <c r="EF14" s="11" t="n">
        <f aca="false">(EA14/DV14)</f>
        <v>0</v>
      </c>
      <c r="EG14" s="11" t="n">
        <f aca="false">(100*EF14)</f>
        <v>0</v>
      </c>
      <c r="EH14" s="9" t="n">
        <v>0</v>
      </c>
      <c r="EI14" s="9" t="n">
        <v>7</v>
      </c>
      <c r="EJ14" s="9" t="n">
        <v>2</v>
      </c>
      <c r="EK14" s="19" t="n">
        <v>1</v>
      </c>
      <c r="EL14" s="9" t="n">
        <v>6</v>
      </c>
      <c r="EM14" s="9" t="n">
        <f aca="false">(EI14+EJ14+EK14+EL14)/4</f>
        <v>4</v>
      </c>
      <c r="EN14" s="9" t="n">
        <f aca="false">(EI14/DR14)</f>
        <v>0.304347826086957</v>
      </c>
      <c r="EO14" s="9" t="n">
        <f aca="false">(EJ14/DS14)</f>
        <v>0.133333333333333</v>
      </c>
      <c r="EP14" s="9" t="n">
        <f aca="false">(EK14/DT14)</f>
        <v>0.0555555555555556</v>
      </c>
      <c r="EQ14" s="9" t="n">
        <f aca="false">(EL14/DU14)</f>
        <v>0.3</v>
      </c>
      <c r="ER14" s="9" t="n">
        <f aca="false">EM14/DV14</f>
        <v>0.210526315789474</v>
      </c>
      <c r="ES14" s="9" t="n">
        <f aca="false">(100*ER14)</f>
        <v>21.0526315789474</v>
      </c>
      <c r="ET14" s="9" t="n">
        <v>2</v>
      </c>
      <c r="EU14" s="18" t="n">
        <v>0</v>
      </c>
      <c r="EV14" s="9" t="n">
        <v>0</v>
      </c>
      <c r="EW14" s="9" t="n">
        <v>0</v>
      </c>
      <c r="EX14" s="9" t="n">
        <v>0</v>
      </c>
      <c r="EY14" s="11" t="n">
        <f aca="false">(EU14+EV14+EW14+EX14)/4</f>
        <v>0</v>
      </c>
      <c r="EZ14" s="11" t="n">
        <f aca="false">(EU14/DR14)</f>
        <v>0</v>
      </c>
      <c r="FA14" s="11" t="n">
        <f aca="false">(EV14/DS14)</f>
        <v>0</v>
      </c>
      <c r="FB14" s="11" t="n">
        <f aca="false">(EW14/DT14)</f>
        <v>0</v>
      </c>
      <c r="FC14" s="11" t="n">
        <f aca="false">(EX14/DU14)</f>
        <v>0</v>
      </c>
      <c r="FD14" s="11" t="n">
        <f aca="false">(EY14/DV14)</f>
        <v>0</v>
      </c>
      <c r="FE14" s="11" t="n">
        <f aca="false">(100*FD14)</f>
        <v>0</v>
      </c>
      <c r="FF14" s="9" t="n">
        <v>0</v>
      </c>
      <c r="FG14" s="9" t="n">
        <v>3</v>
      </c>
      <c r="FH14" s="9" t="n">
        <v>23</v>
      </c>
      <c r="FI14" s="9" t="n">
        <v>0</v>
      </c>
      <c r="FJ14" s="9" t="n">
        <v>7</v>
      </c>
      <c r="FK14" s="11" t="n">
        <f aca="false">(FG14+FH14+FI14+FJ14)/4</f>
        <v>8.25</v>
      </c>
      <c r="FL14" s="11" t="n">
        <f aca="false">(FG14/DR14)</f>
        <v>0.130434782608696</v>
      </c>
      <c r="FM14" s="11" t="n">
        <f aca="false">(FH14/DS14)</f>
        <v>1.53333333333333</v>
      </c>
      <c r="FN14" s="11" t="n">
        <f aca="false">(FI14/DT14)</f>
        <v>0</v>
      </c>
      <c r="FO14" s="11" t="n">
        <f aca="false">(FJ14/DU14)</f>
        <v>0.35</v>
      </c>
      <c r="FP14" s="11" t="n">
        <f aca="false">(FK14/DV14)</f>
        <v>0.43421052631579</v>
      </c>
      <c r="FQ14" s="11" t="n">
        <f aca="false">(100*FP14)</f>
        <v>43.421052631579</v>
      </c>
      <c r="FR14" s="9" t="n">
        <v>3</v>
      </c>
      <c r="FS14" s="9" t="n">
        <v>72.5</v>
      </c>
      <c r="FT14" s="9" t="n">
        <v>71.4</v>
      </c>
      <c r="FU14" s="9" t="n">
        <v>75.2</v>
      </c>
      <c r="FV14" s="9" t="n">
        <v>76.8</v>
      </c>
      <c r="FW14" s="11" t="n">
        <f aca="false">(FS14+FT14+FU14+FV14)/4</f>
        <v>73.975</v>
      </c>
      <c r="FX14" s="9" t="n">
        <v>0</v>
      </c>
      <c r="FY14" s="9" t="n">
        <v>0</v>
      </c>
      <c r="FZ14" s="9" t="n">
        <v>0</v>
      </c>
      <c r="GA14" s="9" t="n">
        <v>0</v>
      </c>
      <c r="GB14" s="11" t="n">
        <f aca="false">(FX14+FY14+FZ14+GA14)/4</f>
        <v>0</v>
      </c>
      <c r="GC14" s="9" t="n">
        <v>1</v>
      </c>
      <c r="GD14" s="9" t="n">
        <v>1</v>
      </c>
      <c r="GE14" s="9" t="n">
        <v>1</v>
      </c>
      <c r="GF14" s="9" t="n">
        <v>1</v>
      </c>
      <c r="GG14" s="11" t="n">
        <f aca="false">(GC14+GD14+GE14+GF14)/4</f>
        <v>1</v>
      </c>
      <c r="GH14" s="9" t="n">
        <v>1</v>
      </c>
      <c r="GI14" s="9" t="n">
        <v>1</v>
      </c>
      <c r="GJ14" s="9" t="n">
        <v>1</v>
      </c>
      <c r="GK14" s="9" t="n">
        <v>1</v>
      </c>
      <c r="GL14" s="11" t="n">
        <f aca="false">(GH14+GI14+GJ14+GK14)/4</f>
        <v>1</v>
      </c>
      <c r="GM14" s="9" t="n">
        <v>128</v>
      </c>
      <c r="GN14" s="9" t="n">
        <v>174</v>
      </c>
      <c r="GO14" s="9" t="n">
        <v>93</v>
      </c>
      <c r="GP14" s="9" t="n">
        <v>104</v>
      </c>
      <c r="GQ14" s="11" t="n">
        <f aca="false">(GM14+GN14+GO14+GP14)/4</f>
        <v>124.75</v>
      </c>
      <c r="GR14" s="9" t="n">
        <v>21</v>
      </c>
      <c r="GS14" s="9" t="n">
        <v>8</v>
      </c>
      <c r="GT14" s="9" t="n">
        <v>16</v>
      </c>
      <c r="GU14" s="9" t="n">
        <v>28</v>
      </c>
      <c r="GV14" s="11" t="n">
        <f aca="false">(GR14+GS14+GT14+GU14)/4</f>
        <v>18.25</v>
      </c>
      <c r="GW14" s="9" t="n">
        <v>0</v>
      </c>
      <c r="GX14" s="9" t="n">
        <v>0</v>
      </c>
      <c r="GY14" s="9" t="n">
        <v>0</v>
      </c>
      <c r="GZ14" s="9" t="n">
        <v>0</v>
      </c>
      <c r="HA14" s="11" t="n">
        <f aca="false">(GW14+GX14+GY14+GZ14)/4</f>
        <v>0</v>
      </c>
      <c r="HB14" s="9" t="n">
        <f aca="false">(GW14/GR14)</f>
        <v>0</v>
      </c>
      <c r="HC14" s="9" t="n">
        <f aca="false">(GX14/GS14)</f>
        <v>0</v>
      </c>
      <c r="HD14" s="9" t="n">
        <f aca="false">(GY14/GT14)</f>
        <v>0</v>
      </c>
      <c r="HE14" s="9" t="n">
        <f aca="false">(GZ14/GU14)/4</f>
        <v>0</v>
      </c>
      <c r="HF14" s="9" t="n">
        <f aca="false">(HB14+HC14+HD14+HE14)/4</f>
        <v>0</v>
      </c>
      <c r="HG14" s="9" t="n">
        <f aca="false">(100*HF14)</f>
        <v>0</v>
      </c>
      <c r="HH14" s="18" t="n">
        <v>0</v>
      </c>
      <c r="HI14" s="9" t="n">
        <v>1</v>
      </c>
      <c r="HJ14" s="9" t="n">
        <v>2</v>
      </c>
      <c r="HK14" s="9" t="n">
        <v>6</v>
      </c>
      <c r="HL14" s="19" t="n">
        <v>3</v>
      </c>
      <c r="HM14" s="9" t="n">
        <f aca="false">(HI14+HJ14+HK14+HL14)/4</f>
        <v>3</v>
      </c>
      <c r="HN14" s="9" t="n">
        <f aca="false">(HI14/GR14)</f>
        <v>0.0476190476190476</v>
      </c>
      <c r="HO14" s="9" t="n">
        <f aca="false">(HJ14/GS14)</f>
        <v>0.25</v>
      </c>
      <c r="HP14" s="9" t="n">
        <f aca="false">(HK14/GT14)</f>
        <v>0.375</v>
      </c>
      <c r="HQ14" s="9" t="n">
        <f aca="false">(HL14/GU14)</f>
        <v>0.107142857142857</v>
      </c>
      <c r="HR14" s="9" t="n">
        <f aca="false">(HM14/GV14)</f>
        <v>0.164383561643836</v>
      </c>
      <c r="HS14" s="9" t="n">
        <f aca="false">(100*HR14)</f>
        <v>16.4383561643836</v>
      </c>
      <c r="HT14" s="18" t="n">
        <v>2</v>
      </c>
      <c r="HU14" s="9" t="n">
        <v>0</v>
      </c>
      <c r="HV14" s="9" t="n">
        <v>0</v>
      </c>
      <c r="HW14" s="9" t="n">
        <v>0</v>
      </c>
      <c r="HX14" s="19" t="n">
        <v>0</v>
      </c>
      <c r="HY14" s="9" t="n">
        <f aca="false">(HU14+HV14+HW14+HX14)/4</f>
        <v>0</v>
      </c>
      <c r="HZ14" s="9" t="n">
        <f aca="false">(HU14/GR14)</f>
        <v>0</v>
      </c>
      <c r="IA14" s="9" t="n">
        <f aca="false">HV14/GS14</f>
        <v>0</v>
      </c>
      <c r="IB14" s="9" t="n">
        <f aca="false">(HW14/GT14)</f>
        <v>0</v>
      </c>
      <c r="IC14" s="9" t="n">
        <f aca="false">(HX14/GU14)</f>
        <v>0</v>
      </c>
      <c r="ID14" s="9" t="n">
        <f aca="false">(HY14/GV14)</f>
        <v>0</v>
      </c>
      <c r="IE14" s="9" t="n">
        <f aca="false">(100*ID14)</f>
        <v>0</v>
      </c>
      <c r="IF14" s="18" t="n">
        <v>0</v>
      </c>
      <c r="IG14" s="9" t="n">
        <v>5</v>
      </c>
      <c r="IH14" s="9" t="n">
        <v>18</v>
      </c>
      <c r="II14" s="19" t="n">
        <v>2</v>
      </c>
      <c r="IJ14" s="9" t="n">
        <v>5</v>
      </c>
      <c r="IK14" s="9" t="n">
        <f aca="false">(IG14+IH14+II14+IJ14)/4</f>
        <v>7.5</v>
      </c>
      <c r="IL14" s="9" t="n">
        <f aca="false">(IG14/GM14)</f>
        <v>0.0390625</v>
      </c>
      <c r="IM14" s="9" t="n">
        <f aca="false">(IH14/GN14)</f>
        <v>0.103448275862069</v>
      </c>
      <c r="IN14" s="9" t="n">
        <f aca="false">(II14/GO14)</f>
        <v>0.021505376344086</v>
      </c>
      <c r="IO14" s="9" t="n">
        <f aca="false">(IJ14/GP14)</f>
        <v>0.0480769230769231</v>
      </c>
      <c r="IP14" s="9" t="n">
        <f aca="false">(IK14/GQ14)</f>
        <v>0.0601202404809619</v>
      </c>
      <c r="IQ14" s="9" t="n">
        <f aca="false">(100*IP14)</f>
        <v>6.01202404809619</v>
      </c>
      <c r="IR14" s="18" t="n">
        <v>1</v>
      </c>
      <c r="IS14" s="9" t="n">
        <v>76.9</v>
      </c>
      <c r="IT14" s="9" t="n">
        <v>62.5</v>
      </c>
      <c r="IU14" s="19" t="n">
        <v>61.2</v>
      </c>
      <c r="IV14" s="9" t="n">
        <v>71.6</v>
      </c>
      <c r="IW14" s="9" t="n">
        <f aca="false">(IS14+IT14+IU14+IV14)/4</f>
        <v>68.05</v>
      </c>
      <c r="IX14" s="21" t="n">
        <v>45205</v>
      </c>
      <c r="IY14" s="10" t="s">
        <v>268</v>
      </c>
    </row>
    <row r="15" customFormat="false" ht="15" hidden="false" customHeight="false" outlineLevel="0" collapsed="false">
      <c r="A15" s="9" t="s">
        <v>299</v>
      </c>
      <c r="B15" s="10" t="s">
        <v>300</v>
      </c>
      <c r="C15" s="10" t="s">
        <v>261</v>
      </c>
      <c r="D15" s="9" t="n">
        <v>1</v>
      </c>
      <c r="E15" s="9" t="n">
        <v>5</v>
      </c>
      <c r="F15" s="10" t="s">
        <v>305</v>
      </c>
      <c r="G15" s="10" t="s">
        <v>275</v>
      </c>
      <c r="H15" s="9" t="n">
        <v>21</v>
      </c>
      <c r="I15" s="9" t="n">
        <v>10</v>
      </c>
      <c r="J15" s="12" t="s">
        <v>270</v>
      </c>
      <c r="K15" s="20"/>
      <c r="L15" s="20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 t="n">
        <v>0</v>
      </c>
      <c r="Y15" s="9" t="n">
        <v>0</v>
      </c>
      <c r="Z15" s="9" t="n">
        <v>0</v>
      </c>
      <c r="AA15" s="9" t="n">
        <v>0</v>
      </c>
      <c r="AB15" s="11" t="n">
        <f aca="false">(X15+Y15+Z15+AA15)/4</f>
        <v>0</v>
      </c>
      <c r="AC15" s="9" t="n">
        <v>1</v>
      </c>
      <c r="AD15" s="9" t="n">
        <v>1</v>
      </c>
      <c r="AE15" s="9" t="n">
        <v>1</v>
      </c>
      <c r="AF15" s="9" t="n">
        <v>1</v>
      </c>
      <c r="AG15" s="11" t="n">
        <f aca="false">(AC15+AD15+AE15+AF15)/4</f>
        <v>1</v>
      </c>
      <c r="AH15" s="9" t="n">
        <v>0</v>
      </c>
      <c r="AI15" s="9" t="n">
        <v>1</v>
      </c>
      <c r="AJ15" s="9" t="n">
        <v>1</v>
      </c>
      <c r="AK15" s="9" t="n">
        <v>1</v>
      </c>
      <c r="AL15" s="11" t="n">
        <f aca="false">(AH15+AI15+AJ15+AK15)/4</f>
        <v>0.75</v>
      </c>
      <c r="AM15" s="9" t="n">
        <v>13</v>
      </c>
      <c r="AN15" s="9" t="n">
        <v>53</v>
      </c>
      <c r="AO15" s="9" t="n">
        <v>109</v>
      </c>
      <c r="AP15" s="9" t="n">
        <v>120</v>
      </c>
      <c r="AQ15" s="11" t="n">
        <f aca="false">(AM15+AN15+AO15+AP15)/4</f>
        <v>73.75</v>
      </c>
      <c r="AR15" s="9" t="n">
        <v>16</v>
      </c>
      <c r="AS15" s="9" t="n">
        <v>7</v>
      </c>
      <c r="AT15" s="9" t="n">
        <v>7</v>
      </c>
      <c r="AU15" s="9" t="n">
        <v>14</v>
      </c>
      <c r="AV15" s="11" t="n">
        <f aca="false">(AR15+AS15+AT15+AU15)/4</f>
        <v>11</v>
      </c>
      <c r="AW15" s="9" t="n">
        <v>0</v>
      </c>
      <c r="AX15" s="9" t="n">
        <v>0</v>
      </c>
      <c r="AY15" s="9" t="n">
        <v>0</v>
      </c>
      <c r="AZ15" s="9" t="n">
        <v>0</v>
      </c>
      <c r="BA15" s="11" t="n">
        <f aca="false">(AW15+AX15+AY15+AZ15)/4</f>
        <v>0</v>
      </c>
      <c r="BB15" s="11" t="n">
        <f aca="false">(AW15/AR15)</f>
        <v>0</v>
      </c>
      <c r="BC15" s="11" t="n">
        <f aca="false">(AX15/AS15)</f>
        <v>0</v>
      </c>
      <c r="BD15" s="11" t="n">
        <f aca="false">(AY15/AT15)</f>
        <v>0</v>
      </c>
      <c r="BE15" s="11" t="n">
        <f aca="false">(AZ15/AU15)</f>
        <v>0</v>
      </c>
      <c r="BF15" s="11" t="n">
        <f aca="false">(BA15/AV15)</f>
        <v>0</v>
      </c>
      <c r="BG15" s="11" t="n">
        <f aca="false">(BF15*100)</f>
        <v>0</v>
      </c>
      <c r="BH15" s="9" t="n">
        <v>0</v>
      </c>
      <c r="BI15" s="9" t="n">
        <v>1</v>
      </c>
      <c r="BJ15" s="9" t="n">
        <v>2</v>
      </c>
      <c r="BK15" s="9" t="n">
        <v>1</v>
      </c>
      <c r="BL15" s="9" t="n">
        <v>3</v>
      </c>
      <c r="BM15" s="11" t="n">
        <f aca="false">(BI15+BJ15+BK15+BL15)/4</f>
        <v>1.75</v>
      </c>
      <c r="BN15" s="11" t="n">
        <f aca="false">(BI15/AR15)</f>
        <v>0.0625</v>
      </c>
      <c r="BO15" s="11" t="n">
        <f aca="false">(BJ15/AS15)</f>
        <v>0.285714285714286</v>
      </c>
      <c r="BP15" s="11" t="n">
        <f aca="false">(BK15/AT15)</f>
        <v>0.142857142857143</v>
      </c>
      <c r="BQ15" s="11" t="n">
        <f aca="false">(BL15/AU15)</f>
        <v>0.214285714285714</v>
      </c>
      <c r="BR15" s="11" t="n">
        <f aca="false">(BM15/AV15)</f>
        <v>0.159090909090909</v>
      </c>
      <c r="BS15" s="11" t="n">
        <f aca="false">(100*BR15)</f>
        <v>15.9090909090909</v>
      </c>
      <c r="BT15" s="9" t="n">
        <v>2</v>
      </c>
      <c r="BU15" s="9" t="n">
        <v>0</v>
      </c>
      <c r="BV15" s="9" t="n">
        <v>0</v>
      </c>
      <c r="BW15" s="9" t="n">
        <v>0</v>
      </c>
      <c r="BX15" s="9" t="n">
        <v>0</v>
      </c>
      <c r="BY15" s="11" t="n">
        <f aca="false">(BU15+BV15+BW15+BX15)/4</f>
        <v>0</v>
      </c>
      <c r="BZ15" s="11" t="n">
        <f aca="false">(BU15/AR15)</f>
        <v>0</v>
      </c>
      <c r="CA15" s="11" t="n">
        <f aca="false">(BV15/AS15)</f>
        <v>0</v>
      </c>
      <c r="CB15" s="11" t="n">
        <f aca="false">(BW15/AT15)</f>
        <v>0</v>
      </c>
      <c r="CC15" s="11" t="n">
        <f aca="false">(BX15/AU15)</f>
        <v>0</v>
      </c>
      <c r="CD15" s="11" t="n">
        <f aca="false">(BY15/AV15)</f>
        <v>0</v>
      </c>
      <c r="CE15" s="11" t="n">
        <f aca="false">(100*CD15)</f>
        <v>0</v>
      </c>
      <c r="CF15" s="9" t="n">
        <v>0</v>
      </c>
      <c r="CG15" s="9" t="n">
        <v>0</v>
      </c>
      <c r="CH15" s="9" t="n">
        <v>4</v>
      </c>
      <c r="CI15" s="9" t="n">
        <v>15</v>
      </c>
      <c r="CJ15" s="9" t="n">
        <v>33</v>
      </c>
      <c r="CK15" s="11" t="n">
        <f aca="false">(CG15+CH15+CI15+CJ15)/4</f>
        <v>13</v>
      </c>
      <c r="CL15" s="11" t="n">
        <f aca="false">(CG15/AM15)</f>
        <v>0</v>
      </c>
      <c r="CM15" s="11" t="n">
        <f aca="false">(CH15/AN15)</f>
        <v>0.0754716981132075</v>
      </c>
      <c r="CN15" s="11" t="n">
        <f aca="false">(CI15/AO15)</f>
        <v>0.137614678899083</v>
      </c>
      <c r="CO15" s="9" t="n">
        <f aca="false">(CJ15/AP15)</f>
        <v>0.275</v>
      </c>
      <c r="CP15" s="9" t="n">
        <f aca="false">(CK15/AQ15)</f>
        <v>0.176271186440678</v>
      </c>
      <c r="CQ15" s="9" t="n">
        <f aca="false">(100*CP15)</f>
        <v>17.6271186440678</v>
      </c>
      <c r="CR15" s="18" t="n">
        <v>2</v>
      </c>
      <c r="CS15" s="9" t="n">
        <v>42</v>
      </c>
      <c r="CT15" s="9" t="n">
        <v>53.5</v>
      </c>
      <c r="CU15" s="9" t="n">
        <v>40.7</v>
      </c>
      <c r="CV15" s="9" t="n">
        <v>53.1</v>
      </c>
      <c r="CW15" s="11" t="n">
        <f aca="false">(CS15+CT15+CU15+CV15)/4</f>
        <v>47.325</v>
      </c>
      <c r="CX15" s="9" t="n">
        <v>0</v>
      </c>
      <c r="CY15" s="9" t="n">
        <v>0</v>
      </c>
      <c r="CZ15" s="9" t="n">
        <v>0</v>
      </c>
      <c r="DA15" s="9" t="n">
        <v>0</v>
      </c>
      <c r="DB15" s="11" t="n">
        <f aca="false">(CX15+CY15+CZ15+DA15)/4</f>
        <v>0</v>
      </c>
      <c r="DC15" s="9" t="n">
        <v>1</v>
      </c>
      <c r="DD15" s="9" t="n">
        <v>1</v>
      </c>
      <c r="DE15" s="9" t="n">
        <v>1</v>
      </c>
      <c r="DF15" s="9" t="n">
        <v>0</v>
      </c>
      <c r="DG15" s="11" t="n">
        <f aca="false">(DC15+DD15+DE15+DF15)/4</f>
        <v>0.75</v>
      </c>
      <c r="DH15" s="9" t="n">
        <v>1</v>
      </c>
      <c r="DI15" s="9" t="n">
        <v>1</v>
      </c>
      <c r="DJ15" s="9" t="n">
        <v>1</v>
      </c>
      <c r="DK15" s="9" t="n">
        <v>0</v>
      </c>
      <c r="DL15" s="11" t="n">
        <f aca="false">(DH15+DI15+DJ15+DK15)/4</f>
        <v>0.75</v>
      </c>
      <c r="DM15" s="9" t="n">
        <v>40</v>
      </c>
      <c r="DN15" s="9" t="n">
        <v>124</v>
      </c>
      <c r="DO15" s="9" t="n">
        <v>58</v>
      </c>
      <c r="DP15" s="9" t="n">
        <v>38</v>
      </c>
      <c r="DQ15" s="11" t="n">
        <f aca="false">(DM15+DN15+DO15+DP15)/4</f>
        <v>65</v>
      </c>
      <c r="DR15" s="9" t="n">
        <v>12</v>
      </c>
      <c r="DS15" s="9" t="n">
        <v>10</v>
      </c>
      <c r="DT15" s="9" t="n">
        <v>10</v>
      </c>
      <c r="DU15" s="9" t="n">
        <v>7</v>
      </c>
      <c r="DV15" s="11" t="n">
        <f aca="false">(DR15+DS15+DT15+DU15)/4</f>
        <v>9.75</v>
      </c>
      <c r="DW15" s="9" t="n">
        <v>0</v>
      </c>
      <c r="DX15" s="9" t="n">
        <v>0</v>
      </c>
      <c r="DY15" s="9" t="n">
        <v>0</v>
      </c>
      <c r="DZ15" s="9" t="n">
        <v>0</v>
      </c>
      <c r="EA15" s="11" t="n">
        <f aca="false">(DW15+DX15+DY15+DZ15)/4</f>
        <v>0</v>
      </c>
      <c r="EB15" s="11" t="n">
        <f aca="false">(DW15/DR15)</f>
        <v>0</v>
      </c>
      <c r="EC15" s="11" t="n">
        <f aca="false">(DX15/DS15)</f>
        <v>0</v>
      </c>
      <c r="ED15" s="11" t="n">
        <f aca="false">(DY15/DT15)</f>
        <v>0</v>
      </c>
      <c r="EE15" s="11" t="n">
        <f aca="false">(DZ15/DU15)</f>
        <v>0</v>
      </c>
      <c r="EF15" s="11" t="n">
        <f aca="false">(EA15/DV15)</f>
        <v>0</v>
      </c>
      <c r="EG15" s="11" t="n">
        <f aca="false">(100*EF15)</f>
        <v>0</v>
      </c>
      <c r="EH15" s="9" t="n">
        <v>0</v>
      </c>
      <c r="EI15" s="9" t="n">
        <v>3</v>
      </c>
      <c r="EJ15" s="9" t="n">
        <v>6</v>
      </c>
      <c r="EK15" s="19" t="n">
        <v>2</v>
      </c>
      <c r="EL15" s="9" t="n">
        <v>0</v>
      </c>
      <c r="EM15" s="9" t="n">
        <f aca="false">(EI15+EJ15+EK15+EL15)/4</f>
        <v>2.75</v>
      </c>
      <c r="EN15" s="9" t="n">
        <f aca="false">(EI15/DR15)</f>
        <v>0.25</v>
      </c>
      <c r="EO15" s="9" t="n">
        <f aca="false">(EJ15/DS15)</f>
        <v>0.6</v>
      </c>
      <c r="EP15" s="9" t="n">
        <f aca="false">(EK15/DT15)</f>
        <v>0.2</v>
      </c>
      <c r="EQ15" s="9" t="n">
        <f aca="false">(EL15/DU15)</f>
        <v>0</v>
      </c>
      <c r="ER15" s="9" t="n">
        <f aca="false">EM15/DV15</f>
        <v>0.282051282051282</v>
      </c>
      <c r="ES15" s="9" t="n">
        <f aca="false">(100*ER15)</f>
        <v>28.2051282051282</v>
      </c>
      <c r="ET15" s="9" t="n">
        <v>2</v>
      </c>
      <c r="EU15" s="18" t="n">
        <v>0</v>
      </c>
      <c r="EV15" s="9" t="n">
        <v>0</v>
      </c>
      <c r="EW15" s="9" t="n">
        <v>0</v>
      </c>
      <c r="EX15" s="9" t="n">
        <v>0</v>
      </c>
      <c r="EY15" s="11" t="n">
        <f aca="false">(EU15+EV15+EW15+EX15)/4</f>
        <v>0</v>
      </c>
      <c r="EZ15" s="11" t="n">
        <f aca="false">(EU15/DR15)</f>
        <v>0</v>
      </c>
      <c r="FA15" s="11" t="n">
        <f aca="false">(EV15/DS15)</f>
        <v>0</v>
      </c>
      <c r="FB15" s="11" t="n">
        <f aca="false">(EW15/DT15)</f>
        <v>0</v>
      </c>
      <c r="FC15" s="11" t="n">
        <f aca="false">(EX15/DU15)</f>
        <v>0</v>
      </c>
      <c r="FD15" s="11" t="n">
        <f aca="false">(EY15/DV15)</f>
        <v>0</v>
      </c>
      <c r="FE15" s="11" t="n">
        <f aca="false">(100*FD15)</f>
        <v>0</v>
      </c>
      <c r="FF15" s="9" t="n">
        <v>0</v>
      </c>
      <c r="FG15" s="9" t="n">
        <v>3</v>
      </c>
      <c r="FH15" s="9" t="n">
        <v>8</v>
      </c>
      <c r="FI15" s="9" t="n">
        <v>2</v>
      </c>
      <c r="FJ15" s="9" t="n">
        <v>0</v>
      </c>
      <c r="FK15" s="11" t="n">
        <f aca="false">(FG15+FH15+FI15+FJ15)/4</f>
        <v>3.25</v>
      </c>
      <c r="FL15" s="11" t="n">
        <f aca="false">(FG15/DR15)</f>
        <v>0.25</v>
      </c>
      <c r="FM15" s="11" t="n">
        <f aca="false">(FH15/DS15)</f>
        <v>0.8</v>
      </c>
      <c r="FN15" s="11" t="n">
        <f aca="false">(FI15/DT15)</f>
        <v>0.2</v>
      </c>
      <c r="FO15" s="11" t="n">
        <f aca="false">(FJ15/DU15)</f>
        <v>0</v>
      </c>
      <c r="FP15" s="11" t="n">
        <f aca="false">(FK15/DV15)</f>
        <v>0.333333333333333</v>
      </c>
      <c r="FQ15" s="11" t="n">
        <f aca="false">(100*FP15)</f>
        <v>33.3333333333333</v>
      </c>
      <c r="FR15" s="9" t="n">
        <v>3</v>
      </c>
      <c r="FS15" s="9" t="n">
        <v>69.1</v>
      </c>
      <c r="FT15" s="9" t="n">
        <v>64.8</v>
      </c>
      <c r="FU15" s="9" t="n">
        <v>62.4</v>
      </c>
      <c r="FV15" s="9" t="n">
        <v>61</v>
      </c>
      <c r="FW15" s="11" t="n">
        <f aca="false">(FS15+FT15+FU15+FV15)/4</f>
        <v>64.325</v>
      </c>
      <c r="FX15" s="9" t="n">
        <v>0</v>
      </c>
      <c r="FY15" s="9" t="n">
        <v>0</v>
      </c>
      <c r="FZ15" s="9" t="n">
        <v>0</v>
      </c>
      <c r="GA15" s="9" t="n">
        <v>0</v>
      </c>
      <c r="GB15" s="11" t="n">
        <f aca="false">(FX15+FY15+FZ15+GA15)/4</f>
        <v>0</v>
      </c>
      <c r="GC15" s="9" t="n">
        <v>1</v>
      </c>
      <c r="GD15" s="9" t="n">
        <v>1</v>
      </c>
      <c r="GE15" s="9" t="n">
        <v>0</v>
      </c>
      <c r="GF15" s="9" t="n">
        <v>1</v>
      </c>
      <c r="GG15" s="11" t="n">
        <f aca="false">(GC15+GD15+GE15+GF15)/4</f>
        <v>0.75</v>
      </c>
      <c r="GH15" s="9" t="n">
        <v>1</v>
      </c>
      <c r="GI15" s="9" t="n">
        <v>1</v>
      </c>
      <c r="GJ15" s="9" t="n">
        <v>0</v>
      </c>
      <c r="GK15" s="9" t="n">
        <v>1</v>
      </c>
      <c r="GL15" s="11" t="n">
        <f aca="false">(GH15+GI15+GJ15+GK15)/4</f>
        <v>0.75</v>
      </c>
      <c r="GM15" s="9" t="n">
        <v>98</v>
      </c>
      <c r="GN15" s="9" t="n">
        <v>35</v>
      </c>
      <c r="GO15" s="9" t="n">
        <v>23</v>
      </c>
      <c r="GP15" s="9" t="n">
        <v>8</v>
      </c>
      <c r="GQ15" s="11" t="n">
        <f aca="false">(GM15+GN15+GO15+GP15)/4</f>
        <v>41</v>
      </c>
      <c r="GR15" s="9" t="n">
        <v>14</v>
      </c>
      <c r="GS15" s="9" t="n">
        <v>13</v>
      </c>
      <c r="GT15" s="9" t="n">
        <v>15</v>
      </c>
      <c r="GU15" s="9" t="n">
        <v>12</v>
      </c>
      <c r="GV15" s="11" t="n">
        <f aca="false">(GR15+GS15+GT15+GU15)/4</f>
        <v>13.5</v>
      </c>
      <c r="GW15" s="9" t="n">
        <v>0</v>
      </c>
      <c r="GX15" s="9" t="n">
        <v>0</v>
      </c>
      <c r="GY15" s="9" t="n">
        <v>0</v>
      </c>
      <c r="GZ15" s="9" t="n">
        <v>0</v>
      </c>
      <c r="HA15" s="11" t="n">
        <f aca="false">(GW15+GX15+GY15+GZ15)/4</f>
        <v>0</v>
      </c>
      <c r="HB15" s="9" t="n">
        <f aca="false">(GW15/GR15)</f>
        <v>0</v>
      </c>
      <c r="HC15" s="9" t="n">
        <f aca="false">(GX15/GS15)</f>
        <v>0</v>
      </c>
      <c r="HD15" s="9" t="n">
        <f aca="false">(GY15/GT15)</f>
        <v>0</v>
      </c>
      <c r="HE15" s="9" t="n">
        <f aca="false">(GZ15/GU15)/4</f>
        <v>0</v>
      </c>
      <c r="HF15" s="9" t="n">
        <f aca="false">(HB15+HC15+HD15+HE15)/4</f>
        <v>0</v>
      </c>
      <c r="HG15" s="9" t="n">
        <f aca="false">(100*HF15)</f>
        <v>0</v>
      </c>
      <c r="HH15" s="18" t="n">
        <v>0</v>
      </c>
      <c r="HI15" s="9" t="n">
        <v>6</v>
      </c>
      <c r="HJ15" s="9" t="n">
        <v>4</v>
      </c>
      <c r="HK15" s="9" t="n">
        <v>0</v>
      </c>
      <c r="HL15" s="19" t="n">
        <v>2</v>
      </c>
      <c r="HM15" s="9" t="n">
        <f aca="false">(HI15+HJ15+HK15+HL15)/4</f>
        <v>3</v>
      </c>
      <c r="HN15" s="9" t="n">
        <f aca="false">(HI15/GR15)</f>
        <v>0.428571428571429</v>
      </c>
      <c r="HO15" s="9" t="n">
        <f aca="false">(HJ15/GS15)</f>
        <v>0.307692307692308</v>
      </c>
      <c r="HP15" s="9" t="n">
        <f aca="false">(HK15/GT15)</f>
        <v>0</v>
      </c>
      <c r="HQ15" s="9" t="n">
        <f aca="false">(HL15/GU15)</f>
        <v>0.166666666666667</v>
      </c>
      <c r="HR15" s="9" t="n">
        <f aca="false">(HM15/GV15)</f>
        <v>0.222222222222222</v>
      </c>
      <c r="HS15" s="9" t="n">
        <f aca="false">(100*HR15)</f>
        <v>22.2222222222222</v>
      </c>
      <c r="HT15" s="18" t="n">
        <v>2</v>
      </c>
      <c r="HU15" s="9" t="n">
        <v>0</v>
      </c>
      <c r="HV15" s="9" t="n">
        <v>0</v>
      </c>
      <c r="HW15" s="9" t="n">
        <v>0</v>
      </c>
      <c r="HX15" s="19" t="n">
        <v>0</v>
      </c>
      <c r="HY15" s="9" t="n">
        <f aca="false">(HU15+HV15+HW15+HX15)/4</f>
        <v>0</v>
      </c>
      <c r="HZ15" s="9" t="n">
        <f aca="false">(HU15/GR15)</f>
        <v>0</v>
      </c>
      <c r="IA15" s="9" t="n">
        <f aca="false">HV15/GS15</f>
        <v>0</v>
      </c>
      <c r="IB15" s="9" t="n">
        <f aca="false">(HW15/GT15)</f>
        <v>0</v>
      </c>
      <c r="IC15" s="9" t="n">
        <f aca="false">(HX15/GU15)</f>
        <v>0</v>
      </c>
      <c r="ID15" s="9" t="n">
        <f aca="false">(HY15/GV15)</f>
        <v>0</v>
      </c>
      <c r="IE15" s="9" t="n">
        <f aca="false">(100*ID15)</f>
        <v>0</v>
      </c>
      <c r="IF15" s="18" t="n">
        <v>0</v>
      </c>
      <c r="IG15" s="9" t="n">
        <v>1</v>
      </c>
      <c r="IH15" s="9" t="n">
        <v>2</v>
      </c>
      <c r="II15" s="19" t="n">
        <v>0</v>
      </c>
      <c r="IJ15" s="9" t="n">
        <v>2</v>
      </c>
      <c r="IK15" s="9" t="n">
        <f aca="false">(IG15+IH15+II15+IJ15)/4</f>
        <v>1.25</v>
      </c>
      <c r="IL15" s="9" t="n">
        <f aca="false">(IG15/GM15)</f>
        <v>0.0102040816326531</v>
      </c>
      <c r="IM15" s="9" t="n">
        <f aca="false">(IH15/GN15)</f>
        <v>0.0571428571428571</v>
      </c>
      <c r="IN15" s="9" t="n">
        <f aca="false">(II15/GO15)</f>
        <v>0</v>
      </c>
      <c r="IO15" s="9" t="n">
        <f aca="false">(IJ15/GP15)</f>
        <v>0.25</v>
      </c>
      <c r="IP15" s="9" t="n">
        <f aca="false">(IK15/GQ15)</f>
        <v>0.0304878048780488</v>
      </c>
      <c r="IQ15" s="9" t="n">
        <f aca="false">(100*IP15)</f>
        <v>3.04878048780488</v>
      </c>
      <c r="IR15" s="18" t="n">
        <v>1</v>
      </c>
      <c r="IS15" s="9" t="n">
        <v>70.7</v>
      </c>
      <c r="IT15" s="9" t="n">
        <v>67.1</v>
      </c>
      <c r="IU15" s="19" t="n">
        <v>66.9</v>
      </c>
      <c r="IV15" s="9" t="n">
        <v>72.1</v>
      </c>
      <c r="IW15" s="9" t="n">
        <f aca="false">(IS15+IT15+IU15+IV15)/4</f>
        <v>69.2</v>
      </c>
      <c r="IX15" s="21" t="n">
        <v>45205</v>
      </c>
      <c r="IY15" s="10" t="s">
        <v>268</v>
      </c>
    </row>
    <row r="16" customFormat="false" ht="15" hidden="false" customHeight="false" outlineLevel="0" collapsed="false">
      <c r="A16" s="9" t="s">
        <v>299</v>
      </c>
      <c r="B16" s="10" t="s">
        <v>300</v>
      </c>
      <c r="C16" s="10" t="s">
        <v>261</v>
      </c>
      <c r="D16" s="9" t="n">
        <v>1</v>
      </c>
      <c r="E16" s="9" t="n">
        <v>5</v>
      </c>
      <c r="F16" s="10" t="s">
        <v>306</v>
      </c>
      <c r="G16" s="10" t="s">
        <v>297</v>
      </c>
      <c r="H16" s="9" t="n">
        <v>21</v>
      </c>
      <c r="I16" s="9" t="n">
        <v>20</v>
      </c>
      <c r="J16" s="10" t="s">
        <v>272</v>
      </c>
      <c r="K16" s="20"/>
      <c r="L16" s="20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 t="n">
        <v>0</v>
      </c>
      <c r="Y16" s="9" t="n">
        <v>0</v>
      </c>
      <c r="Z16" s="9" t="n">
        <v>0</v>
      </c>
      <c r="AA16" s="9" t="n">
        <v>0</v>
      </c>
      <c r="AB16" s="11" t="n">
        <f aca="false">(X16+Y16+Z16+AA16)/4</f>
        <v>0</v>
      </c>
      <c r="AC16" s="9" t="n">
        <v>1</v>
      </c>
      <c r="AD16" s="9" t="n">
        <v>1</v>
      </c>
      <c r="AE16" s="9" t="n">
        <v>1</v>
      </c>
      <c r="AF16" s="9" t="n">
        <v>1</v>
      </c>
      <c r="AG16" s="11" t="n">
        <f aca="false">(AC16+AD16+AE16+AF16)/4</f>
        <v>1</v>
      </c>
      <c r="AH16" s="9" t="n">
        <v>1</v>
      </c>
      <c r="AI16" s="9" t="n">
        <v>0</v>
      </c>
      <c r="AJ16" s="9" t="n">
        <v>0</v>
      </c>
      <c r="AK16" s="9" t="n">
        <v>0</v>
      </c>
      <c r="AL16" s="11" t="n">
        <f aca="false">(AH16+AI16+AJ16+AK16)/4</f>
        <v>0.25</v>
      </c>
      <c r="AM16" s="9" t="n">
        <v>0</v>
      </c>
      <c r="AN16" s="9" t="n">
        <v>0</v>
      </c>
      <c r="AO16" s="9" t="n">
        <v>0</v>
      </c>
      <c r="AP16" s="9" t="n">
        <v>0</v>
      </c>
      <c r="AQ16" s="11" t="n">
        <f aca="false">(AM16+AN16+AO16+AP16)/4</f>
        <v>0</v>
      </c>
      <c r="AR16" s="9" t="n">
        <v>17</v>
      </c>
      <c r="AS16" s="9" t="n">
        <v>13</v>
      </c>
      <c r="AT16" s="9" t="n">
        <v>44</v>
      </c>
      <c r="AU16" s="9" t="n">
        <v>31</v>
      </c>
      <c r="AV16" s="11" t="n">
        <f aca="false">(AR16+AS16+AT16+AU16)/4</f>
        <v>26.25</v>
      </c>
      <c r="AW16" s="9" t="n">
        <v>0</v>
      </c>
      <c r="AX16" s="9" t="n">
        <v>0</v>
      </c>
      <c r="AY16" s="9" t="n">
        <v>0</v>
      </c>
      <c r="AZ16" s="9" t="n">
        <v>0</v>
      </c>
      <c r="BA16" s="11" t="n">
        <f aca="false">(AW16+AX16+AY16+AZ16)/4</f>
        <v>0</v>
      </c>
      <c r="BB16" s="11" t="n">
        <f aca="false">(AW16/AR16)</f>
        <v>0</v>
      </c>
      <c r="BC16" s="11" t="n">
        <f aca="false">(AX16/AS16)</f>
        <v>0</v>
      </c>
      <c r="BD16" s="11" t="n">
        <f aca="false">(AY16/AT16)</f>
        <v>0</v>
      </c>
      <c r="BE16" s="11" t="n">
        <f aca="false">(AZ16/AU16)</f>
        <v>0</v>
      </c>
      <c r="BF16" s="11" t="n">
        <f aca="false">(BA16/AV16)</f>
        <v>0</v>
      </c>
      <c r="BG16" s="11" t="n">
        <f aca="false">(BF16*100)</f>
        <v>0</v>
      </c>
      <c r="BH16" s="9" t="n">
        <v>0</v>
      </c>
      <c r="BI16" s="9" t="n">
        <v>4</v>
      </c>
      <c r="BJ16" s="9" t="n">
        <v>11</v>
      </c>
      <c r="BK16" s="9" t="n">
        <v>5</v>
      </c>
      <c r="BL16" s="9" t="n">
        <v>13</v>
      </c>
      <c r="BM16" s="11" t="n">
        <f aca="false">(BI16+BJ16+BK16+BL16)/4</f>
        <v>8.25</v>
      </c>
      <c r="BN16" s="11" t="n">
        <f aca="false">(BI16/AR16)</f>
        <v>0.235294117647059</v>
      </c>
      <c r="BO16" s="11" t="n">
        <f aca="false">(BJ16/AS16)</f>
        <v>0.846153846153846</v>
      </c>
      <c r="BP16" s="11" t="n">
        <f aca="false">(BK16/AT16)</f>
        <v>0.113636363636364</v>
      </c>
      <c r="BQ16" s="11" t="n">
        <f aca="false">(BL16/AU16)</f>
        <v>0.419354838709677</v>
      </c>
      <c r="BR16" s="11" t="n">
        <f aca="false">(BM16/AV16)</f>
        <v>0.314285714285714</v>
      </c>
      <c r="BS16" s="11" t="n">
        <f aca="false">(100*BR16)</f>
        <v>31.4285714285714</v>
      </c>
      <c r="BT16" s="9" t="n">
        <v>3</v>
      </c>
      <c r="BU16" s="9" t="n">
        <v>3</v>
      </c>
      <c r="BV16" s="9" t="n">
        <v>0</v>
      </c>
      <c r="BW16" s="9" t="n">
        <v>0</v>
      </c>
      <c r="BX16" s="9" t="n">
        <v>0</v>
      </c>
      <c r="BY16" s="11" t="n">
        <f aca="false">(BU16+BV16+BW16+BX16)/4</f>
        <v>0.75</v>
      </c>
      <c r="BZ16" s="11" t="n">
        <f aca="false">(BU16/AR16)</f>
        <v>0.176470588235294</v>
      </c>
      <c r="CA16" s="11" t="n">
        <f aca="false">(BV16/AS16)</f>
        <v>0</v>
      </c>
      <c r="CB16" s="11" t="n">
        <f aca="false">(BW16/AT16)</f>
        <v>0</v>
      </c>
      <c r="CC16" s="11" t="n">
        <f aca="false">(BX16/AU16)</f>
        <v>0</v>
      </c>
      <c r="CD16" s="11" t="n">
        <f aca="false">(BY16/AV16)</f>
        <v>0.0285714285714286</v>
      </c>
      <c r="CE16" s="11" t="n">
        <f aca="false">(100*CD16)</f>
        <v>2.85714285714286</v>
      </c>
      <c r="CF16" s="9" t="n">
        <v>1</v>
      </c>
      <c r="CG16" s="9" t="n">
        <v>0</v>
      </c>
      <c r="CH16" s="9" t="n">
        <v>0</v>
      </c>
      <c r="CI16" s="9" t="n">
        <v>0</v>
      </c>
      <c r="CJ16" s="9" t="n">
        <v>0</v>
      </c>
      <c r="CK16" s="11" t="n">
        <f aca="false">(CG16+CH16+CI16+CJ16)/4</f>
        <v>0</v>
      </c>
      <c r="CL16" s="11" t="e">
        <f aca="false">(CG16/AM16)</f>
        <v>#DIV/0!</v>
      </c>
      <c r="CM16" s="11" t="e">
        <f aca="false">(CH16/AN16)</f>
        <v>#DIV/0!</v>
      </c>
      <c r="CN16" s="11" t="e">
        <f aca="false">(CI16/AO16)</f>
        <v>#DIV/0!</v>
      </c>
      <c r="CO16" s="9" t="e">
        <f aca="false">(CJ16/AP16)</f>
        <v>#DIV/0!</v>
      </c>
      <c r="CP16" s="9" t="e">
        <f aca="false">(CK16/AQ16)</f>
        <v>#DIV/0!</v>
      </c>
      <c r="CQ16" s="9" t="e">
        <f aca="false">(100*CP16)</f>
        <v>#DIV/0!</v>
      </c>
      <c r="CR16" s="18"/>
      <c r="CS16" s="9" t="n">
        <v>68.9</v>
      </c>
      <c r="CT16" s="9" t="n">
        <v>76.4</v>
      </c>
      <c r="CU16" s="9" t="n">
        <v>68.1</v>
      </c>
      <c r="CV16" s="9" t="n">
        <v>79.2</v>
      </c>
      <c r="CW16" s="11" t="n">
        <f aca="false">(CS16+CT16+CU16+CV16)/4</f>
        <v>73.15</v>
      </c>
      <c r="CX16" s="9" t="n">
        <v>0</v>
      </c>
      <c r="CY16" s="9" t="n">
        <v>0</v>
      </c>
      <c r="CZ16" s="9" t="n">
        <v>0</v>
      </c>
      <c r="DA16" s="9" t="n">
        <v>0</v>
      </c>
      <c r="DB16" s="11" t="n">
        <f aca="false">(CX16+CY16+CZ16+DA16)/4</f>
        <v>0</v>
      </c>
      <c r="DC16" s="9" t="n">
        <v>1</v>
      </c>
      <c r="DD16" s="9" t="n">
        <v>1</v>
      </c>
      <c r="DE16" s="9" t="n">
        <v>1</v>
      </c>
      <c r="DF16" s="9" t="n">
        <v>0</v>
      </c>
      <c r="DG16" s="11" t="n">
        <f aca="false">(DC16+DD16+DE16+DF16)/4</f>
        <v>0.75</v>
      </c>
      <c r="DH16" s="9" t="n">
        <v>0</v>
      </c>
      <c r="DI16" s="9" t="n">
        <v>0</v>
      </c>
      <c r="DJ16" s="9" t="n">
        <v>0</v>
      </c>
      <c r="DK16" s="9" t="n">
        <v>0</v>
      </c>
      <c r="DL16" s="11" t="n">
        <f aca="false">(DH16+DI16+DJ16+DK16)/4</f>
        <v>0</v>
      </c>
      <c r="DM16" s="9" t="n">
        <v>0</v>
      </c>
      <c r="DN16" s="9" t="n">
        <v>0</v>
      </c>
      <c r="DO16" s="9" t="n">
        <v>0</v>
      </c>
      <c r="DP16" s="9" t="n">
        <v>0</v>
      </c>
      <c r="DQ16" s="11" t="n">
        <f aca="false">(DM16+DN16+DO16+DP16)/4</f>
        <v>0</v>
      </c>
      <c r="DR16" s="9" t="n">
        <v>33</v>
      </c>
      <c r="DS16" s="9" t="n">
        <v>32</v>
      </c>
      <c r="DT16" s="9" t="n">
        <v>24</v>
      </c>
      <c r="DU16" s="9" t="n">
        <v>18</v>
      </c>
      <c r="DV16" s="11" t="n">
        <f aca="false">(DR16+DS16+DT16+DU16)/4</f>
        <v>26.75</v>
      </c>
      <c r="DW16" s="9" t="n">
        <v>0</v>
      </c>
      <c r="DX16" s="9" t="n">
        <v>0</v>
      </c>
      <c r="DY16" s="9" t="n">
        <v>0</v>
      </c>
      <c r="DZ16" s="9" t="n">
        <v>0</v>
      </c>
      <c r="EA16" s="11" t="n">
        <f aca="false">(DW16+DX16+DY16+DZ16)/4</f>
        <v>0</v>
      </c>
      <c r="EB16" s="11" t="n">
        <f aca="false">(DW16/DR16)</f>
        <v>0</v>
      </c>
      <c r="EC16" s="11" t="n">
        <f aca="false">(DX16/DS16)</f>
        <v>0</v>
      </c>
      <c r="ED16" s="11" t="n">
        <f aca="false">(DY16/DT16)</f>
        <v>0</v>
      </c>
      <c r="EE16" s="11" t="n">
        <f aca="false">(DZ16/DU16)</f>
        <v>0</v>
      </c>
      <c r="EF16" s="11" t="n">
        <f aca="false">(EA16/DV16)</f>
        <v>0</v>
      </c>
      <c r="EG16" s="11" t="n">
        <f aca="false">(100*EF16)</f>
        <v>0</v>
      </c>
      <c r="EH16" s="9" t="n">
        <v>0</v>
      </c>
      <c r="EI16" s="9" t="n">
        <v>10</v>
      </c>
      <c r="EJ16" s="9" t="n">
        <v>5</v>
      </c>
      <c r="EK16" s="19" t="n">
        <v>9</v>
      </c>
      <c r="EL16" s="9" t="n">
        <v>0</v>
      </c>
      <c r="EM16" s="9" t="n">
        <f aca="false">(EI16+EJ16+EK16+EL16)/4</f>
        <v>6</v>
      </c>
      <c r="EN16" s="9" t="n">
        <f aca="false">(EI16/DR16)</f>
        <v>0.303030303030303</v>
      </c>
      <c r="EO16" s="9" t="n">
        <f aca="false">(EJ16/DS16)</f>
        <v>0.15625</v>
      </c>
      <c r="EP16" s="9" t="n">
        <f aca="false">(EK16/DT16)</f>
        <v>0.375</v>
      </c>
      <c r="EQ16" s="9" t="n">
        <f aca="false">(EL16/DU16)</f>
        <v>0</v>
      </c>
      <c r="ER16" s="9" t="n">
        <f aca="false">EM16/DV16</f>
        <v>0.224299065420561</v>
      </c>
      <c r="ES16" s="9" t="n">
        <f aca="false">(100*ER16)</f>
        <v>22.4299065420561</v>
      </c>
      <c r="ET16" s="9" t="n">
        <v>2</v>
      </c>
      <c r="EU16" s="18" t="n">
        <v>0</v>
      </c>
      <c r="EV16" s="9" t="n">
        <v>0</v>
      </c>
      <c r="EW16" s="9" t="n">
        <v>0</v>
      </c>
      <c r="EX16" s="9" t="n">
        <v>0</v>
      </c>
      <c r="EY16" s="11" t="n">
        <f aca="false">(EU16+EV16+EW16+EX16)/4</f>
        <v>0</v>
      </c>
      <c r="EZ16" s="11" t="n">
        <f aca="false">(EU16/DR16)</f>
        <v>0</v>
      </c>
      <c r="FA16" s="11" t="n">
        <f aca="false">(EV16/DS16)</f>
        <v>0</v>
      </c>
      <c r="FB16" s="11" t="n">
        <f aca="false">(EW16/DT16)</f>
        <v>0</v>
      </c>
      <c r="FC16" s="11" t="n">
        <f aca="false">(EX16/DU16)</f>
        <v>0</v>
      </c>
      <c r="FD16" s="11" t="n">
        <f aca="false">(EY16/DV16)</f>
        <v>0</v>
      </c>
      <c r="FE16" s="11" t="n">
        <f aca="false">(100*FD16)</f>
        <v>0</v>
      </c>
      <c r="FF16" s="9" t="n">
        <v>0</v>
      </c>
      <c r="FG16" s="9" t="n">
        <v>0</v>
      </c>
      <c r="FH16" s="9" t="n">
        <v>0</v>
      </c>
      <c r="FI16" s="9" t="n">
        <v>0</v>
      </c>
      <c r="FJ16" s="9" t="n">
        <v>0</v>
      </c>
      <c r="FK16" s="11" t="n">
        <f aca="false">(FG16+FH16+FI16+FJ16)/4</f>
        <v>0</v>
      </c>
      <c r="FL16" s="11" t="n">
        <f aca="false">(FG16/DR16)</f>
        <v>0</v>
      </c>
      <c r="FM16" s="11" t="n">
        <f aca="false">(FH16/DS16)</f>
        <v>0</v>
      </c>
      <c r="FN16" s="11" t="n">
        <f aca="false">(FI16/DT16)</f>
        <v>0</v>
      </c>
      <c r="FO16" s="11" t="n">
        <f aca="false">(FJ16/DU16)</f>
        <v>0</v>
      </c>
      <c r="FP16" s="11" t="n">
        <f aca="false">(FK16/DV16)</f>
        <v>0</v>
      </c>
      <c r="FQ16" s="11" t="n">
        <f aca="false">(100*FP16)</f>
        <v>0</v>
      </c>
      <c r="FR16" s="9" t="n">
        <v>0</v>
      </c>
      <c r="FS16" s="9" t="n">
        <v>78.1</v>
      </c>
      <c r="FT16" s="9" t="n">
        <v>82.3</v>
      </c>
      <c r="FU16" s="9" t="n">
        <v>74</v>
      </c>
      <c r="FV16" s="9" t="n">
        <v>80.4</v>
      </c>
      <c r="FW16" s="11" t="n">
        <f aca="false">(FS16+FT16+FU16+FV16)/4</f>
        <v>78.7</v>
      </c>
      <c r="FX16" s="9" t="n">
        <v>0</v>
      </c>
      <c r="FY16" s="9" t="n">
        <v>0</v>
      </c>
      <c r="FZ16" s="9" t="n">
        <v>0</v>
      </c>
      <c r="GA16" s="9" t="n">
        <v>0</v>
      </c>
      <c r="GB16" s="11" t="n">
        <f aca="false">(FX16+FY16+FZ16+GA16)/4</f>
        <v>0</v>
      </c>
      <c r="GC16" s="9" t="n">
        <v>0</v>
      </c>
      <c r="GD16" s="9" t="n">
        <v>1</v>
      </c>
      <c r="GE16" s="9" t="n">
        <v>1</v>
      </c>
      <c r="GF16" s="9" t="n">
        <v>1</v>
      </c>
      <c r="GG16" s="11" t="n">
        <f aca="false">(GC16+GD16+GE16+GF16)/4</f>
        <v>0.75</v>
      </c>
      <c r="GH16" s="9" t="n">
        <v>0</v>
      </c>
      <c r="GI16" s="9" t="n">
        <v>0</v>
      </c>
      <c r="GJ16" s="9" t="n">
        <v>0</v>
      </c>
      <c r="GK16" s="9" t="n">
        <v>0</v>
      </c>
      <c r="GL16" s="11" t="n">
        <f aca="false">(GH16+GI16+GJ16+GK16)/4</f>
        <v>0</v>
      </c>
      <c r="GM16" s="9" t="n">
        <v>0</v>
      </c>
      <c r="GN16" s="9" t="n">
        <v>0</v>
      </c>
      <c r="GO16" s="9" t="n">
        <v>0</v>
      </c>
      <c r="GP16" s="9" t="n">
        <v>0</v>
      </c>
      <c r="GQ16" s="11" t="n">
        <f aca="false">(GM16+GN16+GO16+GP16)/4</f>
        <v>0</v>
      </c>
      <c r="GR16" s="9" t="n">
        <v>21</v>
      </c>
      <c r="GS16" s="9" t="n">
        <v>17</v>
      </c>
      <c r="GT16" s="9" t="n">
        <v>22</v>
      </c>
      <c r="GU16" s="9" t="n">
        <v>16</v>
      </c>
      <c r="GV16" s="11" t="n">
        <f aca="false">(GR16+GS16+GT16+GU16)/4</f>
        <v>19</v>
      </c>
      <c r="GW16" s="9" t="n">
        <v>0</v>
      </c>
      <c r="GX16" s="9" t="n">
        <v>0</v>
      </c>
      <c r="GY16" s="9" t="n">
        <v>0</v>
      </c>
      <c r="GZ16" s="9" t="n">
        <v>0</v>
      </c>
      <c r="HA16" s="11" t="n">
        <f aca="false">(GW16+GX16+GY16+GZ16)/4</f>
        <v>0</v>
      </c>
      <c r="HB16" s="9" t="n">
        <f aca="false">(GW16/GR16)</f>
        <v>0</v>
      </c>
      <c r="HC16" s="9" t="n">
        <f aca="false">(GX16/GS16)</f>
        <v>0</v>
      </c>
      <c r="HD16" s="9" t="n">
        <f aca="false">(GY16/GT16)</f>
        <v>0</v>
      </c>
      <c r="HE16" s="9" t="n">
        <f aca="false">(GZ16/GU16)/4</f>
        <v>0</v>
      </c>
      <c r="HF16" s="9" t="n">
        <f aca="false">(HB16+HC16+HD16+HE16)/4</f>
        <v>0</v>
      </c>
      <c r="HG16" s="9" t="n">
        <f aca="false">(100*HF16)</f>
        <v>0</v>
      </c>
      <c r="HH16" s="18" t="n">
        <v>0</v>
      </c>
      <c r="HI16" s="9" t="n">
        <v>0</v>
      </c>
      <c r="HJ16" s="9" t="n">
        <v>4</v>
      </c>
      <c r="HK16" s="9" t="n">
        <v>2</v>
      </c>
      <c r="HL16" s="19" t="n">
        <v>2</v>
      </c>
      <c r="HM16" s="9" t="n">
        <f aca="false">(HI16+HJ16+HK16+HL16)/4</f>
        <v>2</v>
      </c>
      <c r="HN16" s="9" t="n">
        <f aca="false">(HI16/GR16)</f>
        <v>0</v>
      </c>
      <c r="HO16" s="9" t="n">
        <f aca="false">(HJ16/GS16)</f>
        <v>0.235294117647059</v>
      </c>
      <c r="HP16" s="9" t="n">
        <f aca="false">(HK16/GT16)</f>
        <v>0.0909090909090909</v>
      </c>
      <c r="HQ16" s="9" t="n">
        <f aca="false">(HL16/GU16)</f>
        <v>0.125</v>
      </c>
      <c r="HR16" s="9" t="n">
        <f aca="false">(HM16/GV16)</f>
        <v>0.105263157894737</v>
      </c>
      <c r="HS16" s="9" t="n">
        <f aca="false">(100*HR16)</f>
        <v>10.5263157894737</v>
      </c>
      <c r="HT16" s="18" t="n">
        <v>2</v>
      </c>
      <c r="HU16" s="9" t="n">
        <v>0</v>
      </c>
      <c r="HV16" s="9" t="n">
        <v>0</v>
      </c>
      <c r="HW16" s="9" t="n">
        <v>0</v>
      </c>
      <c r="HX16" s="19" t="n">
        <v>0</v>
      </c>
      <c r="HY16" s="9" t="n">
        <f aca="false">(HU16+HV16+HW16+HX16)/4</f>
        <v>0</v>
      </c>
      <c r="HZ16" s="9" t="n">
        <f aca="false">(HU16/GR16)</f>
        <v>0</v>
      </c>
      <c r="IA16" s="9" t="n">
        <f aca="false">HV16/GS16</f>
        <v>0</v>
      </c>
      <c r="IB16" s="9" t="n">
        <f aca="false">(HW16/GT16)</f>
        <v>0</v>
      </c>
      <c r="IC16" s="9" t="n">
        <f aca="false">(HX16/GU16)</f>
        <v>0</v>
      </c>
      <c r="ID16" s="9" t="n">
        <f aca="false">(HY16/GV16)</f>
        <v>0</v>
      </c>
      <c r="IE16" s="9" t="n">
        <f aca="false">(100*ID16)</f>
        <v>0</v>
      </c>
      <c r="IF16" s="18" t="n">
        <v>0</v>
      </c>
      <c r="IG16" s="9" t="n">
        <v>0</v>
      </c>
      <c r="IH16" s="9" t="n">
        <v>0</v>
      </c>
      <c r="II16" s="19" t="n">
        <v>0</v>
      </c>
      <c r="IJ16" s="9" t="n">
        <v>0</v>
      </c>
      <c r="IK16" s="9" t="n">
        <f aca="false">(IG16+IH16+II16+IJ16)/4</f>
        <v>0</v>
      </c>
      <c r="IL16" s="9" t="e">
        <f aca="false">(IG16/GM16)</f>
        <v>#DIV/0!</v>
      </c>
      <c r="IM16" s="9" t="e">
        <f aca="false">(IH16/GN16)</f>
        <v>#DIV/0!</v>
      </c>
      <c r="IN16" s="9" t="e">
        <f aca="false">(II16/GO16)</f>
        <v>#DIV/0!</v>
      </c>
      <c r="IO16" s="9" t="e">
        <f aca="false">(IJ16/GP16)</f>
        <v>#DIV/0!</v>
      </c>
      <c r="IP16" s="9" t="e">
        <f aca="false">(IK16/GQ16)</f>
        <v>#DIV/0!</v>
      </c>
      <c r="IQ16" s="9" t="e">
        <f aca="false">(100*IP16)</f>
        <v>#DIV/0!</v>
      </c>
      <c r="IR16" s="18"/>
      <c r="IS16" s="9" t="n">
        <v>79.4</v>
      </c>
      <c r="IT16" s="9" t="n">
        <v>80.8</v>
      </c>
      <c r="IU16" s="19" t="n">
        <v>77.8</v>
      </c>
      <c r="IV16" s="9" t="n">
        <v>73.1</v>
      </c>
      <c r="IW16" s="9" t="n">
        <f aca="false">(IS16+IT16+IU16+IV16)/4</f>
        <v>77.775</v>
      </c>
      <c r="IX16" s="21" t="n">
        <v>45205</v>
      </c>
      <c r="IY16" s="10" t="s">
        <v>268</v>
      </c>
    </row>
    <row r="17" customFormat="false" ht="12.75" hidden="false" customHeight="true" outlineLevel="0" collapsed="false">
      <c r="A17" s="9" t="s">
        <v>299</v>
      </c>
      <c r="B17" s="10" t="s">
        <v>307</v>
      </c>
      <c r="C17" s="10" t="s">
        <v>261</v>
      </c>
      <c r="D17" s="9" t="n">
        <v>2</v>
      </c>
      <c r="E17" s="9" t="n">
        <v>6</v>
      </c>
      <c r="F17" s="10" t="s">
        <v>308</v>
      </c>
      <c r="G17" s="11" t="s">
        <v>263</v>
      </c>
      <c r="H17" s="9" t="n">
        <v>21</v>
      </c>
      <c r="I17" s="9" t="n">
        <v>5</v>
      </c>
      <c r="J17" s="12" t="s">
        <v>264</v>
      </c>
      <c r="K17" s="13" t="s">
        <v>309</v>
      </c>
      <c r="L17" s="13" t="s">
        <v>310</v>
      </c>
      <c r="M17" s="14" t="n">
        <v>1317</v>
      </c>
      <c r="N17" s="15" t="n">
        <v>45134</v>
      </c>
      <c r="O17" s="10" t="s">
        <v>267</v>
      </c>
      <c r="P17" s="9"/>
      <c r="Q17" s="9" t="n">
        <v>0.12</v>
      </c>
      <c r="R17" s="9" t="n">
        <v>15</v>
      </c>
      <c r="S17" s="9" t="n">
        <v>-10</v>
      </c>
      <c r="T17" s="9" t="n">
        <v>140</v>
      </c>
      <c r="U17" s="9"/>
      <c r="V17" s="9" t="n">
        <v>2.9</v>
      </c>
      <c r="W17" s="22" t="s">
        <v>311</v>
      </c>
      <c r="X17" s="9" t="n">
        <v>0</v>
      </c>
      <c r="Y17" s="9" t="n">
        <v>0</v>
      </c>
      <c r="Z17" s="9" t="n">
        <v>0</v>
      </c>
      <c r="AA17" s="9" t="n">
        <v>0</v>
      </c>
      <c r="AB17" s="11" t="n">
        <f aca="false">(X17+Y17+Z17+AA17)/4</f>
        <v>0</v>
      </c>
      <c r="AC17" s="9" t="n">
        <v>1</v>
      </c>
      <c r="AD17" s="9" t="n">
        <v>1</v>
      </c>
      <c r="AE17" s="9" t="n">
        <v>1</v>
      </c>
      <c r="AF17" s="9" t="n">
        <v>1</v>
      </c>
      <c r="AG17" s="11" t="n">
        <f aca="false">(AC17+AD17+AE17+AF17)/4</f>
        <v>1</v>
      </c>
      <c r="AH17" s="9" t="n">
        <v>1</v>
      </c>
      <c r="AI17" s="9" t="n">
        <v>1</v>
      </c>
      <c r="AJ17" s="9" t="n">
        <v>1</v>
      </c>
      <c r="AK17" s="9" t="n">
        <v>1</v>
      </c>
      <c r="AL17" s="11" t="n">
        <f aca="false">(AH17+AI17+AJ17+AK17)/4</f>
        <v>1</v>
      </c>
      <c r="AM17" s="9" t="n">
        <v>32</v>
      </c>
      <c r="AN17" s="9" t="n">
        <v>47</v>
      </c>
      <c r="AO17" s="9" t="n">
        <v>23</v>
      </c>
      <c r="AP17" s="9" t="n">
        <v>80</v>
      </c>
      <c r="AQ17" s="11" t="n">
        <f aca="false">(AM17+AN17+AO17+AP17)/4</f>
        <v>45.5</v>
      </c>
      <c r="AR17" s="9" t="n">
        <v>6</v>
      </c>
      <c r="AS17" s="9" t="n">
        <v>16</v>
      </c>
      <c r="AT17" s="9" t="n">
        <v>9</v>
      </c>
      <c r="AU17" s="9" t="n">
        <v>15</v>
      </c>
      <c r="AV17" s="11" t="n">
        <f aca="false">(AR17+AS17+AT17+AU17)/4</f>
        <v>11.5</v>
      </c>
      <c r="AW17" s="9" t="n">
        <v>0</v>
      </c>
      <c r="AX17" s="9" t="n">
        <v>0</v>
      </c>
      <c r="AY17" s="9" t="n">
        <v>0</v>
      </c>
      <c r="AZ17" s="9" t="n">
        <v>0</v>
      </c>
      <c r="BA17" s="11" t="n">
        <f aca="false">(AW17+AX17+AY17+AZ17)/4</f>
        <v>0</v>
      </c>
      <c r="BB17" s="11" t="n">
        <f aca="false">(AW17/AR17)</f>
        <v>0</v>
      </c>
      <c r="BC17" s="11" t="n">
        <f aca="false">(AX17/AS17)</f>
        <v>0</v>
      </c>
      <c r="BD17" s="11" t="n">
        <f aca="false">(AY17/AT17)</f>
        <v>0</v>
      </c>
      <c r="BE17" s="11" t="n">
        <f aca="false">(AZ17/AU17)</f>
        <v>0</v>
      </c>
      <c r="BF17" s="11" t="n">
        <f aca="false">(BA17/AV17)</f>
        <v>0</v>
      </c>
      <c r="BG17" s="11" t="n">
        <f aca="false">(BF17*100)</f>
        <v>0</v>
      </c>
      <c r="BH17" s="9" t="n">
        <v>0</v>
      </c>
      <c r="BI17" s="9" t="n">
        <v>3</v>
      </c>
      <c r="BJ17" s="9" t="n">
        <v>2</v>
      </c>
      <c r="BK17" s="9" t="n">
        <v>3</v>
      </c>
      <c r="BL17" s="9" t="n">
        <v>8</v>
      </c>
      <c r="BM17" s="11" t="n">
        <f aca="false">(BI17+BJ17+BK17+BL17)/4</f>
        <v>4</v>
      </c>
      <c r="BN17" s="11" t="n">
        <f aca="false">(BI17/AR17)</f>
        <v>0.5</v>
      </c>
      <c r="BO17" s="11" t="n">
        <f aca="false">(BJ17/AS17)</f>
        <v>0.125</v>
      </c>
      <c r="BP17" s="11" t="n">
        <f aca="false">(BK17/AT17)</f>
        <v>0.333333333333333</v>
      </c>
      <c r="BQ17" s="11" t="n">
        <f aca="false">(BL17/AU17)</f>
        <v>0.533333333333333</v>
      </c>
      <c r="BR17" s="11" t="n">
        <f aca="false">(BM17/AV17)</f>
        <v>0.347826086956522</v>
      </c>
      <c r="BS17" s="11" t="n">
        <f aca="false">(100*BR17)</f>
        <v>34.7826086956522</v>
      </c>
      <c r="BT17" s="9" t="n">
        <v>3</v>
      </c>
      <c r="BU17" s="9" t="n">
        <v>0</v>
      </c>
      <c r="BV17" s="9" t="n">
        <v>1</v>
      </c>
      <c r="BW17" s="9" t="n">
        <v>0</v>
      </c>
      <c r="BX17" s="9" t="n">
        <v>0</v>
      </c>
      <c r="BY17" s="11" t="n">
        <f aca="false">(BU17+BV17+BW17+BX17)/4</f>
        <v>0.25</v>
      </c>
      <c r="BZ17" s="11" t="n">
        <f aca="false">(BU17/AR17)</f>
        <v>0</v>
      </c>
      <c r="CA17" s="11" t="n">
        <f aca="false">(BV17/AS17)</f>
        <v>0.0625</v>
      </c>
      <c r="CB17" s="11" t="n">
        <f aca="false">(BW17/AT17)</f>
        <v>0</v>
      </c>
      <c r="CC17" s="11" t="n">
        <f aca="false">(BX17/AU17)</f>
        <v>0</v>
      </c>
      <c r="CD17" s="11" t="n">
        <f aca="false">(BY17/AV17)</f>
        <v>0.0217391304347826</v>
      </c>
      <c r="CE17" s="11" t="n">
        <f aca="false">(100*CD17)</f>
        <v>2.17391304347826</v>
      </c>
      <c r="CF17" s="9" t="n">
        <v>1</v>
      </c>
      <c r="CG17" s="9" t="n">
        <v>7</v>
      </c>
      <c r="CH17" s="9" t="n">
        <v>2</v>
      </c>
      <c r="CI17" s="9" t="n">
        <v>2</v>
      </c>
      <c r="CJ17" s="9" t="n">
        <v>7</v>
      </c>
      <c r="CK17" s="11" t="n">
        <f aca="false">(CG17+CH17+CI17+CJ17)/4</f>
        <v>4.5</v>
      </c>
      <c r="CL17" s="11" t="n">
        <f aca="false">(CG17/AM17)</f>
        <v>0.21875</v>
      </c>
      <c r="CM17" s="11" t="n">
        <f aca="false">(CH17/AN17)</f>
        <v>0.0425531914893617</v>
      </c>
      <c r="CN17" s="11" t="n">
        <f aca="false">(CI17/AO17)</f>
        <v>0.0869565217391304</v>
      </c>
      <c r="CO17" s="9" t="n">
        <f aca="false">(CJ17/AP17)</f>
        <v>0.0875</v>
      </c>
      <c r="CP17" s="9" t="n">
        <f aca="false">(CK17/AQ17)</f>
        <v>0.0989010989010989</v>
      </c>
      <c r="CQ17" s="9" t="n">
        <f aca="false">(100*CP17)</f>
        <v>9.89010989010989</v>
      </c>
      <c r="CR17" s="18" t="n">
        <v>2</v>
      </c>
      <c r="CS17" s="9" t="n">
        <v>57.4</v>
      </c>
      <c r="CT17" s="9" t="n">
        <v>55.5</v>
      </c>
      <c r="CU17" s="9" t="n">
        <v>61.7</v>
      </c>
      <c r="CV17" s="9" t="n">
        <v>64.1</v>
      </c>
      <c r="CW17" s="11" t="n">
        <f aca="false">(CS17+CT17+CU17+CV17)/4</f>
        <v>59.675</v>
      </c>
      <c r="CX17" s="9" t="n">
        <v>0</v>
      </c>
      <c r="CY17" s="9" t="n">
        <v>0</v>
      </c>
      <c r="CZ17" s="9" t="n">
        <v>0</v>
      </c>
      <c r="DA17" s="9" t="n">
        <v>0</v>
      </c>
      <c r="DB17" s="11" t="n">
        <f aca="false">(CX17+CY17+CZ17+DA17)/4</f>
        <v>0</v>
      </c>
      <c r="DC17" s="9" t="n">
        <v>1</v>
      </c>
      <c r="DD17" s="9" t="n">
        <v>1</v>
      </c>
      <c r="DE17" s="9" t="n">
        <v>1</v>
      </c>
      <c r="DF17" s="9" t="n">
        <v>1</v>
      </c>
      <c r="DG17" s="11" t="n">
        <f aca="false">(DC17+DD17+DE17+DF17)/4</f>
        <v>1</v>
      </c>
      <c r="DH17" s="9" t="n">
        <v>1</v>
      </c>
      <c r="DI17" s="9" t="n">
        <v>1</v>
      </c>
      <c r="DJ17" s="9" t="n">
        <v>1</v>
      </c>
      <c r="DK17" s="9" t="n">
        <v>1</v>
      </c>
      <c r="DL17" s="11" t="n">
        <f aca="false">(DH17+DI17+DJ17+DK17)/4</f>
        <v>1</v>
      </c>
      <c r="DM17" s="9" t="n">
        <v>14</v>
      </c>
      <c r="DN17" s="9" t="n">
        <v>22</v>
      </c>
      <c r="DO17" s="9" t="n">
        <v>19</v>
      </c>
      <c r="DP17" s="9" t="n">
        <v>29</v>
      </c>
      <c r="DQ17" s="11" t="n">
        <f aca="false">(DM17+DN17+DO17+DP17)/4</f>
        <v>21</v>
      </c>
      <c r="DR17" s="9" t="n">
        <v>6</v>
      </c>
      <c r="DS17" s="9" t="n">
        <v>18</v>
      </c>
      <c r="DT17" s="9" t="n">
        <v>14</v>
      </c>
      <c r="DU17" s="9" t="n">
        <v>14</v>
      </c>
      <c r="DV17" s="11" t="n">
        <f aca="false">(DR17+DS17+DT17+DU17)/4</f>
        <v>13</v>
      </c>
      <c r="DW17" s="9" t="n">
        <v>0</v>
      </c>
      <c r="DX17" s="9" t="n">
        <v>0</v>
      </c>
      <c r="DY17" s="9" t="n">
        <v>0</v>
      </c>
      <c r="DZ17" s="9" t="n">
        <v>0</v>
      </c>
      <c r="EA17" s="11" t="n">
        <f aca="false">(DW17+DX17+DY17+DZ17)/4</f>
        <v>0</v>
      </c>
      <c r="EB17" s="11" t="n">
        <f aca="false">(DW17/DR17)</f>
        <v>0</v>
      </c>
      <c r="EC17" s="11" t="n">
        <f aca="false">(DX17/DS17)</f>
        <v>0</v>
      </c>
      <c r="ED17" s="11" t="n">
        <f aca="false">(DY17/DT17)</f>
        <v>0</v>
      </c>
      <c r="EE17" s="11" t="n">
        <f aca="false">(DZ17/DU17)</f>
        <v>0</v>
      </c>
      <c r="EF17" s="11" t="n">
        <f aca="false">(EA17/DV17)</f>
        <v>0</v>
      </c>
      <c r="EG17" s="11" t="n">
        <f aca="false">(100*EF17)</f>
        <v>0</v>
      </c>
      <c r="EH17" s="9" t="n">
        <v>0</v>
      </c>
      <c r="EI17" s="9" t="n">
        <v>4</v>
      </c>
      <c r="EJ17" s="9" t="n">
        <v>2</v>
      </c>
      <c r="EK17" s="19" t="n">
        <v>2</v>
      </c>
      <c r="EL17" s="9" t="n">
        <v>3</v>
      </c>
      <c r="EM17" s="9" t="n">
        <f aca="false">(EI17+EJ17+EK17+EL17)/4</f>
        <v>2.75</v>
      </c>
      <c r="EN17" s="9" t="n">
        <f aca="false">(EI17/DR17)</f>
        <v>0.666666666666667</v>
      </c>
      <c r="EO17" s="9" t="n">
        <f aca="false">(EJ17/DS17)</f>
        <v>0.111111111111111</v>
      </c>
      <c r="EP17" s="9" t="n">
        <f aca="false">(EK17/DT17)</f>
        <v>0.142857142857143</v>
      </c>
      <c r="EQ17" s="9" t="n">
        <f aca="false">(EL17/DU17)</f>
        <v>0.214285714285714</v>
      </c>
      <c r="ER17" s="9" t="n">
        <f aca="false">EM17/DV17</f>
        <v>0.211538461538462</v>
      </c>
      <c r="ES17" s="9" t="n">
        <f aca="false">(100*ER17)</f>
        <v>21.1538461538462</v>
      </c>
      <c r="ET17" s="9" t="n">
        <v>2</v>
      </c>
      <c r="EU17" s="18" t="n">
        <v>0</v>
      </c>
      <c r="EV17" s="9" t="n">
        <v>1</v>
      </c>
      <c r="EW17" s="9" t="n">
        <v>0</v>
      </c>
      <c r="EX17" s="9" t="n">
        <v>0</v>
      </c>
      <c r="EY17" s="11" t="n">
        <f aca="false">(EU17+EV17+EW17+EX17)/4</f>
        <v>0.25</v>
      </c>
      <c r="EZ17" s="11" t="n">
        <f aca="false">(EU17/DR17)</f>
        <v>0</v>
      </c>
      <c r="FA17" s="11" t="n">
        <f aca="false">(EV17/DS17)</f>
        <v>0.0555555555555556</v>
      </c>
      <c r="FB17" s="11" t="n">
        <f aca="false">(EW17/DT17)</f>
        <v>0</v>
      </c>
      <c r="FC17" s="11" t="n">
        <f aca="false">(EX17/DU17)</f>
        <v>0</v>
      </c>
      <c r="FD17" s="11" t="n">
        <f aca="false">(EY17/DV17)</f>
        <v>0.0192307692307692</v>
      </c>
      <c r="FE17" s="11" t="n">
        <f aca="false">(100*FD17)</f>
        <v>1.92307692307692</v>
      </c>
      <c r="FF17" s="9" t="n">
        <v>1</v>
      </c>
      <c r="FG17" s="9" t="n">
        <v>2</v>
      </c>
      <c r="FH17" s="9" t="n">
        <v>4</v>
      </c>
      <c r="FI17" s="9" t="n">
        <v>7</v>
      </c>
      <c r="FJ17" s="9" t="n">
        <v>2</v>
      </c>
      <c r="FK17" s="11" t="n">
        <f aca="false">(FG17+FH17+FI17+FJ17)/4</f>
        <v>3.75</v>
      </c>
      <c r="FL17" s="11" t="n">
        <f aca="false">(FG17/DR17)</f>
        <v>0.333333333333333</v>
      </c>
      <c r="FM17" s="11" t="n">
        <f aca="false">(FH17/DS17)</f>
        <v>0.222222222222222</v>
      </c>
      <c r="FN17" s="11" t="n">
        <f aca="false">(FI17/DT17)</f>
        <v>0.5</v>
      </c>
      <c r="FO17" s="11" t="n">
        <f aca="false">(FJ17/DU17)</f>
        <v>0.142857142857143</v>
      </c>
      <c r="FP17" s="11" t="n">
        <f aca="false">(FK17/DV17)</f>
        <v>0.288461538461538</v>
      </c>
      <c r="FQ17" s="11" t="n">
        <f aca="false">(100*FP17)</f>
        <v>28.8461538461538</v>
      </c>
      <c r="FR17" s="9" t="n">
        <v>2</v>
      </c>
      <c r="FS17" s="9" t="n">
        <v>51.4</v>
      </c>
      <c r="FT17" s="9" t="n">
        <v>60.3</v>
      </c>
      <c r="FU17" s="9" t="n">
        <v>70.6</v>
      </c>
      <c r="FV17" s="9" t="n">
        <v>80.7</v>
      </c>
      <c r="FW17" s="11" t="n">
        <f aca="false">(FS17+FT17+FU17+FV17)/4</f>
        <v>65.75</v>
      </c>
      <c r="FX17" s="9" t="n">
        <v>0</v>
      </c>
      <c r="FY17" s="9" t="n">
        <v>0</v>
      </c>
      <c r="FZ17" s="9" t="n">
        <v>0</v>
      </c>
      <c r="GA17" s="9" t="n">
        <v>0</v>
      </c>
      <c r="GB17" s="11" t="n">
        <f aca="false">(FX17+FY17+FZ17+GA17)/4</f>
        <v>0</v>
      </c>
      <c r="GC17" s="9" t="n">
        <v>1</v>
      </c>
      <c r="GD17" s="9" t="n">
        <v>1</v>
      </c>
      <c r="GE17" s="9" t="n">
        <v>1</v>
      </c>
      <c r="GF17" s="9" t="n">
        <v>1</v>
      </c>
      <c r="GG17" s="11" t="n">
        <f aca="false">(GC17+GD17+GE17+GF17)/4</f>
        <v>1</v>
      </c>
      <c r="GH17" s="9" t="n">
        <v>1</v>
      </c>
      <c r="GI17" s="9" t="n">
        <v>1</v>
      </c>
      <c r="GJ17" s="9" t="n">
        <v>1</v>
      </c>
      <c r="GK17" s="9" t="n">
        <v>1</v>
      </c>
      <c r="GL17" s="11" t="n">
        <f aca="false">(GH17+GI17+GJ17+GK17)/4</f>
        <v>1</v>
      </c>
      <c r="GM17" s="9" t="n">
        <v>75</v>
      </c>
      <c r="GN17" s="9" t="n">
        <v>97</v>
      </c>
      <c r="GO17" s="9" t="n">
        <v>41</v>
      </c>
      <c r="GP17" s="9" t="n">
        <v>27</v>
      </c>
      <c r="GQ17" s="11" t="n">
        <f aca="false">(GM17+GN17+GO17+GP17)/4</f>
        <v>60</v>
      </c>
      <c r="GR17" s="9" t="n">
        <v>12</v>
      </c>
      <c r="GS17" s="9" t="n">
        <v>7</v>
      </c>
      <c r="GT17" s="9" t="n">
        <v>20</v>
      </c>
      <c r="GU17" s="9" t="n">
        <v>15</v>
      </c>
      <c r="GV17" s="11" t="n">
        <f aca="false">(GR17+GS17+GT17+GU17)/4</f>
        <v>13.5</v>
      </c>
      <c r="GW17" s="9" t="n">
        <v>0</v>
      </c>
      <c r="GX17" s="9" t="n">
        <v>0</v>
      </c>
      <c r="GY17" s="9" t="n">
        <v>0</v>
      </c>
      <c r="GZ17" s="9" t="n">
        <v>0</v>
      </c>
      <c r="HA17" s="11" t="n">
        <f aca="false">(GW17+GX17+GY17+GZ17)/4</f>
        <v>0</v>
      </c>
      <c r="HB17" s="9" t="n">
        <f aca="false">(GW17/GR17)</f>
        <v>0</v>
      </c>
      <c r="HC17" s="9" t="n">
        <f aca="false">(GX17/GS17)</f>
        <v>0</v>
      </c>
      <c r="HD17" s="9" t="n">
        <f aca="false">(GY17/GT17)</f>
        <v>0</v>
      </c>
      <c r="HE17" s="9" t="n">
        <f aca="false">(GZ17/GU17)/4</f>
        <v>0</v>
      </c>
      <c r="HF17" s="9" t="n">
        <f aca="false">(HB17+HC17+HD17+HE17)/4</f>
        <v>0</v>
      </c>
      <c r="HG17" s="9" t="n">
        <f aca="false">(100*HF17)</f>
        <v>0</v>
      </c>
      <c r="HH17" s="18" t="n">
        <v>0</v>
      </c>
      <c r="HI17" s="9" t="n">
        <v>3</v>
      </c>
      <c r="HJ17" s="9" t="n">
        <v>2</v>
      </c>
      <c r="HK17" s="9" t="n">
        <v>1</v>
      </c>
      <c r="HL17" s="19" t="n">
        <v>6</v>
      </c>
      <c r="HM17" s="9" t="n">
        <f aca="false">(HI17+HJ17+HK17+HL17)/4</f>
        <v>3</v>
      </c>
      <c r="HN17" s="9" t="n">
        <f aca="false">(HI17/GR17)</f>
        <v>0.25</v>
      </c>
      <c r="HO17" s="9" t="n">
        <f aca="false">(HJ17/GS17)</f>
        <v>0.285714285714286</v>
      </c>
      <c r="HP17" s="9" t="n">
        <f aca="false">(HK17/GT17)</f>
        <v>0.05</v>
      </c>
      <c r="HQ17" s="9" t="n">
        <f aca="false">(HL17/GU17)</f>
        <v>0.4</v>
      </c>
      <c r="HR17" s="9" t="n">
        <f aca="false">(HM17/GV17)</f>
        <v>0.222222222222222</v>
      </c>
      <c r="HS17" s="9" t="n">
        <f aca="false">(100*HR17)</f>
        <v>22.2222222222222</v>
      </c>
      <c r="HT17" s="18" t="n">
        <v>2</v>
      </c>
      <c r="HU17" s="9" t="n">
        <v>2</v>
      </c>
      <c r="HV17" s="9" t="n">
        <v>1</v>
      </c>
      <c r="HW17" s="9" t="n">
        <v>2</v>
      </c>
      <c r="HX17" s="19" t="n">
        <v>0</v>
      </c>
      <c r="HY17" s="9" t="n">
        <f aca="false">(HU17+HV17+HW17+HX17)/4</f>
        <v>1.25</v>
      </c>
      <c r="HZ17" s="9" t="n">
        <f aca="false">(HU17/GR17)</f>
        <v>0.166666666666667</v>
      </c>
      <c r="IA17" s="9" t="n">
        <f aca="false">HV17/GS17</f>
        <v>0.142857142857143</v>
      </c>
      <c r="IB17" s="9" t="n">
        <f aca="false">(HW17/GT17)</f>
        <v>0.1</v>
      </c>
      <c r="IC17" s="9" t="n">
        <f aca="false">(HX17/GU17)</f>
        <v>0</v>
      </c>
      <c r="ID17" s="9" t="n">
        <f aca="false">(HY17/GV17)</f>
        <v>0.0925925925925926</v>
      </c>
      <c r="IE17" s="9" t="n">
        <f aca="false">(100*ID17)</f>
        <v>9.25925925925926</v>
      </c>
      <c r="IF17" s="18" t="n">
        <v>1</v>
      </c>
      <c r="IG17" s="9" t="n">
        <v>7</v>
      </c>
      <c r="IH17" s="9" t="n">
        <v>6</v>
      </c>
      <c r="II17" s="19" t="n">
        <v>3</v>
      </c>
      <c r="IJ17" s="9" t="n">
        <v>5</v>
      </c>
      <c r="IK17" s="9" t="n">
        <f aca="false">(IG17+IH17+II17+IJ17)/4</f>
        <v>5.25</v>
      </c>
      <c r="IL17" s="9" t="n">
        <f aca="false">(IG17/GM17)</f>
        <v>0.0933333333333333</v>
      </c>
      <c r="IM17" s="9" t="n">
        <f aca="false">(IH17/GN17)</f>
        <v>0.0618556701030928</v>
      </c>
      <c r="IN17" s="9" t="n">
        <f aca="false">(II17/GO17)</f>
        <v>0.0731707317073171</v>
      </c>
      <c r="IO17" s="9" t="n">
        <f aca="false">(IJ17/GP17)</f>
        <v>0.185185185185185</v>
      </c>
      <c r="IP17" s="9" t="n">
        <f aca="false">(IK17/GQ17)</f>
        <v>0.0875</v>
      </c>
      <c r="IQ17" s="9" t="n">
        <f aca="false">(100*IP17)</f>
        <v>8.75</v>
      </c>
      <c r="IR17" s="18" t="n">
        <v>1</v>
      </c>
      <c r="IS17" s="9" t="n">
        <v>67.7</v>
      </c>
      <c r="IT17" s="9" t="n">
        <v>65.7</v>
      </c>
      <c r="IU17" s="19" t="n">
        <v>59.4</v>
      </c>
      <c r="IV17" s="9" t="n">
        <v>36.7</v>
      </c>
      <c r="IW17" s="9" t="n">
        <f aca="false">(IS17+IT17+IU17+IV17)/4</f>
        <v>57.375</v>
      </c>
      <c r="IX17" s="16" t="n">
        <v>45241</v>
      </c>
      <c r="IY17" s="10" t="s">
        <v>268</v>
      </c>
    </row>
    <row r="18" customFormat="false" ht="15" hidden="false" customHeight="false" outlineLevel="0" collapsed="false">
      <c r="A18" s="9" t="s">
        <v>299</v>
      </c>
      <c r="B18" s="10" t="s">
        <v>307</v>
      </c>
      <c r="C18" s="10" t="s">
        <v>261</v>
      </c>
      <c r="D18" s="9" t="n">
        <v>2</v>
      </c>
      <c r="E18" s="9" t="n">
        <v>6</v>
      </c>
      <c r="F18" s="10" t="s">
        <v>312</v>
      </c>
      <c r="G18" s="11" t="s">
        <v>263</v>
      </c>
      <c r="H18" s="9" t="n">
        <v>21</v>
      </c>
      <c r="I18" s="9" t="n">
        <v>10</v>
      </c>
      <c r="J18" s="12" t="s">
        <v>270</v>
      </c>
      <c r="K18" s="20"/>
      <c r="L18" s="20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 t="n">
        <v>0</v>
      </c>
      <c r="Y18" s="9" t="n">
        <v>0</v>
      </c>
      <c r="Z18" s="9" t="n">
        <v>0</v>
      </c>
      <c r="AA18" s="9" t="n">
        <v>0</v>
      </c>
      <c r="AB18" s="11" t="n">
        <f aca="false">(X18+Y18+Z18+AA18)/4</f>
        <v>0</v>
      </c>
      <c r="AC18" s="9" t="n">
        <v>1</v>
      </c>
      <c r="AD18" s="9" t="n">
        <v>1</v>
      </c>
      <c r="AE18" s="9" t="n">
        <v>1</v>
      </c>
      <c r="AF18" s="9" t="n">
        <v>1</v>
      </c>
      <c r="AG18" s="11" t="n">
        <f aca="false">(AC18+AD18+AE18+AF18)/4</f>
        <v>1</v>
      </c>
      <c r="AH18" s="9" t="n">
        <v>1</v>
      </c>
      <c r="AI18" s="9" t="n">
        <v>1</v>
      </c>
      <c r="AJ18" s="9" t="n">
        <v>1</v>
      </c>
      <c r="AK18" s="9" t="n">
        <v>1</v>
      </c>
      <c r="AL18" s="11" t="n">
        <f aca="false">(AH18+AI18+AJ18+AK18)/4</f>
        <v>1</v>
      </c>
      <c r="AM18" s="9" t="n">
        <v>4</v>
      </c>
      <c r="AN18" s="9" t="n">
        <v>4</v>
      </c>
      <c r="AO18" s="9" t="n">
        <v>27</v>
      </c>
      <c r="AP18" s="9" t="n">
        <v>8</v>
      </c>
      <c r="AQ18" s="11" t="n">
        <f aca="false">(AM18+AN18+AO18+AP18)/4</f>
        <v>10.75</v>
      </c>
      <c r="AR18" s="9" t="n">
        <v>12</v>
      </c>
      <c r="AS18" s="9" t="n">
        <v>8</v>
      </c>
      <c r="AT18" s="9" t="n">
        <v>12</v>
      </c>
      <c r="AU18" s="9" t="n">
        <v>7</v>
      </c>
      <c r="AV18" s="11" t="n">
        <f aca="false">(AR18+AS18+AT18+AU18)/4</f>
        <v>9.75</v>
      </c>
      <c r="AW18" s="9" t="n">
        <v>0</v>
      </c>
      <c r="AX18" s="9" t="n">
        <v>0</v>
      </c>
      <c r="AY18" s="9" t="n">
        <v>0</v>
      </c>
      <c r="AZ18" s="9" t="n">
        <v>0</v>
      </c>
      <c r="BA18" s="11" t="n">
        <f aca="false">(AW18+AX18+AY18+AZ18)/4</f>
        <v>0</v>
      </c>
      <c r="BB18" s="11" t="n">
        <f aca="false">(AW18/AR18)</f>
        <v>0</v>
      </c>
      <c r="BC18" s="11" t="n">
        <f aca="false">(AX18/AS18)</f>
        <v>0</v>
      </c>
      <c r="BD18" s="11" t="n">
        <f aca="false">(AY18/AT18)</f>
        <v>0</v>
      </c>
      <c r="BE18" s="11" t="n">
        <f aca="false">(AZ18/AU18)</f>
        <v>0</v>
      </c>
      <c r="BF18" s="11" t="n">
        <f aca="false">(BA18/AV18)</f>
        <v>0</v>
      </c>
      <c r="BG18" s="11" t="n">
        <f aca="false">(BF18*100)</f>
        <v>0</v>
      </c>
      <c r="BH18" s="9" t="n">
        <v>0</v>
      </c>
      <c r="BI18" s="9" t="n">
        <v>7</v>
      </c>
      <c r="BJ18" s="9" t="n">
        <v>5</v>
      </c>
      <c r="BK18" s="9" t="n">
        <v>6</v>
      </c>
      <c r="BL18" s="9" t="n">
        <v>2</v>
      </c>
      <c r="BM18" s="11" t="n">
        <f aca="false">(BI18+BJ18+BK18+BL18)/4</f>
        <v>5</v>
      </c>
      <c r="BN18" s="11" t="n">
        <f aca="false">(BI18/AR18)</f>
        <v>0.583333333333333</v>
      </c>
      <c r="BO18" s="11" t="n">
        <f aca="false">(BJ18/AS18)</f>
        <v>0.625</v>
      </c>
      <c r="BP18" s="11" t="n">
        <f aca="false">(BK18/AT18)</f>
        <v>0.5</v>
      </c>
      <c r="BQ18" s="11" t="n">
        <f aca="false">(BL18/AU18)</f>
        <v>0.285714285714286</v>
      </c>
      <c r="BR18" s="11" t="n">
        <f aca="false">(BM18/AV18)</f>
        <v>0.512820512820513</v>
      </c>
      <c r="BS18" s="11" t="n">
        <f aca="false">(100*BR18)</f>
        <v>51.2820512820513</v>
      </c>
      <c r="BT18" s="9" t="n">
        <v>3</v>
      </c>
      <c r="BU18" s="9" t="n">
        <v>0</v>
      </c>
      <c r="BV18" s="9" t="n">
        <v>0</v>
      </c>
      <c r="BW18" s="9" t="n">
        <v>1</v>
      </c>
      <c r="BX18" s="9" t="n">
        <v>0</v>
      </c>
      <c r="BY18" s="11" t="n">
        <f aca="false">(BU18+BV18+BW18+BX18)/4</f>
        <v>0.25</v>
      </c>
      <c r="BZ18" s="11" t="n">
        <f aca="false">(BU18/AR18)</f>
        <v>0</v>
      </c>
      <c r="CA18" s="11" t="n">
        <f aca="false">(BV18/AS18)</f>
        <v>0</v>
      </c>
      <c r="CB18" s="11" t="n">
        <f aca="false">(BW18/AT18)</f>
        <v>0.0833333333333333</v>
      </c>
      <c r="CC18" s="11" t="n">
        <f aca="false">(BX18/AU18)</f>
        <v>0</v>
      </c>
      <c r="CD18" s="11" t="n">
        <f aca="false">(BY18/AV18)</f>
        <v>0.0256410256410256</v>
      </c>
      <c r="CE18" s="11" t="n">
        <f aca="false">(100*CD18)</f>
        <v>2.56410256410256</v>
      </c>
      <c r="CF18" s="9" t="n">
        <v>1</v>
      </c>
      <c r="CG18" s="9" t="n">
        <v>2</v>
      </c>
      <c r="CH18" s="9" t="n">
        <v>2</v>
      </c>
      <c r="CI18" s="9" t="n">
        <v>2</v>
      </c>
      <c r="CJ18" s="9" t="n">
        <v>3</v>
      </c>
      <c r="CK18" s="11" t="n">
        <f aca="false">(CG18+CH18+CI18+CJ18)/4</f>
        <v>2.25</v>
      </c>
      <c r="CL18" s="11" t="n">
        <f aca="false">(CG18/AM18)</f>
        <v>0.5</v>
      </c>
      <c r="CM18" s="11" t="n">
        <f aca="false">(CH18/AN18)</f>
        <v>0.5</v>
      </c>
      <c r="CN18" s="11" t="n">
        <f aca="false">(CI18/AO18)</f>
        <v>0.0740740740740741</v>
      </c>
      <c r="CO18" s="9" t="n">
        <f aca="false">(CJ18/AP18)</f>
        <v>0.375</v>
      </c>
      <c r="CP18" s="9" t="n">
        <f aca="false">(CK18/AQ18)</f>
        <v>0.209302325581395</v>
      </c>
      <c r="CQ18" s="9" t="n">
        <f aca="false">(100*CP18)</f>
        <v>20.9302325581395</v>
      </c>
      <c r="CR18" s="18" t="n">
        <v>2</v>
      </c>
      <c r="CS18" s="9" t="n">
        <v>62.5</v>
      </c>
      <c r="CT18" s="9" t="n">
        <v>68</v>
      </c>
      <c r="CU18" s="9" t="n">
        <v>48.4</v>
      </c>
      <c r="CV18" s="9" t="n">
        <v>68.2</v>
      </c>
      <c r="CW18" s="11" t="n">
        <f aca="false">(CS18+CT18+CU18+CV18)/4</f>
        <v>61.775</v>
      </c>
      <c r="CX18" s="9" t="n">
        <v>0</v>
      </c>
      <c r="CY18" s="9" t="n">
        <v>0</v>
      </c>
      <c r="CZ18" s="9" t="n">
        <v>0</v>
      </c>
      <c r="DA18" s="9" t="n">
        <v>0</v>
      </c>
      <c r="DB18" s="11" t="n">
        <f aca="false">(CX18+CY18+CZ18+DA18)/4</f>
        <v>0</v>
      </c>
      <c r="DC18" s="9" t="n">
        <v>1</v>
      </c>
      <c r="DD18" s="9" t="n">
        <v>1</v>
      </c>
      <c r="DE18" s="9" t="n">
        <v>1</v>
      </c>
      <c r="DF18" s="9" t="n">
        <v>1</v>
      </c>
      <c r="DG18" s="11" t="n">
        <f aca="false">(DC18+DD18+DE18+DF18)/4</f>
        <v>1</v>
      </c>
      <c r="DH18" s="9" t="n">
        <v>1</v>
      </c>
      <c r="DI18" s="9" t="n">
        <v>1</v>
      </c>
      <c r="DJ18" s="9" t="n">
        <v>1</v>
      </c>
      <c r="DK18" s="9" t="n">
        <v>0</v>
      </c>
      <c r="DL18" s="11" t="n">
        <f aca="false">(DH18+DI18+DJ18+DK18)/4</f>
        <v>0.75</v>
      </c>
      <c r="DM18" s="9" t="n">
        <v>31</v>
      </c>
      <c r="DN18" s="9" t="n">
        <v>103</v>
      </c>
      <c r="DO18" s="9" t="n">
        <v>56</v>
      </c>
      <c r="DP18" s="9" t="n">
        <v>73</v>
      </c>
      <c r="DQ18" s="11" t="n">
        <f aca="false">(DM18+DN18+DO18+DP18)/4</f>
        <v>65.75</v>
      </c>
      <c r="DR18" s="9" t="n">
        <v>8</v>
      </c>
      <c r="DS18" s="9" t="n">
        <v>9</v>
      </c>
      <c r="DT18" s="9" t="n">
        <v>17</v>
      </c>
      <c r="DU18" s="9" t="n">
        <v>43</v>
      </c>
      <c r="DV18" s="11" t="n">
        <f aca="false">(DR18+DS18+DT18+DU18)/4</f>
        <v>19.25</v>
      </c>
      <c r="DW18" s="9" t="n">
        <v>0</v>
      </c>
      <c r="DX18" s="9" t="n">
        <v>0</v>
      </c>
      <c r="DY18" s="9" t="n">
        <v>0</v>
      </c>
      <c r="DZ18" s="9" t="n">
        <v>0</v>
      </c>
      <c r="EA18" s="11" t="n">
        <f aca="false">(DW18+DX18+DY18+DZ18)/4</f>
        <v>0</v>
      </c>
      <c r="EB18" s="11" t="n">
        <f aca="false">(DW18/DR18)</f>
        <v>0</v>
      </c>
      <c r="EC18" s="11" t="n">
        <f aca="false">(DX18/DS18)</f>
        <v>0</v>
      </c>
      <c r="ED18" s="11" t="n">
        <f aca="false">(DY18/DT18)</f>
        <v>0</v>
      </c>
      <c r="EE18" s="11" t="n">
        <f aca="false">(DZ18/DU18)</f>
        <v>0</v>
      </c>
      <c r="EF18" s="11" t="n">
        <f aca="false">(EA18/DV18)</f>
        <v>0</v>
      </c>
      <c r="EG18" s="11" t="n">
        <f aca="false">(100*EF18)</f>
        <v>0</v>
      </c>
      <c r="EH18" s="9" t="n">
        <v>0</v>
      </c>
      <c r="EI18" s="9" t="n">
        <v>4</v>
      </c>
      <c r="EJ18" s="9" t="n">
        <v>5</v>
      </c>
      <c r="EK18" s="19" t="n">
        <v>14</v>
      </c>
      <c r="EL18" s="9" t="n">
        <v>16</v>
      </c>
      <c r="EM18" s="9" t="n">
        <f aca="false">(EI18+EJ18+EK18+EL18)/4</f>
        <v>9.75</v>
      </c>
      <c r="EN18" s="9" t="n">
        <f aca="false">(EI18/DR18)</f>
        <v>0.5</v>
      </c>
      <c r="EO18" s="9" t="n">
        <f aca="false">(EJ18/DS18)</f>
        <v>0.555555555555556</v>
      </c>
      <c r="EP18" s="9" t="n">
        <f aca="false">(EK18/DT18)</f>
        <v>0.823529411764706</v>
      </c>
      <c r="EQ18" s="9" t="n">
        <f aca="false">(EL18/DU18)</f>
        <v>0.372093023255814</v>
      </c>
      <c r="ER18" s="9" t="n">
        <f aca="false">EM18/DV18</f>
        <v>0.506493506493506</v>
      </c>
      <c r="ES18" s="9" t="n">
        <f aca="false">(100*ER18)</f>
        <v>50.6493506493506</v>
      </c>
      <c r="ET18" s="9" t="n">
        <v>3</v>
      </c>
      <c r="EU18" s="18" t="n">
        <v>0</v>
      </c>
      <c r="EV18" s="9" t="n">
        <v>1</v>
      </c>
      <c r="EW18" s="9" t="n">
        <v>0</v>
      </c>
      <c r="EX18" s="9" t="n">
        <v>0</v>
      </c>
      <c r="EY18" s="11" t="n">
        <f aca="false">(EU18+EV18+EW18+EX18)/4</f>
        <v>0.25</v>
      </c>
      <c r="EZ18" s="11" t="n">
        <f aca="false">(EU18/DR18)</f>
        <v>0</v>
      </c>
      <c r="FA18" s="11" t="n">
        <f aca="false">(EV18/DS18)</f>
        <v>0.111111111111111</v>
      </c>
      <c r="FB18" s="11" t="n">
        <f aca="false">(EW18/DT18)</f>
        <v>0</v>
      </c>
      <c r="FC18" s="11" t="n">
        <f aca="false">(EX18/DU18)</f>
        <v>0</v>
      </c>
      <c r="FD18" s="11" t="n">
        <f aca="false">(EY18/DV18)</f>
        <v>0.012987012987013</v>
      </c>
      <c r="FE18" s="11" t="n">
        <f aca="false">(100*FD18)</f>
        <v>1.2987012987013</v>
      </c>
      <c r="FF18" s="9" t="n">
        <v>1</v>
      </c>
      <c r="FG18" s="9" t="n">
        <v>12</v>
      </c>
      <c r="FH18" s="9" t="n">
        <v>16</v>
      </c>
      <c r="FI18" s="9" t="n">
        <v>7</v>
      </c>
      <c r="FJ18" s="9" t="n">
        <v>0</v>
      </c>
      <c r="FK18" s="11" t="n">
        <f aca="false">(FG18+FH18+FI18+FJ18)/4</f>
        <v>8.75</v>
      </c>
      <c r="FL18" s="11" t="n">
        <f aca="false">(FG18/DR18)</f>
        <v>1.5</v>
      </c>
      <c r="FM18" s="11" t="n">
        <f aca="false">(FH18/DS18)</f>
        <v>1.77777777777778</v>
      </c>
      <c r="FN18" s="11" t="n">
        <f aca="false">(FI18/DT18)</f>
        <v>0.411764705882353</v>
      </c>
      <c r="FO18" s="11" t="n">
        <f aca="false">(FJ18/DU18)</f>
        <v>0</v>
      </c>
      <c r="FP18" s="11" t="n">
        <f aca="false">(FK18/DV18)</f>
        <v>0.454545454545455</v>
      </c>
      <c r="FQ18" s="11" t="n">
        <f aca="false">(100*FP18)</f>
        <v>45.4545454545455</v>
      </c>
      <c r="FR18" s="9" t="n">
        <v>3</v>
      </c>
      <c r="FS18" s="9" t="n">
        <v>57.3</v>
      </c>
      <c r="FT18" s="9" t="n">
        <v>84.9</v>
      </c>
      <c r="FU18" s="9" t="n">
        <v>79.3</v>
      </c>
      <c r="FV18" s="9" t="n">
        <v>69.8</v>
      </c>
      <c r="FW18" s="11" t="n">
        <f aca="false">(FS18+FT18+FU18+FV18)/4</f>
        <v>72.825</v>
      </c>
      <c r="FX18" s="9" t="n">
        <v>0</v>
      </c>
      <c r="FY18" s="9" t="n">
        <v>0</v>
      </c>
      <c r="FZ18" s="9" t="n">
        <v>0</v>
      </c>
      <c r="GA18" s="9" t="n">
        <v>0</v>
      </c>
      <c r="GB18" s="11" t="n">
        <f aca="false">(FX18+FY18+FZ18+GA18)/4</f>
        <v>0</v>
      </c>
      <c r="GC18" s="9" t="n">
        <v>1</v>
      </c>
      <c r="GD18" s="9" t="n">
        <v>1</v>
      </c>
      <c r="GE18" s="9" t="n">
        <v>1</v>
      </c>
      <c r="GF18" s="9" t="n">
        <v>1</v>
      </c>
      <c r="GG18" s="11" t="n">
        <f aca="false">(GC18+GD18+GE18+GF18)/4</f>
        <v>1</v>
      </c>
      <c r="GH18" s="9" t="n">
        <v>1</v>
      </c>
      <c r="GI18" s="9" t="n">
        <v>1</v>
      </c>
      <c r="GJ18" s="9" t="n">
        <v>1</v>
      </c>
      <c r="GK18" s="9" t="n">
        <v>1</v>
      </c>
      <c r="GL18" s="11" t="n">
        <f aca="false">(GH18+GI18+GJ18+GK18)/4</f>
        <v>1</v>
      </c>
      <c r="GM18" s="9" t="n">
        <v>40</v>
      </c>
      <c r="GN18" s="9" t="n">
        <v>33</v>
      </c>
      <c r="GO18" s="9" t="n">
        <v>19</v>
      </c>
      <c r="GP18" s="9" t="n">
        <v>18</v>
      </c>
      <c r="GQ18" s="11" t="n">
        <f aca="false">(GM18+GN18+GO18+GP18)/4</f>
        <v>27.5</v>
      </c>
      <c r="GR18" s="9" t="n">
        <v>6</v>
      </c>
      <c r="GS18" s="9" t="n">
        <v>4</v>
      </c>
      <c r="GT18" s="9" t="n">
        <v>13</v>
      </c>
      <c r="GU18" s="9" t="n">
        <v>24</v>
      </c>
      <c r="GV18" s="11" t="n">
        <f aca="false">(GR18+GS18+GT18+GU18)/4</f>
        <v>11.75</v>
      </c>
      <c r="GW18" s="9" t="n">
        <v>0</v>
      </c>
      <c r="GX18" s="9" t="n">
        <v>0</v>
      </c>
      <c r="GY18" s="9" t="n">
        <v>0</v>
      </c>
      <c r="GZ18" s="9" t="n">
        <v>0</v>
      </c>
      <c r="HA18" s="11" t="n">
        <f aca="false">(GW18+GX18+GY18+GZ18)/4</f>
        <v>0</v>
      </c>
      <c r="HB18" s="9" t="n">
        <f aca="false">(GW18/GR18)</f>
        <v>0</v>
      </c>
      <c r="HC18" s="9" t="n">
        <f aca="false">(GX18/GS18)</f>
        <v>0</v>
      </c>
      <c r="HD18" s="9" t="n">
        <f aca="false">(GY18/GT18)</f>
        <v>0</v>
      </c>
      <c r="HE18" s="9" t="n">
        <f aca="false">(GZ18/GU18)/4</f>
        <v>0</v>
      </c>
      <c r="HF18" s="9" t="n">
        <f aca="false">(HB18+HC18+HD18+HE18)/4</f>
        <v>0</v>
      </c>
      <c r="HG18" s="9" t="n">
        <f aca="false">(100*HF18)</f>
        <v>0</v>
      </c>
      <c r="HH18" s="18" t="n">
        <v>0</v>
      </c>
      <c r="HI18" s="9" t="n">
        <v>2</v>
      </c>
      <c r="HJ18" s="9" t="n">
        <v>4</v>
      </c>
      <c r="HK18" s="9" t="n">
        <v>4</v>
      </c>
      <c r="HL18" s="19" t="n">
        <v>11</v>
      </c>
      <c r="HM18" s="9" t="n">
        <f aca="false">(HI18+HJ18+HK18+HL18)/4</f>
        <v>5.25</v>
      </c>
      <c r="HN18" s="9" t="n">
        <f aca="false">(HI18/GR18)</f>
        <v>0.333333333333333</v>
      </c>
      <c r="HO18" s="9" t="n">
        <f aca="false">(HJ18/GS18)</f>
        <v>1</v>
      </c>
      <c r="HP18" s="9" t="n">
        <f aca="false">(HK18/GT18)</f>
        <v>0.307692307692308</v>
      </c>
      <c r="HQ18" s="9" t="n">
        <f aca="false">(HL18/GU18)</f>
        <v>0.458333333333333</v>
      </c>
      <c r="HR18" s="9" t="n">
        <f aca="false">(HM18/GV18)</f>
        <v>0.446808510638298</v>
      </c>
      <c r="HS18" s="9" t="n">
        <f aca="false">(100*HR18)</f>
        <v>44.6808510638298</v>
      </c>
      <c r="HT18" s="18" t="n">
        <v>3</v>
      </c>
      <c r="HU18" s="9" t="n">
        <v>2</v>
      </c>
      <c r="HV18" s="9" t="n">
        <v>1</v>
      </c>
      <c r="HW18" s="9" t="n">
        <v>1</v>
      </c>
      <c r="HX18" s="19" t="n">
        <v>4</v>
      </c>
      <c r="HY18" s="9" t="n">
        <f aca="false">(HU18+HV18+HW18+HX18)/4</f>
        <v>2</v>
      </c>
      <c r="HZ18" s="9" t="n">
        <f aca="false">(HU18/GR18)</f>
        <v>0.333333333333333</v>
      </c>
      <c r="IA18" s="9" t="n">
        <f aca="false">HV18/GS18</f>
        <v>0.25</v>
      </c>
      <c r="IB18" s="9" t="n">
        <f aca="false">(HW18/GT18)</f>
        <v>0.0769230769230769</v>
      </c>
      <c r="IC18" s="9" t="n">
        <f aca="false">(HX18/GU18)</f>
        <v>0.166666666666667</v>
      </c>
      <c r="ID18" s="9" t="n">
        <f aca="false">(HY18/GV18)</f>
        <v>0.170212765957447</v>
      </c>
      <c r="IE18" s="9" t="n">
        <f aca="false">(100*ID18)</f>
        <v>17.0212765957447</v>
      </c>
      <c r="IF18" s="18" t="n">
        <v>2</v>
      </c>
      <c r="IG18" s="9" t="n">
        <v>4</v>
      </c>
      <c r="IH18" s="9" t="n">
        <v>4</v>
      </c>
      <c r="II18" s="19" t="n">
        <v>3</v>
      </c>
      <c r="IJ18" s="9" t="n">
        <v>6</v>
      </c>
      <c r="IK18" s="9" t="n">
        <f aca="false">(IG18+IH18+II18+IJ18)/4</f>
        <v>4.25</v>
      </c>
      <c r="IL18" s="9" t="n">
        <f aca="false">(IG18/GM18)</f>
        <v>0.1</v>
      </c>
      <c r="IM18" s="9" t="n">
        <f aca="false">(IH18/GN18)</f>
        <v>0.121212121212121</v>
      </c>
      <c r="IN18" s="9" t="n">
        <f aca="false">(II18/GO18)</f>
        <v>0.157894736842105</v>
      </c>
      <c r="IO18" s="9" t="n">
        <f aca="false">(IJ18/GP18)</f>
        <v>0.333333333333333</v>
      </c>
      <c r="IP18" s="9" t="n">
        <f aca="false">(IK18/GQ18)</f>
        <v>0.154545454545455</v>
      </c>
      <c r="IQ18" s="9" t="n">
        <f aca="false">(100*IP18)</f>
        <v>15.4545454545455</v>
      </c>
      <c r="IR18" s="18" t="n">
        <v>2</v>
      </c>
      <c r="IS18" s="9" t="n">
        <v>65.5</v>
      </c>
      <c r="IT18" s="9" t="n">
        <v>57.6</v>
      </c>
      <c r="IU18" s="19" t="n">
        <v>56.7</v>
      </c>
      <c r="IV18" s="9" t="n">
        <v>65.7</v>
      </c>
      <c r="IW18" s="9" t="n">
        <f aca="false">(IS18+IT18+IU18+IV18)/4</f>
        <v>61.375</v>
      </c>
      <c r="IX18" s="16" t="n">
        <v>45241</v>
      </c>
      <c r="IY18" s="10" t="s">
        <v>268</v>
      </c>
    </row>
    <row r="19" customFormat="false" ht="15" hidden="false" customHeight="false" outlineLevel="0" collapsed="false">
      <c r="A19" s="9" t="s">
        <v>299</v>
      </c>
      <c r="B19" s="10" t="s">
        <v>307</v>
      </c>
      <c r="C19" s="10" t="s">
        <v>261</v>
      </c>
      <c r="D19" s="9" t="n">
        <v>2</v>
      </c>
      <c r="E19" s="9" t="n">
        <v>6</v>
      </c>
      <c r="F19" s="10" t="s">
        <v>313</v>
      </c>
      <c r="G19" s="11" t="s">
        <v>263</v>
      </c>
      <c r="H19" s="9" t="n">
        <v>21</v>
      </c>
      <c r="I19" s="9" t="n">
        <v>21</v>
      </c>
      <c r="J19" s="10" t="s">
        <v>272</v>
      </c>
      <c r="K19" s="20"/>
      <c r="L19" s="20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 t="n">
        <v>0</v>
      </c>
      <c r="Y19" s="9" t="n">
        <v>0</v>
      </c>
      <c r="Z19" s="9" t="n">
        <v>0</v>
      </c>
      <c r="AA19" s="9" t="n">
        <v>0</v>
      </c>
      <c r="AB19" s="11" t="n">
        <f aca="false">(X19+Y19+Z19+AA19)/4</f>
        <v>0</v>
      </c>
      <c r="AC19" s="9" t="n">
        <v>1</v>
      </c>
      <c r="AD19" s="9" t="n">
        <v>1</v>
      </c>
      <c r="AE19" s="9" t="n">
        <v>1</v>
      </c>
      <c r="AF19" s="9" t="n">
        <v>1</v>
      </c>
      <c r="AG19" s="11" t="n">
        <f aca="false">(AC19+AD19+AE19+AF19)/4</f>
        <v>1</v>
      </c>
      <c r="AH19" s="9" t="n">
        <v>1</v>
      </c>
      <c r="AI19" s="9" t="n">
        <v>1</v>
      </c>
      <c r="AJ19" s="9" t="n">
        <v>1</v>
      </c>
      <c r="AK19" s="9" t="n">
        <v>0</v>
      </c>
      <c r="AL19" s="11" t="n">
        <f aca="false">(AH19+AI19+AJ19+AK19)/4</f>
        <v>0.75</v>
      </c>
      <c r="AM19" s="9" t="n">
        <v>28</v>
      </c>
      <c r="AN19" s="9" t="n">
        <v>12</v>
      </c>
      <c r="AO19" s="9" t="n">
        <v>47</v>
      </c>
      <c r="AP19" s="9" t="n">
        <v>22</v>
      </c>
      <c r="AQ19" s="11" t="n">
        <f aca="false">(AM19+AN19+AO19+AP19)/4</f>
        <v>27.25</v>
      </c>
      <c r="AR19" s="9" t="n">
        <v>13</v>
      </c>
      <c r="AS19" s="9" t="n">
        <v>15</v>
      </c>
      <c r="AT19" s="9" t="n">
        <v>17</v>
      </c>
      <c r="AU19" s="9" t="n">
        <v>13</v>
      </c>
      <c r="AV19" s="11" t="n">
        <f aca="false">(AR19+AS19+AT19+AU19)/4</f>
        <v>14.5</v>
      </c>
      <c r="AW19" s="9" t="n">
        <v>0</v>
      </c>
      <c r="AX19" s="9" t="n">
        <v>0</v>
      </c>
      <c r="AY19" s="9" t="n">
        <v>0</v>
      </c>
      <c r="AZ19" s="9" t="n">
        <v>0</v>
      </c>
      <c r="BA19" s="11" t="n">
        <f aca="false">(AW19+AX19+AY19+AZ19)/4</f>
        <v>0</v>
      </c>
      <c r="BB19" s="11" t="n">
        <f aca="false">(AW19/AR19)</f>
        <v>0</v>
      </c>
      <c r="BC19" s="11" t="n">
        <f aca="false">(AX19/AS19)</f>
        <v>0</v>
      </c>
      <c r="BD19" s="11" t="n">
        <f aca="false">(AY19/AT19)</f>
        <v>0</v>
      </c>
      <c r="BE19" s="11" t="n">
        <f aca="false">(AZ19/AU19)</f>
        <v>0</v>
      </c>
      <c r="BF19" s="11" t="n">
        <f aca="false">(BA19/AV19)</f>
        <v>0</v>
      </c>
      <c r="BG19" s="11" t="n">
        <f aca="false">(BF19*100)</f>
        <v>0</v>
      </c>
      <c r="BH19" s="9" t="n">
        <v>0</v>
      </c>
      <c r="BI19" s="9" t="n">
        <v>2</v>
      </c>
      <c r="BJ19" s="9" t="n">
        <v>4</v>
      </c>
      <c r="BK19" s="9" t="n">
        <v>6</v>
      </c>
      <c r="BL19" s="9" t="n">
        <v>4</v>
      </c>
      <c r="BM19" s="11" t="n">
        <f aca="false">(BI19+BJ19+BK19+BL19)/4</f>
        <v>4</v>
      </c>
      <c r="BN19" s="11" t="n">
        <f aca="false">(BI19/AR19)</f>
        <v>0.153846153846154</v>
      </c>
      <c r="BO19" s="11" t="n">
        <f aca="false">(BJ19/AS19)</f>
        <v>0.266666666666667</v>
      </c>
      <c r="BP19" s="11" t="n">
        <f aca="false">(BK19/AT19)</f>
        <v>0.352941176470588</v>
      </c>
      <c r="BQ19" s="11" t="n">
        <f aca="false">(BL19/AU19)</f>
        <v>0.307692307692308</v>
      </c>
      <c r="BR19" s="11" t="n">
        <f aca="false">(BM19/AV19)</f>
        <v>0.275862068965517</v>
      </c>
      <c r="BS19" s="11" t="n">
        <f aca="false">(100*BR19)</f>
        <v>27.5862068965517</v>
      </c>
      <c r="BT19" s="9" t="n">
        <v>2</v>
      </c>
      <c r="BU19" s="9" t="n">
        <v>0</v>
      </c>
      <c r="BV19" s="9" t="n">
        <v>1</v>
      </c>
      <c r="BW19" s="9" t="n">
        <v>0</v>
      </c>
      <c r="BX19" s="9" t="n">
        <v>0</v>
      </c>
      <c r="BY19" s="11" t="n">
        <f aca="false">(BU19+BV19+BW19+BX19)/4</f>
        <v>0.25</v>
      </c>
      <c r="BZ19" s="11" t="n">
        <f aca="false">(BU19/AR19)</f>
        <v>0</v>
      </c>
      <c r="CA19" s="11" t="n">
        <f aca="false">(BV19/AS19)</f>
        <v>0.0666666666666667</v>
      </c>
      <c r="CB19" s="11" t="n">
        <f aca="false">(BW19/AT19)</f>
        <v>0</v>
      </c>
      <c r="CC19" s="11" t="n">
        <f aca="false">(BX19/AU19)</f>
        <v>0</v>
      </c>
      <c r="CD19" s="11" t="n">
        <f aca="false">(BY19/AV19)</f>
        <v>0.0172413793103448</v>
      </c>
      <c r="CE19" s="11" t="n">
        <f aca="false">(100*CD19)</f>
        <v>1.72413793103448</v>
      </c>
      <c r="CF19" s="9" t="n">
        <v>1</v>
      </c>
      <c r="CG19" s="9" t="n">
        <v>2</v>
      </c>
      <c r="CH19" s="9" t="n">
        <v>2</v>
      </c>
      <c r="CI19" s="9" t="n">
        <v>6</v>
      </c>
      <c r="CJ19" s="9" t="n">
        <v>0</v>
      </c>
      <c r="CK19" s="11" t="n">
        <f aca="false">(CG19+CH19+CI19+CJ19)/4</f>
        <v>2.5</v>
      </c>
      <c r="CL19" s="11" t="n">
        <f aca="false">(CG19/AM19)</f>
        <v>0.0714285714285714</v>
      </c>
      <c r="CM19" s="11" t="n">
        <f aca="false">(CH19/AN19)</f>
        <v>0.166666666666667</v>
      </c>
      <c r="CN19" s="11" t="n">
        <f aca="false">(CI19/AO19)</f>
        <v>0.127659574468085</v>
      </c>
      <c r="CO19" s="9" t="n">
        <f aca="false">(CJ19/AP19)</f>
        <v>0</v>
      </c>
      <c r="CP19" s="9" t="n">
        <f aca="false">(CK19/AQ19)</f>
        <v>0.0917431192660551</v>
      </c>
      <c r="CQ19" s="9" t="n">
        <f aca="false">(100*CP19)</f>
        <v>9.17431192660551</v>
      </c>
      <c r="CR19" s="18" t="n">
        <v>1</v>
      </c>
      <c r="CS19" s="9" t="n">
        <v>74.3</v>
      </c>
      <c r="CT19" s="9" t="n">
        <v>69.2</v>
      </c>
      <c r="CU19" s="9" t="n">
        <v>72.1</v>
      </c>
      <c r="CV19" s="9" t="n">
        <v>62.1</v>
      </c>
      <c r="CW19" s="11" t="n">
        <f aca="false">(CS19+CT19+CU19+CV19)/4</f>
        <v>69.425</v>
      </c>
      <c r="CX19" s="9" t="n">
        <v>0</v>
      </c>
      <c r="CY19" s="9" t="n">
        <v>0</v>
      </c>
      <c r="CZ19" s="9" t="n">
        <v>0</v>
      </c>
      <c r="DA19" s="9" t="n">
        <v>0</v>
      </c>
      <c r="DB19" s="11" t="n">
        <f aca="false">(CX19+CY19+CZ19+DA19)/4</f>
        <v>0</v>
      </c>
      <c r="DC19" s="9" t="n">
        <v>1</v>
      </c>
      <c r="DD19" s="9" t="n">
        <v>1</v>
      </c>
      <c r="DE19" s="9" t="n">
        <v>1</v>
      </c>
      <c r="DF19" s="9" t="n">
        <v>1</v>
      </c>
      <c r="DG19" s="11" t="n">
        <f aca="false">(DC19+DD19+DE19+DF19)/4</f>
        <v>1</v>
      </c>
      <c r="DH19" s="9" t="n">
        <v>1</v>
      </c>
      <c r="DI19" s="9" t="n">
        <v>0</v>
      </c>
      <c r="DJ19" s="9" t="n">
        <v>1</v>
      </c>
      <c r="DK19" s="9" t="n">
        <v>0</v>
      </c>
      <c r="DL19" s="11" t="n">
        <f aca="false">(DH19+DI19+DJ19+DK19)/4</f>
        <v>0.5</v>
      </c>
      <c r="DM19" s="9" t="n">
        <v>26</v>
      </c>
      <c r="DN19" s="9" t="n">
        <v>12</v>
      </c>
      <c r="DO19" s="9" t="n">
        <v>10</v>
      </c>
      <c r="DP19" s="9" t="n">
        <v>17</v>
      </c>
      <c r="DQ19" s="11" t="n">
        <f aca="false">(DM19+DN19+DO19+DP19)/4</f>
        <v>16.25</v>
      </c>
      <c r="DR19" s="9" t="n">
        <v>30</v>
      </c>
      <c r="DS19" s="9" t="n">
        <v>26</v>
      </c>
      <c r="DT19" s="9" t="n">
        <v>12</v>
      </c>
      <c r="DU19" s="9" t="n">
        <v>10</v>
      </c>
      <c r="DV19" s="11" t="n">
        <f aca="false">(DR19+DS19+DT19+DU19)/4</f>
        <v>19.5</v>
      </c>
      <c r="DW19" s="9" t="n">
        <v>0</v>
      </c>
      <c r="DX19" s="9" t="n">
        <v>0</v>
      </c>
      <c r="DY19" s="9" t="n">
        <v>0</v>
      </c>
      <c r="DZ19" s="9" t="n">
        <v>0</v>
      </c>
      <c r="EA19" s="11" t="n">
        <f aca="false">(DW19+DX19+DY19+DZ19)/4</f>
        <v>0</v>
      </c>
      <c r="EB19" s="11" t="n">
        <f aca="false">(DW19/DR19)</f>
        <v>0</v>
      </c>
      <c r="EC19" s="11" t="n">
        <f aca="false">(DX19/DS19)</f>
        <v>0</v>
      </c>
      <c r="ED19" s="11" t="n">
        <f aca="false">(DY19/DT19)</f>
        <v>0</v>
      </c>
      <c r="EE19" s="11" t="n">
        <f aca="false">(DZ19/DU19)</f>
        <v>0</v>
      </c>
      <c r="EF19" s="11" t="n">
        <f aca="false">(EA19/DV19)</f>
        <v>0</v>
      </c>
      <c r="EG19" s="11" t="n">
        <f aca="false">(100*EF19)</f>
        <v>0</v>
      </c>
      <c r="EH19" s="9" t="n">
        <v>0</v>
      </c>
      <c r="EI19" s="9" t="n">
        <v>2</v>
      </c>
      <c r="EJ19" s="9" t="n">
        <v>3</v>
      </c>
      <c r="EK19" s="19" t="n">
        <v>1</v>
      </c>
      <c r="EL19" s="9" t="n">
        <v>2</v>
      </c>
      <c r="EM19" s="9" t="n">
        <f aca="false">(EI19+EJ19+EK19+EL19)/4</f>
        <v>2</v>
      </c>
      <c r="EN19" s="9" t="n">
        <f aca="false">(EI19/DR19)</f>
        <v>0.0666666666666667</v>
      </c>
      <c r="EO19" s="9" t="n">
        <f aca="false">(EJ19/DS19)</f>
        <v>0.115384615384615</v>
      </c>
      <c r="EP19" s="9" t="n">
        <f aca="false">(EK19/DT19)</f>
        <v>0.0833333333333333</v>
      </c>
      <c r="EQ19" s="9" t="n">
        <f aca="false">(EL19/DU19)</f>
        <v>0.2</v>
      </c>
      <c r="ER19" s="9" t="n">
        <f aca="false">EM19/DV19</f>
        <v>0.102564102564103</v>
      </c>
      <c r="ES19" s="9" t="n">
        <f aca="false">(100*ER19)</f>
        <v>10.2564102564103</v>
      </c>
      <c r="ET19" s="9" t="n">
        <v>2</v>
      </c>
      <c r="EU19" s="18" t="n">
        <v>0</v>
      </c>
      <c r="EV19" s="9" t="n">
        <v>0</v>
      </c>
      <c r="EW19" s="9" t="n">
        <v>0</v>
      </c>
      <c r="EX19" s="9" t="n">
        <v>0</v>
      </c>
      <c r="EY19" s="11" t="n">
        <f aca="false">(EU19+EV19+EW19+EX19)/4</f>
        <v>0</v>
      </c>
      <c r="EZ19" s="11" t="n">
        <f aca="false">(EU19/DR19)</f>
        <v>0</v>
      </c>
      <c r="FA19" s="11" t="n">
        <f aca="false">(EV19/DS19)</f>
        <v>0</v>
      </c>
      <c r="FB19" s="11" t="n">
        <f aca="false">(EW19/DT19)</f>
        <v>0</v>
      </c>
      <c r="FC19" s="11" t="n">
        <f aca="false">(EX19/DU19)</f>
        <v>0</v>
      </c>
      <c r="FD19" s="11" t="n">
        <f aca="false">(EY19/DV19)</f>
        <v>0</v>
      </c>
      <c r="FE19" s="11" t="n">
        <f aca="false">(100*FD19)</f>
        <v>0</v>
      </c>
      <c r="FF19" s="9" t="n">
        <v>0</v>
      </c>
      <c r="FG19" s="9" t="n">
        <v>3</v>
      </c>
      <c r="FH19" s="9" t="n">
        <v>0</v>
      </c>
      <c r="FI19" s="9" t="n">
        <v>3</v>
      </c>
      <c r="FJ19" s="9" t="n">
        <v>0</v>
      </c>
      <c r="FK19" s="11" t="n">
        <f aca="false">(FG19+FH19+FI19+FJ19)/4</f>
        <v>1.5</v>
      </c>
      <c r="FL19" s="11" t="n">
        <f aca="false">(FG19/DR19)</f>
        <v>0.1</v>
      </c>
      <c r="FM19" s="11" t="n">
        <f aca="false">(FH19/DS19)</f>
        <v>0</v>
      </c>
      <c r="FN19" s="11" t="n">
        <f aca="false">(FI19/DT19)</f>
        <v>0.25</v>
      </c>
      <c r="FO19" s="11" t="n">
        <f aca="false">(FJ19/DU19)</f>
        <v>0</v>
      </c>
      <c r="FP19" s="11" t="n">
        <f aca="false">(FK19/DV19)</f>
        <v>0.0769230769230769</v>
      </c>
      <c r="FQ19" s="11" t="n">
        <f aca="false">(100*FP19)</f>
        <v>7.69230769230769</v>
      </c>
      <c r="FR19" s="9" t="n">
        <v>1</v>
      </c>
      <c r="FS19" s="9" t="n">
        <v>62.2</v>
      </c>
      <c r="FT19" s="9" t="n">
        <v>64</v>
      </c>
      <c r="FU19" s="9" t="n">
        <v>60.3</v>
      </c>
      <c r="FV19" s="9" t="n">
        <v>67.2</v>
      </c>
      <c r="FW19" s="11" t="n">
        <f aca="false">(FS19+FT19+FU19+FV19)/4</f>
        <v>63.425</v>
      </c>
      <c r="FX19" s="9" t="n">
        <v>0</v>
      </c>
      <c r="FY19" s="9" t="n">
        <v>0</v>
      </c>
      <c r="FZ19" s="9" t="n">
        <v>0</v>
      </c>
      <c r="GA19" s="9" t="n">
        <v>0</v>
      </c>
      <c r="GB19" s="11" t="n">
        <f aca="false">(FX19+FY19+FZ19+GA19)/4</f>
        <v>0</v>
      </c>
      <c r="GC19" s="9" t="n">
        <v>0</v>
      </c>
      <c r="GD19" s="9" t="n">
        <v>0</v>
      </c>
      <c r="GE19" s="9" t="n">
        <v>0</v>
      </c>
      <c r="GF19" s="9" t="n">
        <v>0</v>
      </c>
      <c r="GG19" s="11" t="n">
        <f aca="false">(GC19+GD19+GE19+GF19)/4</f>
        <v>0</v>
      </c>
      <c r="GH19" s="9" t="n">
        <v>1</v>
      </c>
      <c r="GI19" s="9" t="n">
        <v>1</v>
      </c>
      <c r="GJ19" s="9" t="n">
        <v>1</v>
      </c>
      <c r="GK19" s="9" t="n">
        <v>1</v>
      </c>
      <c r="GL19" s="11" t="n">
        <f aca="false">(GH19+GI19+GJ19+GK19)/4</f>
        <v>1</v>
      </c>
      <c r="GM19" s="9" t="n">
        <v>36</v>
      </c>
      <c r="GN19" s="9" t="n">
        <v>8</v>
      </c>
      <c r="GO19" s="9" t="n">
        <v>8</v>
      </c>
      <c r="GP19" s="9" t="n">
        <v>5</v>
      </c>
      <c r="GQ19" s="11" t="n">
        <f aca="false">(GM19+GN19+GO19+GP19)/4</f>
        <v>14.25</v>
      </c>
      <c r="GR19" s="9" t="n">
        <v>12</v>
      </c>
      <c r="GS19" s="9" t="n">
        <v>19</v>
      </c>
      <c r="GT19" s="9" t="n">
        <v>6</v>
      </c>
      <c r="GU19" s="9" t="n">
        <v>18</v>
      </c>
      <c r="GV19" s="11" t="n">
        <f aca="false">(GR19+GS19+GT19+GU19)/4</f>
        <v>13.75</v>
      </c>
      <c r="GW19" s="9" t="n">
        <v>0</v>
      </c>
      <c r="GX19" s="9" t="n">
        <v>0</v>
      </c>
      <c r="GY19" s="9" t="n">
        <v>0</v>
      </c>
      <c r="GZ19" s="9" t="n">
        <v>0</v>
      </c>
      <c r="HA19" s="11" t="n">
        <f aca="false">(GW19+GX19+GY19+GZ19)/4</f>
        <v>0</v>
      </c>
      <c r="HB19" s="9" t="n">
        <f aca="false">(GW19/GR19)</f>
        <v>0</v>
      </c>
      <c r="HC19" s="9" t="n">
        <f aca="false">(GX19/GS19)</f>
        <v>0</v>
      </c>
      <c r="HD19" s="9" t="n">
        <f aca="false">(GY19/GT19)</f>
        <v>0</v>
      </c>
      <c r="HE19" s="9" t="n">
        <f aca="false">(GZ19/GU19)/4</f>
        <v>0</v>
      </c>
      <c r="HF19" s="9" t="n">
        <f aca="false">(HB19+HC19+HD19+HE19)/4</f>
        <v>0</v>
      </c>
      <c r="HG19" s="9" t="n">
        <f aca="false">(100*HF19)</f>
        <v>0</v>
      </c>
      <c r="HH19" s="18" t="n">
        <v>0</v>
      </c>
      <c r="HI19" s="9" t="n">
        <v>0</v>
      </c>
      <c r="HJ19" s="9" t="n">
        <v>0</v>
      </c>
      <c r="HK19" s="9" t="n">
        <v>0</v>
      </c>
      <c r="HL19" s="19" t="n">
        <v>0</v>
      </c>
      <c r="HM19" s="9" t="n">
        <f aca="false">(HI19+HJ19+HK19+HL19)/4</f>
        <v>0</v>
      </c>
      <c r="HN19" s="9" t="n">
        <f aca="false">(HI19/GR19)</f>
        <v>0</v>
      </c>
      <c r="HO19" s="9" t="n">
        <f aca="false">(HJ19/GS19)</f>
        <v>0</v>
      </c>
      <c r="HP19" s="9" t="n">
        <f aca="false">(HK19/GT19)</f>
        <v>0</v>
      </c>
      <c r="HQ19" s="9" t="n">
        <f aca="false">(HL19/GU19)</f>
        <v>0</v>
      </c>
      <c r="HR19" s="9" t="n">
        <f aca="false">(HM19/GV19)</f>
        <v>0</v>
      </c>
      <c r="HS19" s="9" t="n">
        <f aca="false">(100*HR19)</f>
        <v>0</v>
      </c>
      <c r="HT19" s="18" t="n">
        <v>0</v>
      </c>
      <c r="HU19" s="9" t="n">
        <v>3</v>
      </c>
      <c r="HV19" s="9" t="n">
        <v>2</v>
      </c>
      <c r="HW19" s="9" t="n">
        <v>1</v>
      </c>
      <c r="HX19" s="19" t="n">
        <v>2</v>
      </c>
      <c r="HY19" s="9" t="n">
        <f aca="false">(HU19+HV19+HW19+HX19)/4</f>
        <v>2</v>
      </c>
      <c r="HZ19" s="9" t="n">
        <f aca="false">(HU19/GR19)</f>
        <v>0.25</v>
      </c>
      <c r="IA19" s="9" t="n">
        <f aca="false">HV19/GS19</f>
        <v>0.105263157894737</v>
      </c>
      <c r="IB19" s="9" t="n">
        <f aca="false">(HW19/GT19)</f>
        <v>0.166666666666667</v>
      </c>
      <c r="IC19" s="9" t="n">
        <f aca="false">(HX19/GU19)</f>
        <v>0.111111111111111</v>
      </c>
      <c r="ID19" s="9" t="n">
        <f aca="false">(HY19/GV19)</f>
        <v>0.145454545454545</v>
      </c>
      <c r="IE19" s="9" t="n">
        <f aca="false">(100*ID19)</f>
        <v>14.5454545454545</v>
      </c>
      <c r="IF19" s="18" t="n">
        <v>2</v>
      </c>
      <c r="IG19" s="9" t="n">
        <v>4</v>
      </c>
      <c r="IH19" s="9" t="n">
        <v>6</v>
      </c>
      <c r="II19" s="19" t="n">
        <v>2</v>
      </c>
      <c r="IJ19" s="9" t="n">
        <v>1</v>
      </c>
      <c r="IK19" s="9" t="n">
        <f aca="false">(IG19+IH19+II19+IJ19)/4</f>
        <v>3.25</v>
      </c>
      <c r="IL19" s="9" t="n">
        <f aca="false">(IG19/GM19)</f>
        <v>0.111111111111111</v>
      </c>
      <c r="IM19" s="9" t="n">
        <f aca="false">(IH19/GN19)</f>
        <v>0.75</v>
      </c>
      <c r="IN19" s="9" t="n">
        <f aca="false">(II19/GO19)</f>
        <v>0.25</v>
      </c>
      <c r="IO19" s="9" t="n">
        <f aca="false">(IJ19/GP19)</f>
        <v>0.2</v>
      </c>
      <c r="IP19" s="9" t="n">
        <f aca="false">(IK19/GQ19)</f>
        <v>0.228070175438596</v>
      </c>
      <c r="IQ19" s="9" t="n">
        <f aca="false">(100*IP19)</f>
        <v>22.8070175438596</v>
      </c>
      <c r="IR19" s="18" t="n">
        <v>2</v>
      </c>
      <c r="IS19" s="9" t="n">
        <v>67.4</v>
      </c>
      <c r="IT19" s="9" t="n">
        <v>58.5</v>
      </c>
      <c r="IU19" s="19" t="n">
        <v>58.7</v>
      </c>
      <c r="IV19" s="9" t="n">
        <v>77.3</v>
      </c>
      <c r="IW19" s="9" t="n">
        <f aca="false">(IS19+IT19+IU19+IV19)/4</f>
        <v>65.475</v>
      </c>
      <c r="IX19" s="16" t="n">
        <v>45241</v>
      </c>
      <c r="IY19" s="10" t="s">
        <v>268</v>
      </c>
    </row>
    <row r="20" customFormat="false" ht="15" hidden="false" customHeight="false" outlineLevel="0" collapsed="false">
      <c r="A20" s="9" t="s">
        <v>299</v>
      </c>
      <c r="B20" s="10" t="s">
        <v>314</v>
      </c>
      <c r="C20" s="10" t="s">
        <v>261</v>
      </c>
      <c r="D20" s="9" t="n">
        <v>3</v>
      </c>
      <c r="E20" s="9" t="n">
        <v>7</v>
      </c>
      <c r="F20" s="10" t="s">
        <v>315</v>
      </c>
      <c r="G20" s="10" t="s">
        <v>275</v>
      </c>
      <c r="H20" s="9" t="n">
        <v>21</v>
      </c>
      <c r="I20" s="9" t="n">
        <v>5</v>
      </c>
      <c r="J20" s="12" t="s">
        <v>264</v>
      </c>
      <c r="K20" s="23" t="s">
        <v>316</v>
      </c>
      <c r="L20" s="13" t="s">
        <v>317</v>
      </c>
      <c r="M20" s="14" t="n">
        <v>1318</v>
      </c>
      <c r="N20" s="15" t="n">
        <v>45134</v>
      </c>
      <c r="O20" s="10" t="s">
        <v>267</v>
      </c>
      <c r="P20" s="9"/>
      <c r="Q20" s="9" t="n">
        <v>0.74</v>
      </c>
      <c r="R20" s="9" t="n">
        <v>18</v>
      </c>
      <c r="S20" s="9" t="n">
        <v>-5</v>
      </c>
      <c r="T20" s="9" t="n">
        <v>110</v>
      </c>
      <c r="U20" s="9"/>
      <c r="V20" s="9" t="n">
        <v>4.74</v>
      </c>
      <c r="W20" s="9" t="s">
        <v>318</v>
      </c>
      <c r="X20" s="9" t="n">
        <v>0</v>
      </c>
      <c r="Y20" s="9" t="n">
        <v>0</v>
      </c>
      <c r="Z20" s="9" t="n">
        <v>0</v>
      </c>
      <c r="AA20" s="9" t="n">
        <v>0</v>
      </c>
      <c r="AB20" s="11" t="n">
        <f aca="false">(X20+Y20+Z20+AA20)/4</f>
        <v>0</v>
      </c>
      <c r="AC20" s="9" t="n">
        <v>1</v>
      </c>
      <c r="AD20" s="9" t="n">
        <v>1</v>
      </c>
      <c r="AE20" s="9" t="n">
        <v>1</v>
      </c>
      <c r="AF20" s="9" t="n">
        <v>1</v>
      </c>
      <c r="AG20" s="11" t="n">
        <f aca="false">(AC20+AD20+AE20+AF20)/4</f>
        <v>1</v>
      </c>
      <c r="AH20" s="9" t="n">
        <v>1</v>
      </c>
      <c r="AI20" s="9" t="n">
        <v>1</v>
      </c>
      <c r="AJ20" s="9" t="n">
        <v>1</v>
      </c>
      <c r="AK20" s="9" t="n">
        <v>1</v>
      </c>
      <c r="AL20" s="11" t="n">
        <f aca="false">(AH20+AI20+AJ20+AK20)/4</f>
        <v>1</v>
      </c>
      <c r="AM20" s="9" t="n">
        <v>34</v>
      </c>
      <c r="AN20" s="9" t="n">
        <v>28</v>
      </c>
      <c r="AO20" s="9" t="n">
        <v>65</v>
      </c>
      <c r="AP20" s="9" t="n">
        <v>38</v>
      </c>
      <c r="AQ20" s="11" t="n">
        <f aca="false">(AM20+AN20+AO20+AP20)/4</f>
        <v>41.25</v>
      </c>
      <c r="AR20" s="9" t="n">
        <v>19</v>
      </c>
      <c r="AS20" s="9" t="n">
        <v>12</v>
      </c>
      <c r="AT20" s="9" t="n">
        <v>16</v>
      </c>
      <c r="AU20" s="9" t="n">
        <v>31</v>
      </c>
      <c r="AV20" s="11" t="n">
        <f aca="false">(AR20+AS20+AT20+AU20)/4</f>
        <v>19.5</v>
      </c>
      <c r="AW20" s="9" t="n">
        <v>0</v>
      </c>
      <c r="AX20" s="9" t="n">
        <v>0</v>
      </c>
      <c r="AY20" s="9" t="n">
        <v>0</v>
      </c>
      <c r="AZ20" s="9" t="n">
        <v>0</v>
      </c>
      <c r="BA20" s="11" t="n">
        <f aca="false">(AW20+AX20+AY20+AZ20)/4</f>
        <v>0</v>
      </c>
      <c r="BB20" s="11" t="n">
        <f aca="false">(AW20/AR20)</f>
        <v>0</v>
      </c>
      <c r="BC20" s="11" t="n">
        <f aca="false">(AX20/AS20)</f>
        <v>0</v>
      </c>
      <c r="BD20" s="11" t="n">
        <f aca="false">(AY20/AT20)</f>
        <v>0</v>
      </c>
      <c r="BE20" s="11" t="n">
        <f aca="false">(AZ20/AU20)</f>
        <v>0</v>
      </c>
      <c r="BF20" s="11" t="n">
        <f aca="false">(BA20/AV20)</f>
        <v>0</v>
      </c>
      <c r="BG20" s="11" t="n">
        <f aca="false">(BF20*100)</f>
        <v>0</v>
      </c>
      <c r="BH20" s="9" t="n">
        <v>0</v>
      </c>
      <c r="BI20" s="9" t="n">
        <v>2</v>
      </c>
      <c r="BJ20" s="9" t="n">
        <v>5</v>
      </c>
      <c r="BK20" s="9" t="n">
        <v>7</v>
      </c>
      <c r="BL20" s="9" t="n">
        <v>4</v>
      </c>
      <c r="BM20" s="11" t="n">
        <f aca="false">(BI20+BJ20+BK20+BL20)/4</f>
        <v>4.5</v>
      </c>
      <c r="BN20" s="11" t="n">
        <f aca="false">(BI20/AR20)</f>
        <v>0.105263157894737</v>
      </c>
      <c r="BO20" s="11" t="n">
        <f aca="false">(BJ20/AS20)</f>
        <v>0.416666666666667</v>
      </c>
      <c r="BP20" s="11" t="n">
        <f aca="false">(BK20/AT20)</f>
        <v>0.4375</v>
      </c>
      <c r="BQ20" s="11" t="n">
        <f aca="false">(BL20/AU20)</f>
        <v>0.129032258064516</v>
      </c>
      <c r="BR20" s="11" t="n">
        <f aca="false">(BM20/AV20)</f>
        <v>0.230769230769231</v>
      </c>
      <c r="BS20" s="11" t="n">
        <f aca="false">(100*BR20)</f>
        <v>23.0769230769231</v>
      </c>
      <c r="BT20" s="9" t="n">
        <v>2</v>
      </c>
      <c r="BU20" s="9" t="n">
        <v>0</v>
      </c>
      <c r="BV20" s="9" t="n">
        <v>0</v>
      </c>
      <c r="BW20" s="9" t="n">
        <v>0</v>
      </c>
      <c r="BX20" s="9" t="n">
        <v>0</v>
      </c>
      <c r="BY20" s="11" t="n">
        <f aca="false">(BU20+BV20+BW20+BX20)/4</f>
        <v>0</v>
      </c>
      <c r="BZ20" s="11" t="n">
        <f aca="false">(BU20/AR20)</f>
        <v>0</v>
      </c>
      <c r="CA20" s="11" t="n">
        <f aca="false">(BV20/AS20)</f>
        <v>0</v>
      </c>
      <c r="CB20" s="11" t="n">
        <f aca="false">(BW20/AT20)</f>
        <v>0</v>
      </c>
      <c r="CC20" s="11" t="n">
        <f aca="false">(BX20/AU20)</f>
        <v>0</v>
      </c>
      <c r="CD20" s="11" t="n">
        <f aca="false">(BY20/AV20)</f>
        <v>0</v>
      </c>
      <c r="CE20" s="11" t="n">
        <f aca="false">(100*CD20)</f>
        <v>0</v>
      </c>
      <c r="CF20" s="9" t="n">
        <v>0</v>
      </c>
      <c r="CG20" s="9" t="n">
        <v>2</v>
      </c>
      <c r="CH20" s="9" t="n">
        <v>1</v>
      </c>
      <c r="CI20" s="9" t="n">
        <v>6</v>
      </c>
      <c r="CJ20" s="9" t="n">
        <v>3</v>
      </c>
      <c r="CK20" s="11" t="n">
        <f aca="false">(CG20+CH20+CI20+CJ20)/4</f>
        <v>3</v>
      </c>
      <c r="CL20" s="11" t="n">
        <f aca="false">(CG20/AM20)</f>
        <v>0.0588235294117647</v>
      </c>
      <c r="CM20" s="11" t="n">
        <f aca="false">(CH20/AN20)</f>
        <v>0.0357142857142857</v>
      </c>
      <c r="CN20" s="11" t="n">
        <f aca="false">(CI20/AO20)</f>
        <v>0.0923076923076923</v>
      </c>
      <c r="CO20" s="9" t="n">
        <f aca="false">(CJ20/AP20)</f>
        <v>0.0789473684210526</v>
      </c>
      <c r="CP20" s="9" t="n">
        <f aca="false">(CK20/AQ20)</f>
        <v>0.0727272727272727</v>
      </c>
      <c r="CQ20" s="9" t="n">
        <f aca="false">(100*CP20)</f>
        <v>7.27272727272727</v>
      </c>
      <c r="CR20" s="18" t="n">
        <v>1</v>
      </c>
      <c r="CS20" s="9" t="n">
        <v>57</v>
      </c>
      <c r="CT20" s="9" t="n">
        <v>60.5</v>
      </c>
      <c r="CU20" s="9" t="n">
        <v>76.3</v>
      </c>
      <c r="CV20" s="9" t="n">
        <v>66.6</v>
      </c>
      <c r="CW20" s="11" t="n">
        <f aca="false">(CS20+CT20+CU20+CV20)/4</f>
        <v>65.1</v>
      </c>
      <c r="CX20" s="9" t="n">
        <v>1</v>
      </c>
      <c r="CY20" s="9" t="n">
        <v>0</v>
      </c>
      <c r="CZ20" s="9" t="n">
        <v>0</v>
      </c>
      <c r="DA20" s="9" t="n">
        <v>0</v>
      </c>
      <c r="DB20" s="11" t="n">
        <f aca="false">(CX20+CY20+CZ20+DA20)/4</f>
        <v>0.25</v>
      </c>
      <c r="DC20" s="9" t="n">
        <v>1</v>
      </c>
      <c r="DD20" s="9" t="n">
        <v>1</v>
      </c>
      <c r="DE20" s="9" t="n">
        <v>1</v>
      </c>
      <c r="DF20" s="9" t="n">
        <v>1</v>
      </c>
      <c r="DG20" s="11" t="n">
        <f aca="false">(DC20+DD20+DE20+DF20)/4</f>
        <v>1</v>
      </c>
      <c r="DH20" s="9" t="n">
        <v>0</v>
      </c>
      <c r="DI20" s="9" t="n">
        <v>1</v>
      </c>
      <c r="DJ20" s="9" t="n">
        <v>1</v>
      </c>
      <c r="DK20" s="9" t="n">
        <v>0</v>
      </c>
      <c r="DL20" s="11" t="n">
        <f aca="false">(DH20+DI20+DJ20+DK20)/4</f>
        <v>0.5</v>
      </c>
      <c r="DM20" s="9" t="n">
        <v>109</v>
      </c>
      <c r="DN20" s="9" t="n">
        <v>70</v>
      </c>
      <c r="DO20" s="9" t="n">
        <v>87</v>
      </c>
      <c r="DP20" s="9" t="n">
        <v>58</v>
      </c>
      <c r="DQ20" s="11" t="n">
        <f aca="false">(DM20+DN20+DO20+DP20)/4</f>
        <v>81</v>
      </c>
      <c r="DR20" s="9" t="n">
        <v>4</v>
      </c>
      <c r="DS20" s="9" t="n">
        <v>10</v>
      </c>
      <c r="DT20" s="9" t="n">
        <v>5</v>
      </c>
      <c r="DU20" s="9" t="n">
        <v>6</v>
      </c>
      <c r="DV20" s="11" t="n">
        <f aca="false">(DR20+DS20+DT20+DU20)/4</f>
        <v>6.25</v>
      </c>
      <c r="DW20" s="9" t="n">
        <v>3</v>
      </c>
      <c r="DX20" s="9" t="n">
        <v>0</v>
      </c>
      <c r="DY20" s="9" t="n">
        <v>0</v>
      </c>
      <c r="DZ20" s="9" t="n">
        <v>0</v>
      </c>
      <c r="EA20" s="11" t="n">
        <f aca="false">(DW31+DX31+DY31+DZ31)/4</f>
        <v>0</v>
      </c>
      <c r="EB20" s="11" t="n">
        <f aca="false">(DW20/DR20)</f>
        <v>0.75</v>
      </c>
      <c r="EC20" s="11" t="n">
        <f aca="false">(DX20/DS20)</f>
        <v>0</v>
      </c>
      <c r="ED20" s="11" t="n">
        <f aca="false">(DY20/DT20)</f>
        <v>0</v>
      </c>
      <c r="EE20" s="11" t="n">
        <f aca="false">(DZ20/DU20)</f>
        <v>0</v>
      </c>
      <c r="EF20" s="11" t="e">
        <f aca="false">(#REF!/DV20)</f>
        <v>#REF!</v>
      </c>
      <c r="EG20" s="11" t="e">
        <f aca="false">(100*EF20)</f>
        <v>#REF!</v>
      </c>
      <c r="EH20" s="9" t="n">
        <v>2</v>
      </c>
      <c r="EI20" s="9" t="n">
        <v>1</v>
      </c>
      <c r="EJ20" s="9" t="n">
        <v>2</v>
      </c>
      <c r="EK20" s="19" t="n">
        <v>3</v>
      </c>
      <c r="EL20" s="9" t="n">
        <v>4</v>
      </c>
      <c r="EM20" s="9" t="n">
        <f aca="false">(EI20+EJ20+EK20+EL20)/4</f>
        <v>2.5</v>
      </c>
      <c r="EN20" s="9" t="n">
        <f aca="false">(EI20/DR20)</f>
        <v>0.25</v>
      </c>
      <c r="EO20" s="9" t="n">
        <f aca="false">(EJ20/DS20)</f>
        <v>0.2</v>
      </c>
      <c r="EP20" s="9" t="n">
        <f aca="false">(EK20/DT20)</f>
        <v>0.6</v>
      </c>
      <c r="EQ20" s="9" t="n">
        <f aca="false">(EL20/DU20)</f>
        <v>0.666666666666667</v>
      </c>
      <c r="ER20" s="9" t="n">
        <f aca="false">EM20/DV20</f>
        <v>0.4</v>
      </c>
      <c r="ES20" s="9" t="n">
        <f aca="false">(100*ER20)</f>
        <v>40</v>
      </c>
      <c r="ET20" s="9" t="n">
        <v>3</v>
      </c>
      <c r="EU20" s="18" t="n">
        <v>0</v>
      </c>
      <c r="EV20" s="9" t="n">
        <v>4</v>
      </c>
      <c r="EW20" s="9" t="n">
        <v>0</v>
      </c>
      <c r="EX20" s="9" t="n">
        <v>0</v>
      </c>
      <c r="EY20" s="11" t="n">
        <f aca="false">(EU20+EV20+EW20+EX20)/4</f>
        <v>1</v>
      </c>
      <c r="EZ20" s="11" t="n">
        <f aca="false">(EU20/DR20)</f>
        <v>0</v>
      </c>
      <c r="FA20" s="11" t="n">
        <f aca="false">(EV20/DS20)</f>
        <v>0.4</v>
      </c>
      <c r="FB20" s="11" t="n">
        <f aca="false">(EW20/DT20)</f>
        <v>0</v>
      </c>
      <c r="FC20" s="11" t="n">
        <f aca="false">(EX20/DU20)</f>
        <v>0</v>
      </c>
      <c r="FD20" s="11" t="n">
        <f aca="false">(EY20/DV20)</f>
        <v>0.16</v>
      </c>
      <c r="FE20" s="11" t="n">
        <f aca="false">(100*FD20)</f>
        <v>16</v>
      </c>
      <c r="FF20" s="9" t="n">
        <v>2</v>
      </c>
      <c r="FG20" s="9" t="n">
        <v>0</v>
      </c>
      <c r="FH20" s="9" t="n">
        <v>5</v>
      </c>
      <c r="FI20" s="9" t="n">
        <v>9</v>
      </c>
      <c r="FJ20" s="9" t="n">
        <v>0</v>
      </c>
      <c r="FK20" s="11" t="n">
        <f aca="false">(FG20+FH20+FI20+FJ20)/4</f>
        <v>3.5</v>
      </c>
      <c r="FL20" s="11" t="n">
        <f aca="false">(FG20/DR20)</f>
        <v>0</v>
      </c>
      <c r="FM20" s="11" t="n">
        <f aca="false">(FH20/DS20)</f>
        <v>0.5</v>
      </c>
      <c r="FN20" s="11" t="n">
        <f aca="false">(FI20/DT20)</f>
        <v>1.8</v>
      </c>
      <c r="FO20" s="11" t="n">
        <f aca="false">(FJ20/DU20)</f>
        <v>0</v>
      </c>
      <c r="FP20" s="11" t="n">
        <f aca="false">(FK20/DV20)</f>
        <v>0.56</v>
      </c>
      <c r="FQ20" s="11" t="n">
        <f aca="false">(100*FP20)</f>
        <v>56</v>
      </c>
      <c r="FR20" s="9" t="n">
        <v>3</v>
      </c>
      <c r="FS20" s="9" t="n">
        <v>56.6</v>
      </c>
      <c r="FT20" s="9" t="n">
        <v>57.9</v>
      </c>
      <c r="FU20" s="9" t="n">
        <v>33.8</v>
      </c>
      <c r="FV20" s="9" t="n">
        <v>64.8</v>
      </c>
      <c r="FW20" s="11" t="n">
        <f aca="false">(FS20+FT20+FU20+FV20)/4</f>
        <v>53.275</v>
      </c>
      <c r="FX20" s="9" t="n">
        <v>0</v>
      </c>
      <c r="FY20" s="9" t="n">
        <v>1</v>
      </c>
      <c r="FZ20" s="9" t="n">
        <v>0</v>
      </c>
      <c r="GA20" s="9" t="n">
        <v>0</v>
      </c>
      <c r="GB20" s="11" t="n">
        <f aca="false">(FX20+FY20+FZ20+GA20)/4</f>
        <v>0.25</v>
      </c>
      <c r="GC20" s="9" t="n">
        <v>1</v>
      </c>
      <c r="GD20" s="9" t="n">
        <v>1</v>
      </c>
      <c r="GE20" s="9" t="n">
        <v>1</v>
      </c>
      <c r="GF20" s="9" t="n">
        <v>1</v>
      </c>
      <c r="GG20" s="11" t="n">
        <f aca="false">(GC20+GD20+GE20+GF20)/4</f>
        <v>1</v>
      </c>
      <c r="GH20" s="9" t="n">
        <v>1</v>
      </c>
      <c r="GI20" s="9" t="n">
        <v>0</v>
      </c>
      <c r="GJ20" s="9" t="n">
        <v>1</v>
      </c>
      <c r="GK20" s="9" t="n">
        <v>0</v>
      </c>
      <c r="GL20" s="11" t="n">
        <f aca="false">(GH20+GI20+GJ20+GK20)/4</f>
        <v>0.5</v>
      </c>
      <c r="GM20" s="9" t="n">
        <v>63</v>
      </c>
      <c r="GN20" s="9" t="n">
        <v>24</v>
      </c>
      <c r="GO20" s="9" t="n">
        <v>126</v>
      </c>
      <c r="GP20" s="9" t="n">
        <v>7</v>
      </c>
      <c r="GQ20" s="11" t="n">
        <f aca="false">(GM20+GN20+GO20+GP20)/4</f>
        <v>55</v>
      </c>
      <c r="GR20" s="9" t="n">
        <v>2</v>
      </c>
      <c r="GS20" s="9" t="n">
        <v>6</v>
      </c>
      <c r="GT20" s="9" t="n">
        <v>5</v>
      </c>
      <c r="GU20" s="9" t="n">
        <v>14</v>
      </c>
      <c r="GV20" s="11" t="n">
        <f aca="false">(GR20+GS20+GT20+GU20)/4</f>
        <v>6.75</v>
      </c>
      <c r="GW20" s="9" t="n">
        <v>0</v>
      </c>
      <c r="GX20" s="9" t="n">
        <v>2</v>
      </c>
      <c r="GY20" s="9" t="n">
        <v>0</v>
      </c>
      <c r="GZ20" s="9" t="n">
        <v>0</v>
      </c>
      <c r="HA20" s="11" t="n">
        <f aca="false">(GW20+GX20+GY20+GZ20)/4</f>
        <v>0.5</v>
      </c>
      <c r="HB20" s="9" t="n">
        <f aca="false">(GW20/GR20)</f>
        <v>0</v>
      </c>
      <c r="HC20" s="9" t="n">
        <f aca="false">(GX20/GS20)</f>
        <v>0.333333333333333</v>
      </c>
      <c r="HD20" s="9" t="n">
        <f aca="false">(GY20/GT20)</f>
        <v>0</v>
      </c>
      <c r="HE20" s="9" t="n">
        <f aca="false">(GZ20/GU20)/4</f>
        <v>0</v>
      </c>
      <c r="HF20" s="9" t="n">
        <f aca="false">(HB20+HC20+HD20+HE20)/4</f>
        <v>0.0833333333333333</v>
      </c>
      <c r="HG20" s="9" t="n">
        <f aca="false">(100*HF20)</f>
        <v>8.33333333333333</v>
      </c>
      <c r="HH20" s="18"/>
      <c r="HI20" s="9" t="n">
        <v>0</v>
      </c>
      <c r="HJ20" s="9" t="n">
        <v>2</v>
      </c>
      <c r="HK20" s="9" t="n">
        <v>2</v>
      </c>
      <c r="HL20" s="19" t="n">
        <v>4</v>
      </c>
      <c r="HM20" s="9" t="n">
        <f aca="false">(HI20+HJ20+HK20+HL20)/4</f>
        <v>2</v>
      </c>
      <c r="HN20" s="9" t="n">
        <f aca="false">(HI20/GR20)</f>
        <v>0</v>
      </c>
      <c r="HO20" s="9" t="n">
        <f aca="false">(HJ20/GS20)</f>
        <v>0.333333333333333</v>
      </c>
      <c r="HP20" s="9" t="n">
        <f aca="false">(HK20/GT20)</f>
        <v>0.4</v>
      </c>
      <c r="HQ20" s="9" t="n">
        <f aca="false">(HL20/GU20)</f>
        <v>0.285714285714286</v>
      </c>
      <c r="HR20" s="9" t="n">
        <f aca="false">(HM20/GV20)</f>
        <v>0.296296296296296</v>
      </c>
      <c r="HS20" s="9" t="n">
        <f aca="false">(100*HR20)</f>
        <v>29.6296296296296</v>
      </c>
      <c r="HT20" s="18" t="n">
        <v>3</v>
      </c>
      <c r="HU20" s="9" t="n">
        <v>0</v>
      </c>
      <c r="HV20" s="9" t="n">
        <v>0</v>
      </c>
      <c r="HW20" s="9" t="n">
        <v>0</v>
      </c>
      <c r="HX20" s="19" t="n">
        <v>0</v>
      </c>
      <c r="HY20" s="9" t="n">
        <f aca="false">(HU20+HV20+HW20+HX20)/4</f>
        <v>0</v>
      </c>
      <c r="HZ20" s="9" t="n">
        <f aca="false">(HU20/GR20)</f>
        <v>0</v>
      </c>
      <c r="IA20" s="9" t="n">
        <f aca="false">HV20/GS20</f>
        <v>0</v>
      </c>
      <c r="IB20" s="9" t="n">
        <f aca="false">(HW20/GT20)</f>
        <v>0</v>
      </c>
      <c r="IC20" s="9" t="n">
        <f aca="false">(HX20/GU20)</f>
        <v>0</v>
      </c>
      <c r="ID20" s="9" t="n">
        <f aca="false">(HY20/GV20)</f>
        <v>0</v>
      </c>
      <c r="IE20" s="9" t="n">
        <f aca="false">(100*ID20)</f>
        <v>0</v>
      </c>
      <c r="IF20" s="18" t="n">
        <v>0</v>
      </c>
      <c r="IG20" s="9" t="n">
        <v>10</v>
      </c>
      <c r="IH20" s="9" t="n">
        <v>0</v>
      </c>
      <c r="II20" s="19" t="n">
        <v>9</v>
      </c>
      <c r="IJ20" s="9" t="n">
        <v>0</v>
      </c>
      <c r="IK20" s="9" t="n">
        <f aca="false">(IG20+IH20+II20+IJ20)/4</f>
        <v>4.75</v>
      </c>
      <c r="IL20" s="9" t="n">
        <f aca="false">(IG20/GM20)</f>
        <v>0.158730158730159</v>
      </c>
      <c r="IM20" s="9" t="n">
        <f aca="false">(IH20/GN20)</f>
        <v>0</v>
      </c>
      <c r="IN20" s="9" t="n">
        <f aca="false">(II20/GO20)</f>
        <v>0.0714285714285714</v>
      </c>
      <c r="IO20" s="9" t="n">
        <f aca="false">(IJ20/GP20)</f>
        <v>0</v>
      </c>
      <c r="IP20" s="9" t="n">
        <f aca="false">(IK20/GQ20)</f>
        <v>0.0863636363636364</v>
      </c>
      <c r="IQ20" s="9" t="n">
        <f aca="false">(100*IP20)</f>
        <v>8.63636363636364</v>
      </c>
      <c r="IR20" s="18" t="n">
        <v>1</v>
      </c>
      <c r="IS20" s="9" t="n">
        <v>64.6</v>
      </c>
      <c r="IT20" s="9" t="n">
        <v>61.8</v>
      </c>
      <c r="IU20" s="19" t="n">
        <v>48.7</v>
      </c>
      <c r="IV20" s="9" t="n">
        <v>60.5</v>
      </c>
      <c r="IW20" s="9" t="n">
        <f aca="false">(IS20+IT20+IU20+IV20)/4</f>
        <v>58.9</v>
      </c>
      <c r="IX20" s="16" t="n">
        <v>45205</v>
      </c>
      <c r="IY20" s="10" t="s">
        <v>268</v>
      </c>
    </row>
    <row r="21" customFormat="false" ht="15.75" hidden="false" customHeight="true" outlineLevel="0" collapsed="false">
      <c r="A21" s="9" t="s">
        <v>299</v>
      </c>
      <c r="B21" s="10" t="s">
        <v>314</v>
      </c>
      <c r="C21" s="10" t="s">
        <v>261</v>
      </c>
      <c r="D21" s="9" t="n">
        <v>3</v>
      </c>
      <c r="E21" s="9" t="n">
        <v>7</v>
      </c>
      <c r="F21" s="10" t="s">
        <v>319</v>
      </c>
      <c r="G21" s="10" t="s">
        <v>320</v>
      </c>
      <c r="H21" s="9" t="n">
        <v>21</v>
      </c>
      <c r="I21" s="9" t="n">
        <v>12</v>
      </c>
      <c r="J21" s="12" t="s">
        <v>270</v>
      </c>
      <c r="K21" s="20"/>
      <c r="L21" s="20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 t="n">
        <v>0</v>
      </c>
      <c r="Y21" s="9" t="n">
        <v>0</v>
      </c>
      <c r="Z21" s="9" t="n">
        <v>0</v>
      </c>
      <c r="AA21" s="9" t="n">
        <v>1</v>
      </c>
      <c r="AB21" s="11" t="n">
        <f aca="false">(X21+Y21+Z21+AA21)/4</f>
        <v>0.25</v>
      </c>
      <c r="AC21" s="9" t="n">
        <v>0</v>
      </c>
      <c r="AD21" s="9" t="n">
        <v>0</v>
      </c>
      <c r="AE21" s="9" t="n">
        <v>0</v>
      </c>
      <c r="AF21" s="9" t="n">
        <v>0</v>
      </c>
      <c r="AG21" s="11" t="n">
        <f aca="false">(AC21+AD21+AE21+AF21)/4</f>
        <v>0</v>
      </c>
      <c r="AH21" s="9" t="n">
        <v>1</v>
      </c>
      <c r="AI21" s="9" t="n">
        <v>1</v>
      </c>
      <c r="AJ21" s="9" t="n">
        <v>1</v>
      </c>
      <c r="AK21" s="9" t="n">
        <v>1</v>
      </c>
      <c r="AL21" s="11" t="n">
        <f aca="false">(AH21+AI21+AJ21+AK21)/4</f>
        <v>1</v>
      </c>
      <c r="AM21" s="9" t="n">
        <v>47</v>
      </c>
      <c r="AN21" s="9" t="n">
        <v>26</v>
      </c>
      <c r="AO21" s="9" t="n">
        <v>43</v>
      </c>
      <c r="AP21" s="9" t="n">
        <v>55</v>
      </c>
      <c r="AQ21" s="11" t="n">
        <f aca="false">(AM21+AN21+AO21+AP21)/4</f>
        <v>42.75</v>
      </c>
      <c r="AR21" s="9" t="n">
        <v>27</v>
      </c>
      <c r="AS21" s="9" t="n">
        <v>10</v>
      </c>
      <c r="AT21" s="9" t="n">
        <v>9</v>
      </c>
      <c r="AU21" s="9" t="n">
        <v>23</v>
      </c>
      <c r="AV21" s="11" t="n">
        <f aca="false">(AR21+AS21+AT21+AU21)/4</f>
        <v>17.25</v>
      </c>
      <c r="AW21" s="9" t="n">
        <v>0</v>
      </c>
      <c r="AX21" s="9" t="n">
        <v>0</v>
      </c>
      <c r="AY21" s="9" t="n">
        <v>0</v>
      </c>
      <c r="AZ21" s="9" t="n">
        <v>1</v>
      </c>
      <c r="BA21" s="11" t="n">
        <f aca="false">(AW21+AX21+AY21+AZ21)/4</f>
        <v>0.25</v>
      </c>
      <c r="BB21" s="11" t="n">
        <f aca="false">(AW21/AR21)</f>
        <v>0</v>
      </c>
      <c r="BC21" s="11" t="n">
        <f aca="false">(AX21/AS21)</f>
        <v>0</v>
      </c>
      <c r="BD21" s="11" t="n">
        <f aca="false">(AY21/AT21)</f>
        <v>0</v>
      </c>
      <c r="BE21" s="11" t="n">
        <f aca="false">(AZ21/AU21)</f>
        <v>0.0434782608695652</v>
      </c>
      <c r="BF21" s="11" t="n">
        <f aca="false">(BA21/AV21)</f>
        <v>0.0144927536231884</v>
      </c>
      <c r="BG21" s="11" t="n">
        <f aca="false">(BF21*100)</f>
        <v>1.44927536231884</v>
      </c>
      <c r="BH21" s="9" t="n">
        <v>1</v>
      </c>
      <c r="BI21" s="9" t="n">
        <v>0</v>
      </c>
      <c r="BJ21" s="9" t="n">
        <v>0</v>
      </c>
      <c r="BK21" s="9" t="n">
        <v>0</v>
      </c>
      <c r="BL21" s="9" t="n">
        <v>0</v>
      </c>
      <c r="BM21" s="11" t="n">
        <f aca="false">(BI21+BJ21+BK21+BL21)/4</f>
        <v>0</v>
      </c>
      <c r="BN21" s="11" t="n">
        <f aca="false">(BI21/AR21)</f>
        <v>0</v>
      </c>
      <c r="BO21" s="11" t="n">
        <f aca="false">(BJ21/AS21)</f>
        <v>0</v>
      </c>
      <c r="BP21" s="11" t="n">
        <f aca="false">(BK21/AT21)</f>
        <v>0</v>
      </c>
      <c r="BQ21" s="11" t="n">
        <f aca="false">(BL21/AU21)</f>
        <v>0</v>
      </c>
      <c r="BR21" s="11" t="n">
        <f aca="false">(BM21/AV21)</f>
        <v>0</v>
      </c>
      <c r="BS21" s="11" t="n">
        <f aca="false">(100*BR21)</f>
        <v>0</v>
      </c>
      <c r="BT21" s="9" t="n">
        <v>0</v>
      </c>
      <c r="BU21" s="9" t="n">
        <v>4</v>
      </c>
      <c r="BV21" s="9" t="n">
        <v>2</v>
      </c>
      <c r="BW21" s="9" t="n">
        <v>0</v>
      </c>
      <c r="BX21" s="9" t="n">
        <v>0</v>
      </c>
      <c r="BY21" s="11" t="n">
        <f aca="false">(BU21+BV21+BW21+BX21)/4</f>
        <v>1.5</v>
      </c>
      <c r="BZ21" s="11" t="n">
        <f aca="false">(BU21/AR21)</f>
        <v>0.148148148148148</v>
      </c>
      <c r="CA21" s="11" t="n">
        <f aca="false">(BV21/AS21)</f>
        <v>0.2</v>
      </c>
      <c r="CB21" s="11" t="n">
        <f aca="false">(BW21/AT21)</f>
        <v>0</v>
      </c>
      <c r="CC21" s="11" t="n">
        <f aca="false">(BX21/AU21)</f>
        <v>0</v>
      </c>
      <c r="CD21" s="11" t="n">
        <f aca="false">(BY21/AV21)</f>
        <v>0.0869565217391304</v>
      </c>
      <c r="CE21" s="11" t="n">
        <f aca="false">(100*CD21)</f>
        <v>8.69565217391304</v>
      </c>
      <c r="CF21" s="9" t="n">
        <v>1</v>
      </c>
      <c r="CG21" s="9" t="n">
        <v>0</v>
      </c>
      <c r="CH21" s="9" t="n">
        <v>3</v>
      </c>
      <c r="CI21" s="9" t="n">
        <v>1</v>
      </c>
      <c r="CJ21" s="9" t="n">
        <v>3</v>
      </c>
      <c r="CK21" s="11" t="n">
        <f aca="false">(CG21+CH21+CI21+CJ21)/4</f>
        <v>1.75</v>
      </c>
      <c r="CL21" s="11" t="n">
        <f aca="false">(CG21/AM21)</f>
        <v>0</v>
      </c>
      <c r="CM21" s="11" t="n">
        <f aca="false">(CH21/AN21)</f>
        <v>0.115384615384615</v>
      </c>
      <c r="CN21" s="11" t="n">
        <f aca="false">(CI21/AO21)</f>
        <v>0.0232558139534884</v>
      </c>
      <c r="CO21" s="9" t="n">
        <f aca="false">(CJ21/AP21)</f>
        <v>0.0545454545454545</v>
      </c>
      <c r="CP21" s="9" t="n">
        <f aca="false">(CK21/AQ21)</f>
        <v>0.0409356725146199</v>
      </c>
      <c r="CQ21" s="9" t="n">
        <f aca="false">(100*CP21)</f>
        <v>4.09356725146199</v>
      </c>
      <c r="CR21" s="18" t="n">
        <v>1</v>
      </c>
      <c r="CS21" s="9" t="n">
        <v>40</v>
      </c>
      <c r="CT21" s="9" t="n">
        <v>50.9</v>
      </c>
      <c r="CU21" s="9" t="n">
        <v>41.8</v>
      </c>
      <c r="CV21" s="9" t="n">
        <v>46.5</v>
      </c>
      <c r="CW21" s="11" t="n">
        <f aca="false">(CS21+CT21+CU21+CV21)/4</f>
        <v>44.8</v>
      </c>
      <c r="CX21" s="9" t="n">
        <v>0</v>
      </c>
      <c r="CY21" s="9" t="n">
        <v>0</v>
      </c>
      <c r="CZ21" s="9" t="n">
        <v>1</v>
      </c>
      <c r="DA21" s="9" t="n">
        <v>0</v>
      </c>
      <c r="DB21" s="11" t="n">
        <f aca="false">(CX21+CY21+CZ21+DA21)/4</f>
        <v>0.25</v>
      </c>
      <c r="DC21" s="9" t="n">
        <v>1</v>
      </c>
      <c r="DD21" s="9" t="n">
        <v>1</v>
      </c>
      <c r="DE21" s="9" t="n">
        <v>0</v>
      </c>
      <c r="DF21" s="9" t="n">
        <v>1</v>
      </c>
      <c r="DG21" s="11" t="n">
        <f aca="false">(DC21+DD21+DE21+DF21)/4</f>
        <v>0.75</v>
      </c>
      <c r="DH21" s="9" t="n">
        <v>0</v>
      </c>
      <c r="DI21" s="9" t="n">
        <v>1</v>
      </c>
      <c r="DJ21" s="9" t="n">
        <v>1</v>
      </c>
      <c r="DK21" s="9" t="n">
        <v>1</v>
      </c>
      <c r="DL21" s="11" t="n">
        <f aca="false">(DH21+DI21+DJ21+DK21)/4</f>
        <v>0.75</v>
      </c>
      <c r="DM21" s="9" t="n">
        <v>80</v>
      </c>
      <c r="DN21" s="9" t="n">
        <v>64</v>
      </c>
      <c r="DO21" s="9" t="n">
        <v>62</v>
      </c>
      <c r="DP21" s="9" t="n">
        <v>97</v>
      </c>
      <c r="DQ21" s="11" t="n">
        <f aca="false">(DM21+DN21+DO21+DP21)/4</f>
        <v>75.75</v>
      </c>
      <c r="DR21" s="9" t="n">
        <v>20</v>
      </c>
      <c r="DS21" s="9" t="n">
        <v>19</v>
      </c>
      <c r="DT21" s="9" t="n">
        <v>26</v>
      </c>
      <c r="DU21" s="9" t="n">
        <v>9</v>
      </c>
      <c r="DV21" s="11" t="n">
        <f aca="false">(DR21+DS21+DT21+DU21)/4</f>
        <v>18.5</v>
      </c>
      <c r="DW21" s="9" t="n">
        <v>0</v>
      </c>
      <c r="DX21" s="9" t="n">
        <v>0</v>
      </c>
      <c r="DY21" s="9" t="n">
        <v>3</v>
      </c>
      <c r="DZ21" s="9" t="n">
        <v>0</v>
      </c>
      <c r="EA21" s="11" t="n">
        <f aca="false">(DW21+DX21+DY21+DZ21)/4</f>
        <v>0.75</v>
      </c>
      <c r="EB21" s="11" t="n">
        <f aca="false">(DW21/DR21)</f>
        <v>0</v>
      </c>
      <c r="EC21" s="11" t="n">
        <f aca="false">(DX21/DS21)</f>
        <v>0</v>
      </c>
      <c r="ED21" s="11" t="n">
        <f aca="false">(DY21/DT21)</f>
        <v>0.115384615384615</v>
      </c>
      <c r="EE21" s="11" t="n">
        <f aca="false">(DZ21/DU21)</f>
        <v>0</v>
      </c>
      <c r="EF21" s="11" t="n">
        <f aca="false">(EA21/DV21)</f>
        <v>0.0405405405405405</v>
      </c>
      <c r="EG21" s="11" t="n">
        <f aca="false">(100*EF21)</f>
        <v>4.05405405405405</v>
      </c>
      <c r="EH21" s="9" t="n">
        <v>1</v>
      </c>
      <c r="EI21" s="9" t="n">
        <v>3</v>
      </c>
      <c r="EJ21" s="9" t="n">
        <v>1</v>
      </c>
      <c r="EK21" s="19" t="n">
        <v>0</v>
      </c>
      <c r="EL21" s="9" t="n">
        <v>1</v>
      </c>
      <c r="EM21" s="9" t="n">
        <f aca="false">(EI21+EJ21+EK21+EL21)/4</f>
        <v>1.25</v>
      </c>
      <c r="EN21" s="9" t="n">
        <f aca="false">(EI21/DR21)</f>
        <v>0.15</v>
      </c>
      <c r="EO21" s="9" t="n">
        <f aca="false">(EJ21/DS21)</f>
        <v>0.0526315789473684</v>
      </c>
      <c r="EP21" s="9" t="n">
        <f aca="false">(EK21/DT21)</f>
        <v>0</v>
      </c>
      <c r="EQ21" s="9" t="n">
        <f aca="false">(EL21/DU21)</f>
        <v>0.111111111111111</v>
      </c>
      <c r="ER21" s="9" t="n">
        <f aca="false">EM21/DV21</f>
        <v>0.0675675675675676</v>
      </c>
      <c r="ES21" s="9" t="n">
        <f aca="false">(100*ER21)</f>
        <v>6.75675675675676</v>
      </c>
      <c r="ET21" s="9" t="n">
        <v>1</v>
      </c>
      <c r="EU21" s="18" t="n">
        <v>0</v>
      </c>
      <c r="EV21" s="9" t="n">
        <v>0</v>
      </c>
      <c r="EW21" s="9" t="n">
        <v>0</v>
      </c>
      <c r="EX21" s="9" t="n">
        <v>0</v>
      </c>
      <c r="EY21" s="11" t="n">
        <f aca="false">(EU21+EV21+EW21+EX21)/4</f>
        <v>0</v>
      </c>
      <c r="EZ21" s="11" t="n">
        <f aca="false">(EU21/DR21)</f>
        <v>0</v>
      </c>
      <c r="FA21" s="11" t="n">
        <f aca="false">(EV21/DS21)</f>
        <v>0</v>
      </c>
      <c r="FB21" s="11" t="n">
        <f aca="false">(EW21/DT21)</f>
        <v>0</v>
      </c>
      <c r="FC21" s="11" t="n">
        <f aca="false">(EX21/DU21)</f>
        <v>0</v>
      </c>
      <c r="FD21" s="11" t="n">
        <f aca="false">(EY21/DV21)</f>
        <v>0</v>
      </c>
      <c r="FE21" s="11" t="n">
        <f aca="false">(100*FD21)</f>
        <v>0</v>
      </c>
      <c r="FF21" s="9" t="n">
        <v>0</v>
      </c>
      <c r="FG21" s="9" t="n">
        <v>0</v>
      </c>
      <c r="FH21" s="9" t="n">
        <v>3</v>
      </c>
      <c r="FI21" s="9" t="n">
        <v>3</v>
      </c>
      <c r="FJ21" s="9" t="n">
        <v>4</v>
      </c>
      <c r="FK21" s="11" t="n">
        <f aca="false">(FG21+FH21+FI21+FJ21)/4</f>
        <v>2.5</v>
      </c>
      <c r="FL21" s="11" t="n">
        <f aca="false">(FG21/DR21)</f>
        <v>0</v>
      </c>
      <c r="FM21" s="11" t="n">
        <f aca="false">(FH21/DS21)</f>
        <v>0.157894736842105</v>
      </c>
      <c r="FN21" s="11" t="n">
        <f aca="false">(FI21/DT21)</f>
        <v>0.115384615384615</v>
      </c>
      <c r="FO21" s="11" t="n">
        <f aca="false">(FJ21/DU21)</f>
        <v>0.444444444444444</v>
      </c>
      <c r="FP21" s="11" t="n">
        <f aca="false">(FK21/DV21)</f>
        <v>0.135135135135135</v>
      </c>
      <c r="FQ21" s="11" t="n">
        <f aca="false">(100*FP21)</f>
        <v>13.5135135135135</v>
      </c>
      <c r="FR21" s="9" t="n">
        <v>2</v>
      </c>
      <c r="FS21" s="9" t="n">
        <v>68</v>
      </c>
      <c r="FT21" s="9" t="n">
        <v>43.8</v>
      </c>
      <c r="FU21" s="9" t="n">
        <v>48.7</v>
      </c>
      <c r="FV21" s="9" t="n">
        <v>39.3</v>
      </c>
      <c r="FW21" s="11" t="n">
        <f aca="false">(FS21+FT21+FU21+FV21)/4</f>
        <v>49.95</v>
      </c>
      <c r="FX21" s="9" t="n">
        <v>0</v>
      </c>
      <c r="FY21" s="9" t="n">
        <v>0</v>
      </c>
      <c r="FZ21" s="9" t="n">
        <v>0</v>
      </c>
      <c r="GA21" s="9" t="n">
        <v>1</v>
      </c>
      <c r="GB21" s="11" t="n">
        <f aca="false">(FX21+FY21+FZ21+GA21)/4</f>
        <v>0.25</v>
      </c>
      <c r="GC21" s="9" t="n">
        <v>1</v>
      </c>
      <c r="GD21" s="9" t="n">
        <v>1</v>
      </c>
      <c r="GE21" s="9" t="n">
        <v>1</v>
      </c>
      <c r="GF21" s="9" t="n">
        <v>0</v>
      </c>
      <c r="GG21" s="11" t="n">
        <f aca="false">(GC21+GD21+GE21+GF21)/4</f>
        <v>0.75</v>
      </c>
      <c r="GH21" s="9" t="n">
        <v>1</v>
      </c>
      <c r="GI21" s="9" t="n">
        <v>1</v>
      </c>
      <c r="GJ21" s="9" t="n">
        <v>0</v>
      </c>
      <c r="GK21" s="9" t="n">
        <v>0</v>
      </c>
      <c r="GL21" s="11" t="n">
        <f aca="false">(GH21+GI21+GJ21+GK21)/4</f>
        <v>0.5</v>
      </c>
      <c r="GM21" s="9" t="n">
        <v>98</v>
      </c>
      <c r="GN21" s="9" t="n">
        <v>121</v>
      </c>
      <c r="GO21" s="9" t="n">
        <v>182</v>
      </c>
      <c r="GP21" s="9" t="n">
        <v>50</v>
      </c>
      <c r="GQ21" s="11" t="n">
        <f aca="false">(GM21+GN21+GO21+GP21)/4</f>
        <v>112.75</v>
      </c>
      <c r="GR21" s="9" t="n">
        <v>34</v>
      </c>
      <c r="GS21" s="9" t="n">
        <v>38</v>
      </c>
      <c r="GT21" s="9" t="n">
        <v>60</v>
      </c>
      <c r="GU21" s="9" t="n">
        <v>17</v>
      </c>
      <c r="GV21" s="11" t="n">
        <f aca="false">(GR21+GS21+GT21+GU21)/4</f>
        <v>37.25</v>
      </c>
      <c r="GW21" s="9" t="n">
        <v>0</v>
      </c>
      <c r="GX21" s="9" t="n">
        <v>0</v>
      </c>
      <c r="GY21" s="9" t="n">
        <v>0</v>
      </c>
      <c r="GZ21" s="9" t="n">
        <v>1</v>
      </c>
      <c r="HA21" s="11" t="n">
        <f aca="false">(GW21+GX21+GY21+GZ21)/4</f>
        <v>0.25</v>
      </c>
      <c r="HB21" s="9" t="n">
        <f aca="false">(GW21/GR21)</f>
        <v>0</v>
      </c>
      <c r="HC21" s="9" t="n">
        <f aca="false">(GX21/GS21)</f>
        <v>0</v>
      </c>
      <c r="HD21" s="9" t="n">
        <f aca="false">(GY21/GT21)</f>
        <v>0</v>
      </c>
      <c r="HE21" s="9" t="n">
        <f aca="false">(GZ21/GU21)/4</f>
        <v>0.0147058823529412</v>
      </c>
      <c r="HF21" s="9" t="n">
        <f aca="false">(HB21+HC21+HD21+HE21)/4</f>
        <v>0.00367647058823529</v>
      </c>
      <c r="HG21" s="9" t="n">
        <f aca="false">(100*HF21)</f>
        <v>0.367647058823529</v>
      </c>
      <c r="HH21" s="18" t="n">
        <v>1</v>
      </c>
      <c r="HI21" s="9" t="n">
        <v>8</v>
      </c>
      <c r="HJ21" s="9" t="n">
        <v>3</v>
      </c>
      <c r="HK21" s="9" t="n">
        <v>4</v>
      </c>
      <c r="HL21" s="19" t="n">
        <v>0</v>
      </c>
      <c r="HM21" s="9" t="n">
        <f aca="false">(HI21+HJ21+HK21+HL21)/4</f>
        <v>3.75</v>
      </c>
      <c r="HN21" s="9" t="n">
        <f aca="false">(HI21/GR21)</f>
        <v>0.235294117647059</v>
      </c>
      <c r="HO21" s="9" t="n">
        <f aca="false">(HJ21/GS21)</f>
        <v>0.0789473684210526</v>
      </c>
      <c r="HP21" s="9" t="n">
        <f aca="false">(HK21/GT21)</f>
        <v>0.0666666666666667</v>
      </c>
      <c r="HQ21" s="9" t="n">
        <f aca="false">(HL21/GU21)</f>
        <v>0</v>
      </c>
      <c r="HR21" s="9" t="n">
        <f aca="false">(HM21/GV21)</f>
        <v>0.100671140939597</v>
      </c>
      <c r="HS21" s="9" t="n">
        <f aca="false">(100*HR21)</f>
        <v>10.0671140939597</v>
      </c>
      <c r="HT21" s="18" t="n">
        <v>2</v>
      </c>
      <c r="HU21" s="9" t="n">
        <v>0</v>
      </c>
      <c r="HV21" s="9" t="n">
        <v>0</v>
      </c>
      <c r="HW21" s="9" t="n">
        <v>0</v>
      </c>
      <c r="HX21" s="19" t="n">
        <v>0</v>
      </c>
      <c r="HY21" s="9" t="n">
        <f aca="false">(HU21+HV21+HW21+HX21)/4</f>
        <v>0</v>
      </c>
      <c r="HZ21" s="9" t="n">
        <f aca="false">(HU21/GR21)</f>
        <v>0</v>
      </c>
      <c r="IA21" s="9" t="n">
        <f aca="false">HV21/GS21</f>
        <v>0</v>
      </c>
      <c r="IB21" s="9" t="n">
        <f aca="false">(HW21/GT21)</f>
        <v>0</v>
      </c>
      <c r="IC21" s="9" t="n">
        <f aca="false">(HX21/GU21)</f>
        <v>0</v>
      </c>
      <c r="ID21" s="9" t="n">
        <f aca="false">(HY21/GV21)</f>
        <v>0</v>
      </c>
      <c r="IE21" s="9" t="n">
        <f aca="false">(100*ID21)</f>
        <v>0</v>
      </c>
      <c r="IF21" s="18" t="n">
        <v>0</v>
      </c>
      <c r="IG21" s="9" t="n">
        <v>5</v>
      </c>
      <c r="IH21" s="9" t="n">
        <v>3</v>
      </c>
      <c r="II21" s="19" t="n">
        <v>0</v>
      </c>
      <c r="IJ21" s="9" t="n">
        <v>0</v>
      </c>
      <c r="IK21" s="9" t="n">
        <f aca="false">(IG21+IH21+II21+IJ21)/4</f>
        <v>2</v>
      </c>
      <c r="IL21" s="9" t="n">
        <f aca="false">(IG21/GM21)</f>
        <v>0.0510204081632653</v>
      </c>
      <c r="IM21" s="9" t="n">
        <f aca="false">(IH21/GN21)</f>
        <v>0.0247933884297521</v>
      </c>
      <c r="IN21" s="9" t="n">
        <f aca="false">(II21/GO21)</f>
        <v>0</v>
      </c>
      <c r="IO21" s="9" t="n">
        <f aca="false">(IJ21/GP21)</f>
        <v>0</v>
      </c>
      <c r="IP21" s="9" t="n">
        <f aca="false">(IK21/GQ21)</f>
        <v>0.0177383592017738</v>
      </c>
      <c r="IQ21" s="9" t="n">
        <f aca="false">(100*IP21)</f>
        <v>1.77383592017738</v>
      </c>
      <c r="IR21" s="18" t="n">
        <v>1</v>
      </c>
      <c r="IS21" s="9" t="n">
        <v>49</v>
      </c>
      <c r="IT21" s="9" t="n">
        <v>32.7</v>
      </c>
      <c r="IU21" s="19" t="n">
        <v>45</v>
      </c>
      <c r="IV21" s="9" t="n">
        <v>50.1</v>
      </c>
      <c r="IW21" s="9" t="n">
        <f aca="false">(IS21+IT21+IU21+IV21)/4</f>
        <v>44.2</v>
      </c>
      <c r="IX21" s="16" t="n">
        <v>45205</v>
      </c>
      <c r="IY21" s="10" t="s">
        <v>268</v>
      </c>
    </row>
    <row r="22" customFormat="false" ht="15.75" hidden="false" customHeight="true" outlineLevel="0" collapsed="false">
      <c r="A22" s="9" t="s">
        <v>299</v>
      </c>
      <c r="B22" s="10" t="s">
        <v>314</v>
      </c>
      <c r="C22" s="10" t="s">
        <v>261</v>
      </c>
      <c r="D22" s="9" t="n">
        <v>3</v>
      </c>
      <c r="E22" s="9" t="n">
        <v>7</v>
      </c>
      <c r="F22" s="10" t="s">
        <v>321</v>
      </c>
      <c r="G22" s="10" t="s">
        <v>280</v>
      </c>
      <c r="H22" s="9" t="n">
        <v>21</v>
      </c>
      <c r="I22" s="9" t="n">
        <v>22</v>
      </c>
      <c r="J22" s="10" t="s">
        <v>272</v>
      </c>
      <c r="K22" s="20"/>
      <c r="L22" s="20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 t="n">
        <v>0</v>
      </c>
      <c r="Y22" s="9" t="n">
        <v>0</v>
      </c>
      <c r="Z22" s="9" t="n">
        <v>0</v>
      </c>
      <c r="AA22" s="9" t="n">
        <v>0</v>
      </c>
      <c r="AB22" s="11" t="n">
        <f aca="false">(X22+Y22+Z22+AA22)/4</f>
        <v>0</v>
      </c>
      <c r="AC22" s="9" t="n">
        <v>1</v>
      </c>
      <c r="AD22" s="9" t="n">
        <v>1</v>
      </c>
      <c r="AE22" s="9" t="n">
        <v>1</v>
      </c>
      <c r="AF22" s="9" t="n">
        <v>0</v>
      </c>
      <c r="AG22" s="11" t="n">
        <f aca="false">(AC22+AD22+AE22+AF22)/4</f>
        <v>0.75</v>
      </c>
      <c r="AH22" s="9" t="n">
        <v>1</v>
      </c>
      <c r="AI22" s="9" t="n">
        <v>1</v>
      </c>
      <c r="AJ22" s="9" t="n">
        <v>1</v>
      </c>
      <c r="AK22" s="9" t="n">
        <v>1</v>
      </c>
      <c r="AL22" s="11" t="n">
        <f aca="false">(AH22+AI22+AJ22+AK22)/4</f>
        <v>1</v>
      </c>
      <c r="AM22" s="9" t="n">
        <v>49</v>
      </c>
      <c r="AN22" s="9" t="n">
        <v>114</v>
      </c>
      <c r="AO22" s="9" t="n">
        <v>69</v>
      </c>
      <c r="AP22" s="9" t="n">
        <v>119</v>
      </c>
      <c r="AQ22" s="11" t="n">
        <f aca="false">(AM22+AN22+AO22+AP22)/4</f>
        <v>87.75</v>
      </c>
      <c r="AR22" s="9" t="n">
        <v>19</v>
      </c>
      <c r="AS22" s="9" t="n">
        <v>30</v>
      </c>
      <c r="AT22" s="9" t="n">
        <v>19</v>
      </c>
      <c r="AU22" s="9" t="n">
        <v>14</v>
      </c>
      <c r="AV22" s="11" t="n">
        <f aca="false">(AR22+AS22+AT22+AU22)/4</f>
        <v>20.5</v>
      </c>
      <c r="AW22" s="9" t="n">
        <v>0</v>
      </c>
      <c r="AX22" s="9" t="n">
        <v>0</v>
      </c>
      <c r="AY22" s="9" t="n">
        <v>0</v>
      </c>
      <c r="AZ22" s="9" t="n">
        <v>0</v>
      </c>
      <c r="BA22" s="11" t="n">
        <f aca="false">(AW22+AX22+AY22+AZ22)/4</f>
        <v>0</v>
      </c>
      <c r="BB22" s="11" t="n">
        <f aca="false">(AW22/AR22)</f>
        <v>0</v>
      </c>
      <c r="BC22" s="11" t="n">
        <f aca="false">(AX22/AS22)</f>
        <v>0</v>
      </c>
      <c r="BD22" s="11" t="n">
        <f aca="false">(AY22/AT22)</f>
        <v>0</v>
      </c>
      <c r="BE22" s="11" t="n">
        <f aca="false">(AZ22/AU22)</f>
        <v>0</v>
      </c>
      <c r="BF22" s="11" t="n">
        <f aca="false">(BA22/AV22)</f>
        <v>0</v>
      </c>
      <c r="BG22" s="11" t="n">
        <f aca="false">(BF22*100)</f>
        <v>0</v>
      </c>
      <c r="BH22" s="9" t="n">
        <v>0</v>
      </c>
      <c r="BI22" s="9" t="n">
        <v>3</v>
      </c>
      <c r="BJ22" s="9" t="n">
        <v>3</v>
      </c>
      <c r="BK22" s="9" t="n">
        <v>3</v>
      </c>
      <c r="BL22" s="9" t="n">
        <v>0</v>
      </c>
      <c r="BM22" s="11" t="n">
        <f aca="false">(BI22+BJ22+BK22+BL22)/4</f>
        <v>2.25</v>
      </c>
      <c r="BN22" s="11" t="n">
        <f aca="false">(BI22/AR22)</f>
        <v>0.157894736842105</v>
      </c>
      <c r="BO22" s="11" t="n">
        <f aca="false">(BJ22/AS22)</f>
        <v>0.1</v>
      </c>
      <c r="BP22" s="11" t="n">
        <f aca="false">(BK22/AT22)</f>
        <v>0.157894736842105</v>
      </c>
      <c r="BQ22" s="11" t="n">
        <f aca="false">(BL22/AU22)</f>
        <v>0</v>
      </c>
      <c r="BR22" s="11" t="n">
        <f aca="false">(BM22/AV22)</f>
        <v>0.109756097560976</v>
      </c>
      <c r="BS22" s="11" t="n">
        <f aca="false">(100*BR22)</f>
        <v>10.9756097560976</v>
      </c>
      <c r="BT22" s="9" t="n">
        <v>2</v>
      </c>
      <c r="BU22" s="9" t="n">
        <v>0</v>
      </c>
      <c r="BV22" s="9" t="n">
        <v>0</v>
      </c>
      <c r="BW22" s="9" t="n">
        <v>0</v>
      </c>
      <c r="BX22" s="9" t="n">
        <v>3</v>
      </c>
      <c r="BY22" s="11" t="n">
        <f aca="false">(BU22+BV22+BW22+BX22)/4</f>
        <v>0.75</v>
      </c>
      <c r="BZ22" s="11" t="n">
        <f aca="false">(BU22/AR22)</f>
        <v>0</v>
      </c>
      <c r="CA22" s="11" t="n">
        <f aca="false">(BV22/AS22)</f>
        <v>0</v>
      </c>
      <c r="CB22" s="11" t="n">
        <f aca="false">(BW22/AT22)</f>
        <v>0</v>
      </c>
      <c r="CC22" s="11" t="n">
        <f aca="false">(BX22/AU22)</f>
        <v>0.214285714285714</v>
      </c>
      <c r="CD22" s="11" t="n">
        <f aca="false">(BY22/AV22)</f>
        <v>0.0365853658536585</v>
      </c>
      <c r="CE22" s="11" t="n">
        <f aca="false">(100*CD22)</f>
        <v>3.65853658536585</v>
      </c>
      <c r="CF22" s="9" t="n">
        <v>1</v>
      </c>
      <c r="CG22" s="9" t="n">
        <v>4</v>
      </c>
      <c r="CH22" s="9" t="n">
        <v>11</v>
      </c>
      <c r="CI22" s="9" t="n">
        <v>4</v>
      </c>
      <c r="CJ22" s="9" t="n">
        <v>0</v>
      </c>
      <c r="CK22" s="11" t="n">
        <f aca="false">(CG22+CH22+CI22+CJ22)/4</f>
        <v>4.75</v>
      </c>
      <c r="CL22" s="11" t="n">
        <f aca="false">(CG22/AM22)</f>
        <v>0.0816326530612245</v>
      </c>
      <c r="CM22" s="11" t="n">
        <f aca="false">(CH22/AN22)</f>
        <v>0.0964912280701754</v>
      </c>
      <c r="CN22" s="11" t="n">
        <f aca="false">(CI22/AO22)</f>
        <v>0.0579710144927536</v>
      </c>
      <c r="CO22" s="9" t="n">
        <f aca="false">(CJ22/AP22)</f>
        <v>0</v>
      </c>
      <c r="CP22" s="9" t="n">
        <f aca="false">(CK22/AQ22)</f>
        <v>0.0541310541310541</v>
      </c>
      <c r="CQ22" s="9" t="n">
        <f aca="false">(100*CP22)</f>
        <v>5.41310541310541</v>
      </c>
      <c r="CR22" s="18" t="n">
        <v>1</v>
      </c>
      <c r="CS22" s="9" t="n">
        <v>73.7</v>
      </c>
      <c r="CT22" s="9" t="n">
        <v>72.8</v>
      </c>
      <c r="CU22" s="9" t="n">
        <v>66.9</v>
      </c>
      <c r="CV22" s="9" t="n">
        <v>74.1</v>
      </c>
      <c r="CW22" s="11" t="n">
        <f aca="false">(CS22+CT22+CU22+CV22)/4</f>
        <v>71.875</v>
      </c>
      <c r="CX22" s="9" t="n">
        <v>0</v>
      </c>
      <c r="CY22" s="9" t="n">
        <v>0</v>
      </c>
      <c r="CZ22" s="9" t="n">
        <v>0</v>
      </c>
      <c r="DA22" s="9" t="n">
        <v>0</v>
      </c>
      <c r="DB22" s="11" t="n">
        <f aca="false">(CX22+CY22+CZ22+DA22)/4</f>
        <v>0</v>
      </c>
      <c r="DC22" s="9" t="n">
        <v>1</v>
      </c>
      <c r="DD22" s="9" t="n">
        <v>1</v>
      </c>
      <c r="DE22" s="9" t="n">
        <v>0</v>
      </c>
      <c r="DF22" s="9" t="n">
        <v>0</v>
      </c>
      <c r="DG22" s="11" t="n">
        <f aca="false">(DC22+DD22+DE22+DF22)/4</f>
        <v>0.5</v>
      </c>
      <c r="DH22" s="9" t="n">
        <v>1</v>
      </c>
      <c r="DI22" s="9" t="n">
        <v>1</v>
      </c>
      <c r="DJ22" s="9" t="n">
        <v>1</v>
      </c>
      <c r="DK22" s="9" t="n">
        <v>1</v>
      </c>
      <c r="DL22" s="11" t="n">
        <f aca="false">(DH22+DI22+DJ22+DK22)/4</f>
        <v>1</v>
      </c>
      <c r="DM22" s="9" t="n">
        <v>70</v>
      </c>
      <c r="DN22" s="9" t="n">
        <v>168</v>
      </c>
      <c r="DO22" s="9" t="n">
        <v>64</v>
      </c>
      <c r="DP22" s="9" t="n">
        <v>68</v>
      </c>
      <c r="DQ22" s="11" t="n">
        <f aca="false">(DM22+DN22+DO22+DP22)/4</f>
        <v>92.5</v>
      </c>
      <c r="DR22" s="9" t="n">
        <v>21</v>
      </c>
      <c r="DS22" s="9" t="n">
        <v>35</v>
      </c>
      <c r="DT22" s="9" t="n">
        <v>17</v>
      </c>
      <c r="DU22" s="9" t="n">
        <v>7</v>
      </c>
      <c r="DV22" s="11" t="n">
        <f aca="false">(DR22+DS22+DT22+DU22)/4</f>
        <v>20</v>
      </c>
      <c r="DW22" s="9" t="n">
        <v>0</v>
      </c>
      <c r="DX22" s="9" t="n">
        <v>0</v>
      </c>
      <c r="DY22" s="9" t="n">
        <v>0</v>
      </c>
      <c r="DZ22" s="9" t="n">
        <v>0</v>
      </c>
      <c r="EA22" s="11" t="n">
        <f aca="false">(DW22+DX22+DY22+DZ22)/4</f>
        <v>0</v>
      </c>
      <c r="EB22" s="11" t="n">
        <f aca="false">(DW22/DR22)</f>
        <v>0</v>
      </c>
      <c r="EC22" s="11" t="n">
        <f aca="false">(DX22/DS22)</f>
        <v>0</v>
      </c>
      <c r="ED22" s="11" t="n">
        <f aca="false">(DY22/DT22)</f>
        <v>0</v>
      </c>
      <c r="EE22" s="11" t="n">
        <f aca="false">(DZ22/DU22)</f>
        <v>0</v>
      </c>
      <c r="EF22" s="11" t="n">
        <f aca="false">(EA22/DV22)</f>
        <v>0</v>
      </c>
      <c r="EG22" s="11" t="n">
        <f aca="false">(100*EF22)</f>
        <v>0</v>
      </c>
      <c r="EH22" s="9" t="n">
        <v>0</v>
      </c>
      <c r="EI22" s="9" t="n">
        <v>2</v>
      </c>
      <c r="EJ22" s="9" t="n">
        <v>1</v>
      </c>
      <c r="EK22" s="19" t="n">
        <v>0</v>
      </c>
      <c r="EL22" s="9" t="n">
        <v>0</v>
      </c>
      <c r="EM22" s="9" t="n">
        <f aca="false">(EI22+EJ22+EK22+EL22)/4</f>
        <v>0.75</v>
      </c>
      <c r="EN22" s="9" t="n">
        <f aca="false">(EI22/DR22)</f>
        <v>0.0952380952380952</v>
      </c>
      <c r="EO22" s="9" t="n">
        <f aca="false">(EJ22/DS22)</f>
        <v>0.0285714285714286</v>
      </c>
      <c r="EP22" s="9" t="n">
        <f aca="false">(EK22/DT22)</f>
        <v>0</v>
      </c>
      <c r="EQ22" s="9" t="n">
        <f aca="false">(EL22/DU22)</f>
        <v>0</v>
      </c>
      <c r="ER22" s="9" t="n">
        <f aca="false">EM22/DV22</f>
        <v>0.0375</v>
      </c>
      <c r="ES22" s="9" t="n">
        <f aca="false">(100*ER22)</f>
        <v>3.75</v>
      </c>
      <c r="ET22" s="9" t="n">
        <v>1</v>
      </c>
      <c r="EU22" s="18" t="n">
        <v>0</v>
      </c>
      <c r="EV22" s="9" t="n">
        <v>0</v>
      </c>
      <c r="EW22" s="9" t="n">
        <v>0</v>
      </c>
      <c r="EX22" s="9" t="n">
        <v>2</v>
      </c>
      <c r="EY22" s="11" t="n">
        <f aca="false">(EU22+EV22+EW22+EX22)/4</f>
        <v>0.5</v>
      </c>
      <c r="EZ22" s="11" t="n">
        <f aca="false">(EU22/DR22)</f>
        <v>0</v>
      </c>
      <c r="FA22" s="11" t="n">
        <f aca="false">(EV22/DS22)</f>
        <v>0</v>
      </c>
      <c r="FB22" s="11" t="n">
        <f aca="false">(EW22/DT22)</f>
        <v>0</v>
      </c>
      <c r="FC22" s="11" t="n">
        <f aca="false">(EX22/DU22)</f>
        <v>0.285714285714286</v>
      </c>
      <c r="FD22" s="11" t="n">
        <f aca="false">(EY22/DV22)</f>
        <v>0.025</v>
      </c>
      <c r="FE22" s="11" t="n">
        <f aca="false">(100*FD22)</f>
        <v>2.5</v>
      </c>
      <c r="FF22" s="9" t="n">
        <v>1</v>
      </c>
      <c r="FG22" s="9" t="n">
        <v>4</v>
      </c>
      <c r="FH22" s="9" t="n">
        <v>1</v>
      </c>
      <c r="FI22" s="9" t="n">
        <v>7</v>
      </c>
      <c r="FJ22" s="9" t="n">
        <v>12</v>
      </c>
      <c r="FK22" s="11" t="n">
        <f aca="false">(FG22+FH22+FI22+FJ22)/4</f>
        <v>6</v>
      </c>
      <c r="FL22" s="11" t="n">
        <f aca="false">(FG22/DR22)</f>
        <v>0.19047619047619</v>
      </c>
      <c r="FM22" s="11" t="n">
        <f aca="false">(FH22/DS22)</f>
        <v>0.0285714285714286</v>
      </c>
      <c r="FN22" s="11" t="n">
        <f aca="false">(FI22/DT22)</f>
        <v>0.411764705882353</v>
      </c>
      <c r="FO22" s="11" t="n">
        <f aca="false">(FJ22/DU22)</f>
        <v>1.71428571428571</v>
      </c>
      <c r="FP22" s="11" t="n">
        <f aca="false">(FK22/DV22)</f>
        <v>0.3</v>
      </c>
      <c r="FQ22" s="11" t="n">
        <f aca="false">(100*FP22)</f>
        <v>30</v>
      </c>
      <c r="FR22" s="9" t="n">
        <v>3</v>
      </c>
      <c r="FS22" s="9" t="n">
        <v>74.9</v>
      </c>
      <c r="FT22" s="9" t="n">
        <v>76.8</v>
      </c>
      <c r="FU22" s="9" t="n">
        <v>70.6</v>
      </c>
      <c r="FV22" s="9" t="n">
        <v>52.1</v>
      </c>
      <c r="FW22" s="11" t="n">
        <f aca="false">(FS22+FT22+FU22+FV22)/4</f>
        <v>68.6</v>
      </c>
      <c r="FX22" s="9" t="n">
        <v>0</v>
      </c>
      <c r="FY22" s="9" t="n">
        <v>0</v>
      </c>
      <c r="FZ22" s="9" t="n">
        <v>1</v>
      </c>
      <c r="GA22" s="9" t="n">
        <v>0</v>
      </c>
      <c r="GB22" s="11" t="n">
        <f aca="false">(FX22+FY22+FZ22+GA22)/4</f>
        <v>0.25</v>
      </c>
      <c r="GC22" s="9" t="n">
        <v>0</v>
      </c>
      <c r="GD22" s="9" t="n">
        <v>0</v>
      </c>
      <c r="GE22" s="9" t="n">
        <v>0</v>
      </c>
      <c r="GF22" s="9" t="n">
        <v>0</v>
      </c>
      <c r="GG22" s="11" t="n">
        <f aca="false">(GC22+GD22+GE22+GF22)/4</f>
        <v>0</v>
      </c>
      <c r="GH22" s="9" t="n">
        <v>1</v>
      </c>
      <c r="GI22" s="9" t="n">
        <v>1</v>
      </c>
      <c r="GJ22" s="9" t="n">
        <v>0</v>
      </c>
      <c r="GK22" s="9" t="n">
        <v>1</v>
      </c>
      <c r="GL22" s="11" t="n">
        <f aca="false">(GH22+GI22+GJ22+GK22)/4</f>
        <v>0.75</v>
      </c>
      <c r="GM22" s="9" t="n">
        <v>113</v>
      </c>
      <c r="GN22" s="9" t="n">
        <v>89</v>
      </c>
      <c r="GO22" s="9" t="n">
        <v>84</v>
      </c>
      <c r="GP22" s="9" t="n">
        <v>108</v>
      </c>
      <c r="GQ22" s="11" t="n">
        <f aca="false">(GM22+GN22+GO22+GP22)/4</f>
        <v>98.5</v>
      </c>
      <c r="GR22" s="9" t="n">
        <v>19</v>
      </c>
      <c r="GS22" s="9" t="n">
        <v>6</v>
      </c>
      <c r="GT22" s="9" t="n">
        <v>3</v>
      </c>
      <c r="GU22" s="9" t="n">
        <v>6</v>
      </c>
      <c r="GV22" s="11" t="n">
        <f aca="false">(GR22+GS22+GT22+GU22)/4</f>
        <v>8.5</v>
      </c>
      <c r="GW22" s="9" t="n">
        <v>0</v>
      </c>
      <c r="GX22" s="9" t="n">
        <v>0</v>
      </c>
      <c r="GY22" s="9" t="n">
        <v>2</v>
      </c>
      <c r="GZ22" s="9" t="n">
        <v>0</v>
      </c>
      <c r="HA22" s="11" t="n">
        <f aca="false">(GW22+GX22+GY22+GZ22)/4</f>
        <v>0.5</v>
      </c>
      <c r="HB22" s="9" t="n">
        <f aca="false">(GW22/GR22)</f>
        <v>0</v>
      </c>
      <c r="HC22" s="9" t="n">
        <f aca="false">(GX22/GS22)</f>
        <v>0</v>
      </c>
      <c r="HD22" s="9" t="n">
        <f aca="false">(GY22/GT22)</f>
        <v>0.666666666666667</v>
      </c>
      <c r="HE22" s="9" t="n">
        <f aca="false">(GZ22/GU22)/4</f>
        <v>0</v>
      </c>
      <c r="HF22" s="9" t="n">
        <f aca="false">(HB22+HC22+HD22+HE22)/4</f>
        <v>0.166666666666667</v>
      </c>
      <c r="HG22" s="9" t="n">
        <f aca="false">(100*HF22)</f>
        <v>16.6666666666667</v>
      </c>
      <c r="HH22" s="18" t="n">
        <v>2</v>
      </c>
      <c r="HI22" s="9" t="n">
        <v>0</v>
      </c>
      <c r="HJ22" s="9" t="n">
        <v>0</v>
      </c>
      <c r="HK22" s="9" t="n">
        <v>0</v>
      </c>
      <c r="HL22" s="19" t="n">
        <v>0</v>
      </c>
      <c r="HM22" s="9" t="n">
        <f aca="false">(HI22+HJ22+HK22+HL22)/4</f>
        <v>0</v>
      </c>
      <c r="HN22" s="9" t="n">
        <f aca="false">(HI22/GR22)</f>
        <v>0</v>
      </c>
      <c r="HO22" s="9" t="n">
        <f aca="false">(HJ22/GS22)</f>
        <v>0</v>
      </c>
      <c r="HP22" s="9" t="n">
        <f aca="false">(HK22/GT22)</f>
        <v>0</v>
      </c>
      <c r="HQ22" s="9" t="n">
        <f aca="false">(HL22/GU22)</f>
        <v>0</v>
      </c>
      <c r="HR22" s="9" t="n">
        <f aca="false">(HM22/GV22)</f>
        <v>0</v>
      </c>
      <c r="HS22" s="9" t="n">
        <f aca="false">(100*HR22)</f>
        <v>0</v>
      </c>
      <c r="HT22" s="18" t="n">
        <v>0</v>
      </c>
      <c r="HU22" s="9" t="n">
        <v>0</v>
      </c>
      <c r="HV22" s="9" t="n">
        <v>2</v>
      </c>
      <c r="HW22" s="9" t="n">
        <v>0</v>
      </c>
      <c r="HX22" s="19" t="n">
        <v>4</v>
      </c>
      <c r="HY22" s="9" t="n">
        <f aca="false">(HU22+HV22+HW22+HX22)/4</f>
        <v>1.5</v>
      </c>
      <c r="HZ22" s="9" t="n">
        <f aca="false">(HU22/GR22)</f>
        <v>0</v>
      </c>
      <c r="IA22" s="9" t="n">
        <f aca="false">HV22/GS22</f>
        <v>0.333333333333333</v>
      </c>
      <c r="IB22" s="9" t="n">
        <f aca="false">(HW22/GT22)</f>
        <v>0</v>
      </c>
      <c r="IC22" s="9" t="n">
        <f aca="false">(HX22/GU22)</f>
        <v>0.666666666666667</v>
      </c>
      <c r="ID22" s="9" t="n">
        <f aca="false">(HY22/GV22)</f>
        <v>0.176470588235294</v>
      </c>
      <c r="IE22" s="9" t="n">
        <f aca="false">(100*ID22)</f>
        <v>17.6470588235294</v>
      </c>
      <c r="IF22" s="18" t="n">
        <v>2</v>
      </c>
      <c r="IG22" s="9" t="n">
        <v>6</v>
      </c>
      <c r="IH22" s="9" t="n">
        <v>0</v>
      </c>
      <c r="II22" s="19" t="n">
        <v>0</v>
      </c>
      <c r="IJ22" s="9" t="n">
        <v>46</v>
      </c>
      <c r="IK22" s="9" t="n">
        <f aca="false">(IG22+IH22+II22+IJ22)/4</f>
        <v>13</v>
      </c>
      <c r="IL22" s="9" t="n">
        <f aca="false">(IG22/GM22)</f>
        <v>0.0530973451327434</v>
      </c>
      <c r="IM22" s="9" t="n">
        <f aca="false">(IH22/GN22)</f>
        <v>0</v>
      </c>
      <c r="IN22" s="9" t="n">
        <f aca="false">(II22/GO22)</f>
        <v>0</v>
      </c>
      <c r="IO22" s="9" t="n">
        <f aca="false">(IJ22/GP22)</f>
        <v>0.425925925925926</v>
      </c>
      <c r="IP22" s="9" t="n">
        <f aca="false">(IK22/GQ22)</f>
        <v>0.131979695431472</v>
      </c>
      <c r="IQ22" s="9" t="n">
        <f aca="false">(100*IP22)</f>
        <v>13.1979695431472</v>
      </c>
      <c r="IR22" s="18" t="n">
        <v>2</v>
      </c>
      <c r="IS22" s="9" t="n">
        <v>56</v>
      </c>
      <c r="IT22" s="9" t="n">
        <v>44.4</v>
      </c>
      <c r="IU22" s="19" t="n">
        <v>43.7</v>
      </c>
      <c r="IV22" s="9" t="n">
        <v>42.7</v>
      </c>
      <c r="IW22" s="9" t="n">
        <f aca="false">(IS22+IT22+IU22+IV22)/4</f>
        <v>46.7</v>
      </c>
      <c r="IX22" s="16" t="n">
        <v>45205</v>
      </c>
      <c r="IY22" s="10" t="s">
        <v>268</v>
      </c>
    </row>
    <row r="23" customFormat="false" ht="17.25" hidden="false" customHeight="true" outlineLevel="0" collapsed="false">
      <c r="A23" s="9" t="s">
        <v>299</v>
      </c>
      <c r="B23" s="10" t="s">
        <v>322</v>
      </c>
      <c r="C23" s="10" t="s">
        <v>261</v>
      </c>
      <c r="D23" s="9" t="n">
        <v>4</v>
      </c>
      <c r="E23" s="9" t="n">
        <v>8</v>
      </c>
      <c r="F23" s="10" t="s">
        <v>323</v>
      </c>
      <c r="G23" s="10" t="s">
        <v>280</v>
      </c>
      <c r="H23" s="9" t="n">
        <v>21</v>
      </c>
      <c r="I23" s="9" t="n">
        <v>3</v>
      </c>
      <c r="J23" s="12" t="s">
        <v>264</v>
      </c>
      <c r="K23" s="13" t="s">
        <v>324</v>
      </c>
      <c r="L23" s="13" t="s">
        <v>325</v>
      </c>
      <c r="M23" s="14" t="n">
        <v>1305</v>
      </c>
      <c r="N23" s="15" t="n">
        <v>45134</v>
      </c>
      <c r="O23" s="10" t="s">
        <v>267</v>
      </c>
      <c r="P23" s="9"/>
      <c r="Q23" s="9" t="n">
        <v>23.01</v>
      </c>
      <c r="R23" s="9" t="n">
        <v>15</v>
      </c>
      <c r="S23" s="9" t="n">
        <v>-10</v>
      </c>
      <c r="T23" s="9" t="n">
        <v>110</v>
      </c>
      <c r="U23" s="9"/>
      <c r="V23" s="9" t="n">
        <v>1.55</v>
      </c>
      <c r="W23" s="22" t="s">
        <v>326</v>
      </c>
      <c r="X23" s="9" t="n">
        <v>0</v>
      </c>
      <c r="Y23" s="9" t="n">
        <v>0</v>
      </c>
      <c r="Z23" s="9" t="n">
        <v>0</v>
      </c>
      <c r="AA23" s="9" t="n">
        <v>0</v>
      </c>
      <c r="AB23" s="11" t="n">
        <f aca="false">(X23+Y23+Z23+AA23)/4</f>
        <v>0</v>
      </c>
      <c r="AC23" s="9" t="n">
        <v>1</v>
      </c>
      <c r="AD23" s="9" t="n">
        <v>0</v>
      </c>
      <c r="AE23" s="9" t="n">
        <v>1</v>
      </c>
      <c r="AF23" s="9" t="n">
        <v>1</v>
      </c>
      <c r="AG23" s="11" t="n">
        <f aca="false">(AC23+AD23+AE23+AF23)/4</f>
        <v>0.75</v>
      </c>
      <c r="AH23" s="9" t="n">
        <v>0</v>
      </c>
      <c r="AI23" s="9" t="n">
        <v>1</v>
      </c>
      <c r="AJ23" s="9" t="n">
        <v>1</v>
      </c>
      <c r="AK23" s="9" t="n">
        <v>0</v>
      </c>
      <c r="AL23" s="11" t="n">
        <f aca="false">(AH23+AI23+AJ23+AK23)/4</f>
        <v>0.5</v>
      </c>
      <c r="AM23" s="9" t="n">
        <v>6</v>
      </c>
      <c r="AN23" s="9" t="n">
        <v>16</v>
      </c>
      <c r="AO23" s="9" t="n">
        <v>9</v>
      </c>
      <c r="AP23" s="9" t="n">
        <v>5</v>
      </c>
      <c r="AQ23" s="11" t="n">
        <f aca="false">(AM23+AN23+AO23+AP23)/4</f>
        <v>9</v>
      </c>
      <c r="AR23" s="9" t="n">
        <v>10</v>
      </c>
      <c r="AS23" s="9" t="n">
        <v>36</v>
      </c>
      <c r="AT23" s="9" t="n">
        <v>7</v>
      </c>
      <c r="AU23" s="9" t="n">
        <v>13</v>
      </c>
      <c r="AV23" s="11" t="n">
        <f aca="false">(AR23+AS23+AT23+AU23)/4</f>
        <v>16.5</v>
      </c>
      <c r="AW23" s="9" t="n">
        <v>0</v>
      </c>
      <c r="AX23" s="9" t="n">
        <v>0</v>
      </c>
      <c r="AY23" s="9" t="n">
        <v>0</v>
      </c>
      <c r="AZ23" s="9" t="n">
        <v>0</v>
      </c>
      <c r="BA23" s="11" t="n">
        <f aca="false">(AW23+AX23+AY23+AZ23)/4</f>
        <v>0</v>
      </c>
      <c r="BB23" s="11" t="n">
        <f aca="false">(AW23/AR23)</f>
        <v>0</v>
      </c>
      <c r="BC23" s="11" t="n">
        <f aca="false">(AX23/AS23)</f>
        <v>0</v>
      </c>
      <c r="BD23" s="11" t="n">
        <f aca="false">(AY23/AT23)</f>
        <v>0</v>
      </c>
      <c r="BE23" s="11" t="n">
        <f aca="false">(AZ23/AU23)</f>
        <v>0</v>
      </c>
      <c r="BF23" s="11" t="n">
        <f aca="false">(BA23/AV23)</f>
        <v>0</v>
      </c>
      <c r="BG23" s="11" t="n">
        <f aca="false">(BF23*100)</f>
        <v>0</v>
      </c>
      <c r="BH23" s="9" t="n">
        <v>0</v>
      </c>
      <c r="BI23" s="9" t="n">
        <v>4</v>
      </c>
      <c r="BJ23" s="9" t="n">
        <v>0</v>
      </c>
      <c r="BK23" s="9" t="n">
        <v>1</v>
      </c>
      <c r="BL23" s="9" t="n">
        <v>6</v>
      </c>
      <c r="BM23" s="11" t="n">
        <f aca="false">(BI23+BJ23+BK23+BL23)/4</f>
        <v>2.75</v>
      </c>
      <c r="BN23" s="11" t="n">
        <f aca="false">(BI23/AR23)</f>
        <v>0.4</v>
      </c>
      <c r="BO23" s="11" t="n">
        <f aca="false">(BJ23/AS23)</f>
        <v>0</v>
      </c>
      <c r="BP23" s="11" t="n">
        <f aca="false">(BK23/AT23)</f>
        <v>0.142857142857143</v>
      </c>
      <c r="BQ23" s="11" t="n">
        <f aca="false">(BL23/AU23)</f>
        <v>0.461538461538462</v>
      </c>
      <c r="BR23" s="11" t="n">
        <f aca="false">(BM23/AV23)</f>
        <v>0.166666666666667</v>
      </c>
      <c r="BS23" s="11" t="n">
        <f aca="false">(100*BR23)</f>
        <v>16.6666666666667</v>
      </c>
      <c r="BT23" s="9" t="n">
        <v>2</v>
      </c>
      <c r="BU23" s="9" t="n">
        <v>0</v>
      </c>
      <c r="BV23" s="9" t="n">
        <v>2</v>
      </c>
      <c r="BW23" s="9" t="n">
        <v>0</v>
      </c>
      <c r="BX23" s="9" t="n">
        <v>0</v>
      </c>
      <c r="BY23" s="11" t="n">
        <f aca="false">(BU23+BV23+BW23+BX23)/4</f>
        <v>0.5</v>
      </c>
      <c r="BZ23" s="11" t="n">
        <f aca="false">(BU23/AR23)</f>
        <v>0</v>
      </c>
      <c r="CA23" s="11" t="n">
        <f aca="false">(BV23/AS23)</f>
        <v>0.0555555555555556</v>
      </c>
      <c r="CB23" s="11" t="n">
        <f aca="false">(BW23/AT23)</f>
        <v>0</v>
      </c>
      <c r="CC23" s="11" t="n">
        <f aca="false">(BX23/AU23)</f>
        <v>0</v>
      </c>
      <c r="CD23" s="11" t="n">
        <f aca="false">(BY23/AV23)</f>
        <v>0.0303030303030303</v>
      </c>
      <c r="CE23" s="11" t="n">
        <f aca="false">(100*CD23)</f>
        <v>3.03030303030303</v>
      </c>
      <c r="CF23" s="9" t="n">
        <v>1</v>
      </c>
      <c r="CG23" s="9" t="n">
        <v>0</v>
      </c>
      <c r="CH23" s="9" t="n">
        <v>0</v>
      </c>
      <c r="CI23" s="9" t="n">
        <v>3</v>
      </c>
      <c r="CJ23" s="9" t="n">
        <v>0</v>
      </c>
      <c r="CK23" s="11" t="n">
        <f aca="false">(CG23+CH23+CI23+CJ23)/4</f>
        <v>0.75</v>
      </c>
      <c r="CL23" s="11" t="n">
        <f aca="false">(CG23/AM23)</f>
        <v>0</v>
      </c>
      <c r="CM23" s="11" t="n">
        <f aca="false">(CH23/AN23)</f>
        <v>0</v>
      </c>
      <c r="CN23" s="11" t="n">
        <f aca="false">(CI23/AO23)</f>
        <v>0.333333333333333</v>
      </c>
      <c r="CO23" s="9" t="n">
        <f aca="false">(CJ23/AP23)</f>
        <v>0</v>
      </c>
      <c r="CP23" s="9" t="n">
        <f aca="false">(CK23/AQ23)</f>
        <v>0.0833333333333333</v>
      </c>
      <c r="CQ23" s="9" t="n">
        <f aca="false">(100*CP23)</f>
        <v>8.33333333333333</v>
      </c>
      <c r="CR23" s="18" t="n">
        <v>1</v>
      </c>
      <c r="CS23" s="9" t="n">
        <v>64</v>
      </c>
      <c r="CT23" s="9" t="n">
        <v>66.2</v>
      </c>
      <c r="CU23" s="9" t="n">
        <v>62.1</v>
      </c>
      <c r="CV23" s="9" t="n">
        <v>66.1</v>
      </c>
      <c r="CW23" s="11" t="n">
        <f aca="false">(CS23+CT23+CU23+CV23)/4</f>
        <v>64.6</v>
      </c>
      <c r="CX23" s="9" t="n">
        <v>0</v>
      </c>
      <c r="CY23" s="9" t="n">
        <v>0</v>
      </c>
      <c r="CZ23" s="9" t="n">
        <v>0</v>
      </c>
      <c r="DA23" s="9" t="n">
        <v>0</v>
      </c>
      <c r="DB23" s="11" t="n">
        <f aca="false">(CX23+CY23+CZ23+DA23)/4</f>
        <v>0</v>
      </c>
      <c r="DC23" s="9" t="n">
        <v>1</v>
      </c>
      <c r="DD23" s="9" t="n">
        <v>1</v>
      </c>
      <c r="DE23" s="9" t="n">
        <v>1</v>
      </c>
      <c r="DF23" s="9" t="n">
        <v>1</v>
      </c>
      <c r="DG23" s="11" t="n">
        <f aca="false">(DC23+DD23+DE23+DF23)/4</f>
        <v>1</v>
      </c>
      <c r="DH23" s="9" t="n">
        <v>1</v>
      </c>
      <c r="DI23" s="9" t="n">
        <v>1</v>
      </c>
      <c r="DJ23" s="9" t="n">
        <v>1</v>
      </c>
      <c r="DK23" s="9" t="n">
        <v>1</v>
      </c>
      <c r="DL23" s="11" t="n">
        <f aca="false">(DH23+DI23+DJ23+DK23)/4</f>
        <v>1</v>
      </c>
      <c r="DM23" s="9" t="n">
        <v>29</v>
      </c>
      <c r="DN23" s="9" t="n">
        <v>95</v>
      </c>
      <c r="DO23" s="9" t="n">
        <v>94</v>
      </c>
      <c r="DP23" s="9" t="n">
        <v>51</v>
      </c>
      <c r="DQ23" s="11" t="n">
        <f aca="false">(DM23+DN23+DO23+DP23)/4</f>
        <v>67.25</v>
      </c>
      <c r="DR23" s="9" t="n">
        <v>22</v>
      </c>
      <c r="DS23" s="9" t="n">
        <v>25</v>
      </c>
      <c r="DT23" s="9" t="n">
        <v>19</v>
      </c>
      <c r="DU23" s="9" t="n">
        <v>6</v>
      </c>
      <c r="DV23" s="11" t="n">
        <f aca="false">(DR23+DS23+DT23+DU23)/4</f>
        <v>18</v>
      </c>
      <c r="DW23" s="9" t="n">
        <v>0</v>
      </c>
      <c r="DX23" s="9" t="n">
        <v>0</v>
      </c>
      <c r="DY23" s="9" t="n">
        <v>0</v>
      </c>
      <c r="DZ23" s="9" t="n">
        <v>0</v>
      </c>
      <c r="EA23" s="11" t="n">
        <f aca="false">(DW23+DX23+DY23+DZ23)/4</f>
        <v>0</v>
      </c>
      <c r="EB23" s="11" t="n">
        <f aca="false">(DW23/DR23)</f>
        <v>0</v>
      </c>
      <c r="EC23" s="11" t="n">
        <f aca="false">(DX23/DS23)</f>
        <v>0</v>
      </c>
      <c r="ED23" s="11" t="n">
        <f aca="false">(DY23/DT23)</f>
        <v>0</v>
      </c>
      <c r="EE23" s="11" t="n">
        <f aca="false">(DZ23/DU23)</f>
        <v>0</v>
      </c>
      <c r="EF23" s="11" t="n">
        <f aca="false">(EA23/DV23)</f>
        <v>0</v>
      </c>
      <c r="EG23" s="11" t="n">
        <f aca="false">(100*EF23)</f>
        <v>0</v>
      </c>
      <c r="EH23" s="9" t="n">
        <v>0</v>
      </c>
      <c r="EI23" s="9" t="n">
        <v>5</v>
      </c>
      <c r="EJ23" s="9" t="n">
        <v>6</v>
      </c>
      <c r="EK23" s="19" t="n">
        <v>5</v>
      </c>
      <c r="EL23" s="9" t="n">
        <v>1</v>
      </c>
      <c r="EM23" s="9" t="n">
        <f aca="false">(EI23+EJ23+EK23+EL23)/4</f>
        <v>4.25</v>
      </c>
      <c r="EN23" s="9" t="n">
        <f aca="false">(EI23/DR23)</f>
        <v>0.227272727272727</v>
      </c>
      <c r="EO23" s="9" t="n">
        <f aca="false">(EJ23/DS23)</f>
        <v>0.24</v>
      </c>
      <c r="EP23" s="9" t="n">
        <f aca="false">(EK23/DT23)</f>
        <v>0.263157894736842</v>
      </c>
      <c r="EQ23" s="9" t="n">
        <f aca="false">(EL23/DU23)</f>
        <v>0.166666666666667</v>
      </c>
      <c r="ER23" s="9" t="n">
        <f aca="false">EM23/DV23</f>
        <v>0.236111111111111</v>
      </c>
      <c r="ES23" s="9" t="n">
        <f aca="false">(100*ER23)</f>
        <v>23.6111111111111</v>
      </c>
      <c r="ET23" s="9" t="n">
        <v>2</v>
      </c>
      <c r="EU23" s="18" t="n">
        <v>0</v>
      </c>
      <c r="EV23" s="9" t="n">
        <v>0</v>
      </c>
      <c r="EW23" s="9" t="n">
        <v>0</v>
      </c>
      <c r="EX23" s="9" t="n">
        <v>0</v>
      </c>
      <c r="EY23" s="11" t="n">
        <f aca="false">(EU23+EV23+EW23+EX23)/4</f>
        <v>0</v>
      </c>
      <c r="EZ23" s="11" t="n">
        <f aca="false">(EU23/DR23)</f>
        <v>0</v>
      </c>
      <c r="FA23" s="11" t="n">
        <f aca="false">(EV23/DS23)</f>
        <v>0</v>
      </c>
      <c r="FB23" s="11" t="n">
        <f aca="false">(EW23/DT23)</f>
        <v>0</v>
      </c>
      <c r="FC23" s="11" t="n">
        <f aca="false">(EX23/DU23)</f>
        <v>0</v>
      </c>
      <c r="FD23" s="11" t="n">
        <f aca="false">(EY23/DV23)</f>
        <v>0</v>
      </c>
      <c r="FE23" s="11" t="n">
        <f aca="false">(100*FD23)</f>
        <v>0</v>
      </c>
      <c r="FF23" s="9" t="n">
        <v>0</v>
      </c>
      <c r="FG23" s="9" t="n">
        <v>10</v>
      </c>
      <c r="FH23" s="9" t="n">
        <v>33</v>
      </c>
      <c r="FI23" s="9" t="n">
        <v>14</v>
      </c>
      <c r="FJ23" s="9" t="n">
        <v>7</v>
      </c>
      <c r="FK23" s="11" t="n">
        <f aca="false">(FG23+FH23+FI23+FJ23)/4</f>
        <v>16</v>
      </c>
      <c r="FL23" s="11" t="n">
        <f aca="false">(FG23/DR23)</f>
        <v>0.454545454545455</v>
      </c>
      <c r="FM23" s="11" t="n">
        <f aca="false">(FH23/DS23)</f>
        <v>1.32</v>
      </c>
      <c r="FN23" s="11" t="n">
        <f aca="false">(FI23/DT23)</f>
        <v>0.736842105263158</v>
      </c>
      <c r="FO23" s="11" t="n">
        <f aca="false">(FJ23/DU23)</f>
        <v>1.16666666666667</v>
      </c>
      <c r="FP23" s="11" t="n">
        <f aca="false">(FK23/DV23)</f>
        <v>0.888888888888889</v>
      </c>
      <c r="FQ23" s="11" t="n">
        <f aca="false">(100*FP23)</f>
        <v>88.8888888888889</v>
      </c>
      <c r="FR23" s="9" t="n">
        <v>3</v>
      </c>
      <c r="FS23" s="9" t="n">
        <v>80.7</v>
      </c>
      <c r="FT23" s="9" t="n">
        <v>72</v>
      </c>
      <c r="FU23" s="9" t="n">
        <v>61.3</v>
      </c>
      <c r="FV23" s="9" t="n">
        <v>56</v>
      </c>
      <c r="FW23" s="11" t="n">
        <f aca="false">(FS23+FT23+FU23+FV23)/4</f>
        <v>67.5</v>
      </c>
      <c r="FX23" s="9" t="n">
        <v>0</v>
      </c>
      <c r="FY23" s="9" t="n">
        <v>0</v>
      </c>
      <c r="FZ23" s="9" t="n">
        <v>0</v>
      </c>
      <c r="GA23" s="9" t="n">
        <v>0</v>
      </c>
      <c r="GB23" s="11" t="n">
        <f aca="false">(FX23+FY23+FZ23+GA23)/4</f>
        <v>0</v>
      </c>
      <c r="GC23" s="9" t="n">
        <v>1</v>
      </c>
      <c r="GD23" s="9" t="n">
        <v>0</v>
      </c>
      <c r="GE23" s="9" t="n">
        <v>1</v>
      </c>
      <c r="GF23" s="9" t="n">
        <v>0</v>
      </c>
      <c r="GG23" s="11" t="n">
        <f aca="false">(GC23+GD23+GE23+GF23)/4</f>
        <v>0.5</v>
      </c>
      <c r="GH23" s="9" t="n">
        <v>0</v>
      </c>
      <c r="GI23" s="9" t="n">
        <v>1</v>
      </c>
      <c r="GJ23" s="9" t="n">
        <v>1</v>
      </c>
      <c r="GK23" s="9" t="n">
        <v>1</v>
      </c>
      <c r="GL23" s="11" t="n">
        <f aca="false">(GH23+GI23+GJ23+GK23)/4</f>
        <v>0.75</v>
      </c>
      <c r="GM23" s="11" t="n">
        <v>9</v>
      </c>
      <c r="GN23" s="9" t="n">
        <v>61</v>
      </c>
      <c r="GO23" s="9" t="n">
        <v>41</v>
      </c>
      <c r="GP23" s="9" t="n">
        <v>32</v>
      </c>
      <c r="GQ23" s="11" t="n">
        <f aca="false">(GM23+GN23+GO23+GP23)/4</f>
        <v>35.75</v>
      </c>
      <c r="GR23" s="9" t="n">
        <v>10</v>
      </c>
      <c r="GS23" s="9" t="n">
        <v>12</v>
      </c>
      <c r="GT23" s="9" t="n">
        <v>12</v>
      </c>
      <c r="GU23" s="9" t="n">
        <v>13</v>
      </c>
      <c r="GV23" s="11" t="n">
        <f aca="false">(GR23+GS23+GT23+GU23)/4</f>
        <v>11.75</v>
      </c>
      <c r="GW23" s="9" t="n">
        <v>0</v>
      </c>
      <c r="GX23" s="9" t="n">
        <v>0</v>
      </c>
      <c r="GY23" s="9" t="n">
        <v>0</v>
      </c>
      <c r="GZ23" s="9" t="n">
        <v>0</v>
      </c>
      <c r="HA23" s="11" t="n">
        <f aca="false">(GW23+GX23+GY23+GZ23)/4</f>
        <v>0</v>
      </c>
      <c r="HB23" s="9" t="n">
        <f aca="false">(GW23/GR23)</f>
        <v>0</v>
      </c>
      <c r="HC23" s="9" t="n">
        <f aca="false">(GX23/GS23)</f>
        <v>0</v>
      </c>
      <c r="HD23" s="9" t="n">
        <f aca="false">(GY23/GT23)</f>
        <v>0</v>
      </c>
      <c r="HE23" s="9" t="n">
        <f aca="false">(GZ23/GU23)/4</f>
        <v>0</v>
      </c>
      <c r="HF23" s="9" t="n">
        <f aca="false">(HB23+HC23+HD23+HE23)/4</f>
        <v>0</v>
      </c>
      <c r="HG23" s="9" t="n">
        <f aca="false">(100*HF23)</f>
        <v>0</v>
      </c>
      <c r="HH23" s="18" t="n">
        <v>0</v>
      </c>
      <c r="HI23" s="9" t="n">
        <v>2</v>
      </c>
      <c r="HJ23" s="9" t="n">
        <v>0</v>
      </c>
      <c r="HK23" s="9" t="n">
        <v>1</v>
      </c>
      <c r="HL23" s="19" t="n">
        <v>0</v>
      </c>
      <c r="HM23" s="9" t="n">
        <f aca="false">(HI23+HJ23+HK23+HL23)/4</f>
        <v>0.75</v>
      </c>
      <c r="HN23" s="9" t="n">
        <f aca="false">(HI23/GR23)</f>
        <v>0.2</v>
      </c>
      <c r="HO23" s="9" t="n">
        <f aca="false">(HJ23/GS23)</f>
        <v>0</v>
      </c>
      <c r="HP23" s="9" t="n">
        <f aca="false">(HK23/GT23)</f>
        <v>0.0833333333333333</v>
      </c>
      <c r="HQ23" s="9" t="n">
        <f aca="false">(HL23/GU23)</f>
        <v>0</v>
      </c>
      <c r="HR23" s="9" t="n">
        <f aca="false">(HM23/GV23)</f>
        <v>0.0638297872340426</v>
      </c>
      <c r="HS23" s="9" t="n">
        <f aca="false">(100*HR23)</f>
        <v>6.38297872340426</v>
      </c>
      <c r="HT23" s="18" t="n">
        <v>1</v>
      </c>
      <c r="HU23" s="9" t="n">
        <v>0</v>
      </c>
      <c r="HV23" s="9" t="n">
        <v>4</v>
      </c>
      <c r="HW23" s="9" t="n">
        <v>0</v>
      </c>
      <c r="HX23" s="19" t="n">
        <v>4</v>
      </c>
      <c r="HY23" s="9" t="n">
        <f aca="false">(HU23+HV23+HW23+HX23)/4</f>
        <v>2</v>
      </c>
      <c r="HZ23" s="9" t="n">
        <f aca="false">(HU23/GR23)</f>
        <v>0</v>
      </c>
      <c r="IA23" s="9" t="n">
        <f aca="false">HV23/GS23</f>
        <v>0.333333333333333</v>
      </c>
      <c r="IB23" s="9" t="n">
        <f aca="false">(HW23/GT23)</f>
        <v>0</v>
      </c>
      <c r="IC23" s="9" t="n">
        <f aca="false">(HX23/GU23)</f>
        <v>0.307692307692308</v>
      </c>
      <c r="ID23" s="9" t="n">
        <f aca="false">(HY23/GV23)</f>
        <v>0.170212765957447</v>
      </c>
      <c r="IE23" s="9" t="n">
        <f aca="false">(100*ID23)</f>
        <v>17.0212765957447</v>
      </c>
      <c r="IF23" s="18" t="n">
        <v>2</v>
      </c>
      <c r="IG23" s="9" t="n">
        <v>0</v>
      </c>
      <c r="IH23" s="9" t="n">
        <v>2</v>
      </c>
      <c r="II23" s="19" t="n">
        <v>13</v>
      </c>
      <c r="IJ23" s="9" t="n">
        <v>6</v>
      </c>
      <c r="IK23" s="9" t="n">
        <f aca="false">(IG23+IH23+II23+IJ23)/4</f>
        <v>5.25</v>
      </c>
      <c r="IL23" s="9" t="n">
        <f aca="false">(IG23/GM23)</f>
        <v>0</v>
      </c>
      <c r="IM23" s="9" t="n">
        <f aca="false">(IH23/GN23)</f>
        <v>0.0327868852459016</v>
      </c>
      <c r="IN23" s="9" t="n">
        <f aca="false">(II23/GO23)</f>
        <v>0.317073170731707</v>
      </c>
      <c r="IO23" s="9" t="n">
        <f aca="false">(IJ23/GP23)</f>
        <v>0.1875</v>
      </c>
      <c r="IP23" s="9" t="n">
        <f aca="false">(IK23/GQ23)</f>
        <v>0.146853146853147</v>
      </c>
      <c r="IQ23" s="9" t="n">
        <f aca="false">(100*IP23)</f>
        <v>14.6853146853147</v>
      </c>
      <c r="IR23" s="18" t="n">
        <v>2</v>
      </c>
      <c r="IS23" s="9" t="n">
        <v>71.6</v>
      </c>
      <c r="IT23" s="9" t="n">
        <v>72</v>
      </c>
      <c r="IU23" s="19" t="n">
        <v>71.5</v>
      </c>
      <c r="IV23" s="9" t="n">
        <v>65.9</v>
      </c>
      <c r="IW23" s="9" t="n">
        <f aca="false">(IS23+IT23+IU23+IV23)/4</f>
        <v>70.25</v>
      </c>
      <c r="IX23" s="16" t="n">
        <v>45206</v>
      </c>
      <c r="IY23" s="10" t="s">
        <v>268</v>
      </c>
    </row>
    <row r="24" customFormat="false" ht="15.75" hidden="false" customHeight="true" outlineLevel="0" collapsed="false">
      <c r="A24" s="9" t="s">
        <v>299</v>
      </c>
      <c r="B24" s="10" t="s">
        <v>322</v>
      </c>
      <c r="C24" s="10" t="s">
        <v>261</v>
      </c>
      <c r="D24" s="9" t="n">
        <v>4</v>
      </c>
      <c r="E24" s="9" t="n">
        <v>8</v>
      </c>
      <c r="F24" s="10" t="s">
        <v>327</v>
      </c>
      <c r="G24" s="10" t="s">
        <v>291</v>
      </c>
      <c r="H24" s="9" t="n">
        <v>21</v>
      </c>
      <c r="I24" s="9" t="n">
        <v>10</v>
      </c>
      <c r="J24" s="12" t="s">
        <v>270</v>
      </c>
      <c r="K24" s="20"/>
      <c r="L24" s="20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 t="n">
        <v>0</v>
      </c>
      <c r="Y24" s="9" t="n">
        <v>0</v>
      </c>
      <c r="Z24" s="9" t="n">
        <v>0</v>
      </c>
      <c r="AA24" s="9" t="n">
        <v>0</v>
      </c>
      <c r="AB24" s="11" t="n">
        <f aca="false">(X24+Y24+Z24+AA24)/4</f>
        <v>0</v>
      </c>
      <c r="AC24" s="9" t="n">
        <v>0</v>
      </c>
      <c r="AD24" s="9" t="n">
        <v>1</v>
      </c>
      <c r="AE24" s="9" t="n">
        <v>0</v>
      </c>
      <c r="AF24" s="9" t="n">
        <v>0</v>
      </c>
      <c r="AG24" s="11" t="n">
        <f aca="false">(AC24+AD24+AE24+AF24)/4</f>
        <v>0.25</v>
      </c>
      <c r="AH24" s="9" t="n">
        <v>0</v>
      </c>
      <c r="AI24" s="9" t="n">
        <v>1</v>
      </c>
      <c r="AJ24" s="9" t="n">
        <v>1</v>
      </c>
      <c r="AK24" s="9" t="n">
        <v>0</v>
      </c>
      <c r="AL24" s="11" t="n">
        <f aca="false">(AH24+AI24+AJ24+AK24)/4</f>
        <v>0.5</v>
      </c>
      <c r="AM24" s="9" t="n">
        <v>12</v>
      </c>
      <c r="AN24" s="9" t="n">
        <v>16</v>
      </c>
      <c r="AO24" s="9" t="n">
        <v>20</v>
      </c>
      <c r="AP24" s="9" t="n">
        <v>6</v>
      </c>
      <c r="AQ24" s="11" t="n">
        <f aca="false">(AM24+AN24+AO24+AP24)/4</f>
        <v>13.5</v>
      </c>
      <c r="AR24" s="9" t="n">
        <v>8</v>
      </c>
      <c r="AS24" s="9" t="n">
        <v>29</v>
      </c>
      <c r="AT24" s="9" t="n">
        <v>24</v>
      </c>
      <c r="AU24" s="9" t="n">
        <v>47</v>
      </c>
      <c r="AV24" s="11" t="n">
        <f aca="false">(AR24+AS24+AT24+AU24)/4</f>
        <v>27</v>
      </c>
      <c r="AW24" s="9" t="n">
        <v>0</v>
      </c>
      <c r="AX24" s="9" t="n">
        <v>0</v>
      </c>
      <c r="AY24" s="9" t="n">
        <v>0</v>
      </c>
      <c r="AZ24" s="9" t="n">
        <v>0</v>
      </c>
      <c r="BA24" s="11" t="n">
        <f aca="false">(AW24+AX24+AY24+AZ24)/4</f>
        <v>0</v>
      </c>
      <c r="BB24" s="11" t="n">
        <f aca="false">(AW24/AR24)</f>
        <v>0</v>
      </c>
      <c r="BC24" s="11" t="n">
        <f aca="false">(AX24/AS24)</f>
        <v>0</v>
      </c>
      <c r="BD24" s="11" t="n">
        <f aca="false">(AY24/AT24)</f>
        <v>0</v>
      </c>
      <c r="BE24" s="11" t="n">
        <f aca="false">(AZ24/AU24)</f>
        <v>0</v>
      </c>
      <c r="BF24" s="11" t="n">
        <f aca="false">(BA24/AV24)</f>
        <v>0</v>
      </c>
      <c r="BG24" s="11" t="n">
        <f aca="false">(BF24*100)</f>
        <v>0</v>
      </c>
      <c r="BH24" s="9" t="n">
        <v>0</v>
      </c>
      <c r="BI24" s="9" t="n">
        <v>0</v>
      </c>
      <c r="BJ24" s="9" t="n">
        <v>1</v>
      </c>
      <c r="BK24" s="9" t="n">
        <v>0</v>
      </c>
      <c r="BL24" s="9" t="n">
        <v>0</v>
      </c>
      <c r="BM24" s="11" t="n">
        <f aca="false">(BI24+BJ24+BK24+BL24)/4</f>
        <v>0.25</v>
      </c>
      <c r="BN24" s="11" t="n">
        <f aca="false">(BI24/AR24)</f>
        <v>0</v>
      </c>
      <c r="BO24" s="11" t="n">
        <f aca="false">(BJ24/AS24)</f>
        <v>0.0344827586206897</v>
      </c>
      <c r="BP24" s="11" t="n">
        <f aca="false">(BK24/AT24)</f>
        <v>0</v>
      </c>
      <c r="BQ24" s="11" t="n">
        <f aca="false">(BL24/AU24)</f>
        <v>0</v>
      </c>
      <c r="BR24" s="11" t="n">
        <f aca="false">(BM24/AV24)</f>
        <v>0.00925925925925926</v>
      </c>
      <c r="BS24" s="11" t="n">
        <f aca="false">(100*BR24)</f>
        <v>0.925925925925926</v>
      </c>
      <c r="BT24" s="9" t="n">
        <v>1</v>
      </c>
      <c r="BU24" s="9" t="n">
        <v>0</v>
      </c>
      <c r="BV24" s="9" t="n">
        <v>0</v>
      </c>
      <c r="BW24" s="9" t="n">
        <v>0</v>
      </c>
      <c r="BX24" s="9" t="n">
        <v>0</v>
      </c>
      <c r="BY24" s="11" t="n">
        <f aca="false">(BU24+BV24+BW24+BX24)/4</f>
        <v>0</v>
      </c>
      <c r="BZ24" s="11" t="n">
        <f aca="false">(BU24/AR24)</f>
        <v>0</v>
      </c>
      <c r="CA24" s="11" t="n">
        <f aca="false">(BV24/AS24)</f>
        <v>0</v>
      </c>
      <c r="CB24" s="11" t="n">
        <f aca="false">(BW24/AT24)</f>
        <v>0</v>
      </c>
      <c r="CC24" s="11" t="n">
        <f aca="false">(BX24/AU24)</f>
        <v>0</v>
      </c>
      <c r="CD24" s="11" t="n">
        <f aca="false">(BY24/AV24)</f>
        <v>0</v>
      </c>
      <c r="CE24" s="11" t="n">
        <f aca="false">(100*CD24)</f>
        <v>0</v>
      </c>
      <c r="CF24" s="9" t="n">
        <v>0</v>
      </c>
      <c r="CG24" s="9" t="n">
        <v>0</v>
      </c>
      <c r="CH24" s="9" t="n">
        <v>7</v>
      </c>
      <c r="CI24" s="9" t="n">
        <v>5</v>
      </c>
      <c r="CJ24" s="9" t="n">
        <v>0</v>
      </c>
      <c r="CK24" s="11" t="n">
        <f aca="false">(CG24+CH24+CI24+CJ24)/4</f>
        <v>3</v>
      </c>
      <c r="CL24" s="11" t="n">
        <f aca="false">(CG24/AM24)</f>
        <v>0</v>
      </c>
      <c r="CM24" s="11" t="n">
        <f aca="false">(CH24/AN24)</f>
        <v>0.4375</v>
      </c>
      <c r="CN24" s="11" t="n">
        <f aca="false">(CI24/AO24)</f>
        <v>0.25</v>
      </c>
      <c r="CO24" s="9" t="n">
        <f aca="false">(CJ24/AP24)</f>
        <v>0</v>
      </c>
      <c r="CP24" s="9" t="n">
        <f aca="false">(CK24/AQ24)</f>
        <v>0.222222222222222</v>
      </c>
      <c r="CQ24" s="9" t="n">
        <f aca="false">(100*CP24)</f>
        <v>22.2222222222222</v>
      </c>
      <c r="CR24" s="18" t="n">
        <v>2</v>
      </c>
      <c r="CS24" s="9" t="n">
        <v>44.3</v>
      </c>
      <c r="CT24" s="9" t="n">
        <v>51</v>
      </c>
      <c r="CU24" s="9" t="n">
        <v>54.1</v>
      </c>
      <c r="CV24" s="9" t="n">
        <v>39</v>
      </c>
      <c r="CW24" s="11" t="n">
        <f aca="false">(CS24+CT24+CU24+CV24)/4</f>
        <v>47.1</v>
      </c>
      <c r="CX24" s="9" t="n">
        <v>0</v>
      </c>
      <c r="CY24" s="9" t="n">
        <v>0</v>
      </c>
      <c r="CZ24" s="9" t="n">
        <v>0</v>
      </c>
      <c r="DA24" s="9" t="n">
        <v>0</v>
      </c>
      <c r="DB24" s="11" t="n">
        <f aca="false">(CX24+CY24+CZ24+DA24)/4</f>
        <v>0</v>
      </c>
      <c r="DC24" s="9" t="n">
        <v>0</v>
      </c>
      <c r="DD24" s="9" t="n">
        <v>1</v>
      </c>
      <c r="DE24" s="9" t="n">
        <v>0</v>
      </c>
      <c r="DF24" s="9" t="n">
        <v>0</v>
      </c>
      <c r="DG24" s="11" t="n">
        <f aca="false">(DC24+DD24+DE24+DF24)/4</f>
        <v>0.25</v>
      </c>
      <c r="DH24" s="9" t="n">
        <v>1</v>
      </c>
      <c r="DI24" s="9" t="n">
        <v>0</v>
      </c>
      <c r="DJ24" s="9" t="n">
        <v>1</v>
      </c>
      <c r="DK24" s="9" t="n">
        <v>1</v>
      </c>
      <c r="DL24" s="11" t="n">
        <f aca="false">(DH24+DI24+DJ24+DK24)/4</f>
        <v>0.75</v>
      </c>
      <c r="DM24" s="9" t="n">
        <v>16</v>
      </c>
      <c r="DN24" s="9" t="n">
        <v>16</v>
      </c>
      <c r="DO24" s="9" t="n">
        <v>7</v>
      </c>
      <c r="DP24" s="9" t="n">
        <v>15</v>
      </c>
      <c r="DQ24" s="11" t="n">
        <f aca="false">(DM24+DN24+DO24+DP24)/4</f>
        <v>13.5</v>
      </c>
      <c r="DR24" s="9" t="n">
        <v>15</v>
      </c>
      <c r="DS24" s="9" t="n">
        <v>19</v>
      </c>
      <c r="DT24" s="9" t="n">
        <v>12</v>
      </c>
      <c r="DU24" s="9" t="n">
        <v>22</v>
      </c>
      <c r="DV24" s="11" t="n">
        <f aca="false">(DR24+DS24+DT24+DU24)/4</f>
        <v>17</v>
      </c>
      <c r="DW24" s="9" t="n">
        <v>0</v>
      </c>
      <c r="DX24" s="9" t="n">
        <v>0</v>
      </c>
      <c r="DY24" s="9" t="n">
        <v>0</v>
      </c>
      <c r="DZ24" s="9" t="n">
        <v>0</v>
      </c>
      <c r="EA24" s="11" t="n">
        <f aca="false">(DW24+DX24+DY24+DZ24)/4</f>
        <v>0</v>
      </c>
      <c r="EB24" s="11" t="n">
        <f aca="false">(DW24/DR24)</f>
        <v>0</v>
      </c>
      <c r="EC24" s="11" t="n">
        <f aca="false">(DX24/DS24)</f>
        <v>0</v>
      </c>
      <c r="ED24" s="11" t="n">
        <f aca="false">(DY24/DT24)</f>
        <v>0</v>
      </c>
      <c r="EE24" s="11" t="n">
        <f aca="false">(DZ24/DU24)</f>
        <v>0</v>
      </c>
      <c r="EF24" s="11" t="n">
        <f aca="false">(EA24/DV24)</f>
        <v>0</v>
      </c>
      <c r="EG24" s="11" t="n">
        <f aca="false">(100*EF24)</f>
        <v>0</v>
      </c>
      <c r="EH24" s="9" t="n">
        <v>0</v>
      </c>
      <c r="EI24" s="9" t="n">
        <v>0</v>
      </c>
      <c r="EJ24" s="9" t="n">
        <v>2</v>
      </c>
      <c r="EK24" s="19" t="n">
        <v>0</v>
      </c>
      <c r="EL24" s="9" t="n">
        <v>0</v>
      </c>
      <c r="EM24" s="9" t="n">
        <f aca="false">(EI24+EJ24+EK24+EL24)/4</f>
        <v>0.5</v>
      </c>
      <c r="EN24" s="9" t="n">
        <f aca="false">(EI24/DR24)</f>
        <v>0</v>
      </c>
      <c r="EO24" s="9" t="n">
        <f aca="false">(EJ24/DS24)</f>
        <v>0.105263157894737</v>
      </c>
      <c r="EP24" s="9" t="n">
        <f aca="false">(EK24/DT24)</f>
        <v>0</v>
      </c>
      <c r="EQ24" s="9" t="n">
        <f aca="false">(EL24/DU24)</f>
        <v>0</v>
      </c>
      <c r="ER24" s="9" t="n">
        <f aca="false">EM24/DV24</f>
        <v>0.0294117647058824</v>
      </c>
      <c r="ES24" s="9" t="n">
        <f aca="false">(100*ER24)</f>
        <v>2.94117647058824</v>
      </c>
      <c r="ET24" s="9" t="n">
        <v>1</v>
      </c>
      <c r="EU24" s="18" t="n">
        <v>0</v>
      </c>
      <c r="EV24" s="9" t="n">
        <v>0</v>
      </c>
      <c r="EW24" s="9" t="n">
        <v>2</v>
      </c>
      <c r="EX24" s="9" t="n">
        <v>0</v>
      </c>
      <c r="EY24" s="11" t="n">
        <f aca="false">(EU24+EV24+EW24+EX24)/4</f>
        <v>0.5</v>
      </c>
      <c r="EZ24" s="11" t="n">
        <f aca="false">(EU24/DR24)</f>
        <v>0</v>
      </c>
      <c r="FA24" s="11" t="n">
        <f aca="false">(EV24/DS24)</f>
        <v>0</v>
      </c>
      <c r="FB24" s="11" t="n">
        <f aca="false">(EW24/DT24)</f>
        <v>0.166666666666667</v>
      </c>
      <c r="FC24" s="11" t="n">
        <f aca="false">(EX24/DU24)</f>
        <v>0</v>
      </c>
      <c r="FD24" s="11" t="n">
        <f aca="false">(EY24/DV24)</f>
        <v>0.0294117647058824</v>
      </c>
      <c r="FE24" s="11" t="n">
        <f aca="false">(100*FD24)</f>
        <v>2.94117647058824</v>
      </c>
      <c r="FF24" s="9" t="n">
        <v>1</v>
      </c>
      <c r="FG24" s="9" t="n">
        <v>2</v>
      </c>
      <c r="FH24" s="9" t="n">
        <v>0</v>
      </c>
      <c r="FI24" s="9" t="n">
        <v>0</v>
      </c>
      <c r="FJ24" s="9" t="n">
        <v>5</v>
      </c>
      <c r="FK24" s="11" t="n">
        <f aca="false">(FG24+FH24+FI24+FJ24)/4</f>
        <v>1.75</v>
      </c>
      <c r="FL24" s="11" t="n">
        <f aca="false">(FG24/DR24)</f>
        <v>0.133333333333333</v>
      </c>
      <c r="FM24" s="11" t="n">
        <f aca="false">(FH24/DS24)</f>
        <v>0</v>
      </c>
      <c r="FN24" s="11" t="n">
        <f aca="false">(FI24/DT24)</f>
        <v>0</v>
      </c>
      <c r="FO24" s="11" t="n">
        <f aca="false">(FJ24/DU24)</f>
        <v>0.227272727272727</v>
      </c>
      <c r="FP24" s="11" t="n">
        <f aca="false">(FK24/DV24)</f>
        <v>0.102941176470588</v>
      </c>
      <c r="FQ24" s="11" t="n">
        <f aca="false">(100*FP24)</f>
        <v>10.2941176470588</v>
      </c>
      <c r="FR24" s="9" t="n">
        <v>2</v>
      </c>
      <c r="FS24" s="9" t="n">
        <v>45.4</v>
      </c>
      <c r="FT24" s="9" t="n">
        <v>52.9</v>
      </c>
      <c r="FU24" s="9" t="n">
        <v>52.4</v>
      </c>
      <c r="FV24" s="9" t="n">
        <v>39.9</v>
      </c>
      <c r="FW24" s="11" t="n">
        <f aca="false">(FS24+FT24+FU24+FV24)/4</f>
        <v>47.65</v>
      </c>
      <c r="FX24" s="9" t="n">
        <v>1</v>
      </c>
      <c r="FY24" s="9" t="n">
        <v>0</v>
      </c>
      <c r="FZ24" s="9" t="n">
        <v>1</v>
      </c>
      <c r="GA24" s="9" t="n">
        <v>0</v>
      </c>
      <c r="GB24" s="11" t="n">
        <f aca="false">(FX24+FY24+FZ24+GA24)/4</f>
        <v>0.5</v>
      </c>
      <c r="GC24" s="9" t="n">
        <v>1</v>
      </c>
      <c r="GD24" s="9" t="n">
        <v>0</v>
      </c>
      <c r="GE24" s="9" t="n">
        <v>0</v>
      </c>
      <c r="GF24" s="9" t="n">
        <v>0</v>
      </c>
      <c r="GG24" s="11" t="n">
        <f aca="false">(GC24+GD24+GE24+GF24)/4</f>
        <v>0.25</v>
      </c>
      <c r="GH24" s="9" t="n">
        <v>0</v>
      </c>
      <c r="GI24" s="9" t="n">
        <v>1</v>
      </c>
      <c r="GJ24" s="9" t="n">
        <v>1</v>
      </c>
      <c r="GK24" s="9" t="n">
        <v>1</v>
      </c>
      <c r="GL24" s="11" t="n">
        <f aca="false">(GH24+GI24+GJ24+GK24)/4</f>
        <v>0.75</v>
      </c>
      <c r="GM24" s="9" t="n">
        <v>4</v>
      </c>
      <c r="GN24" s="9" t="n">
        <v>22</v>
      </c>
      <c r="GO24" s="9" t="n">
        <v>11</v>
      </c>
      <c r="GP24" s="9" t="n">
        <v>13</v>
      </c>
      <c r="GQ24" s="11" t="n">
        <f aca="false">(GM24+GN24+GO24+GP24)/4</f>
        <v>12.5</v>
      </c>
      <c r="GR24" s="9" t="n">
        <v>9</v>
      </c>
      <c r="GS24" s="9" t="n">
        <v>6</v>
      </c>
      <c r="GT24" s="9" t="n">
        <v>8</v>
      </c>
      <c r="GU24" s="9" t="n">
        <v>6</v>
      </c>
      <c r="GV24" s="11" t="n">
        <f aca="false">(GR24+GS24+GT24+GU24)/4</f>
        <v>7.25</v>
      </c>
      <c r="GW24" s="9" t="n">
        <v>3</v>
      </c>
      <c r="GX24" s="9" t="n">
        <v>0</v>
      </c>
      <c r="GY24" s="9" t="n">
        <v>2</v>
      </c>
      <c r="GZ24" s="9" t="n">
        <v>0</v>
      </c>
      <c r="HA24" s="11" t="n">
        <f aca="false">(GW24+GX24+GY24+GZ24)/4</f>
        <v>1.25</v>
      </c>
      <c r="HB24" s="9" t="n">
        <f aca="false">(GW24/GR24)</f>
        <v>0.333333333333333</v>
      </c>
      <c r="HC24" s="9" t="n">
        <f aca="false">(GX24/GS24)</f>
        <v>0</v>
      </c>
      <c r="HD24" s="9" t="n">
        <f aca="false">(GY24/GT24)</f>
        <v>0.25</v>
      </c>
      <c r="HE24" s="9" t="n">
        <f aca="false">(GZ24/GU24)/4</f>
        <v>0</v>
      </c>
      <c r="HF24" s="9" t="n">
        <f aca="false">(HB24+HC24+HD24+HE24)/4</f>
        <v>0.145833333333333</v>
      </c>
      <c r="HG24" s="9" t="n">
        <f aca="false">(100*HF24)</f>
        <v>14.5833333333333</v>
      </c>
      <c r="HH24" s="18" t="n">
        <v>2</v>
      </c>
      <c r="HI24" s="9" t="n">
        <v>2</v>
      </c>
      <c r="HJ24" s="9" t="n">
        <v>0</v>
      </c>
      <c r="HK24" s="9" t="n">
        <v>0</v>
      </c>
      <c r="HL24" s="19" t="n">
        <v>0</v>
      </c>
      <c r="HM24" s="9" t="n">
        <f aca="false">(HI24+HJ24+HK24+HL24)/4</f>
        <v>0.5</v>
      </c>
      <c r="HN24" s="9" t="n">
        <f aca="false">(HI24/GR24)</f>
        <v>0.222222222222222</v>
      </c>
      <c r="HO24" s="9" t="n">
        <f aca="false">(HJ24/GS24)</f>
        <v>0</v>
      </c>
      <c r="HP24" s="9" t="n">
        <f aca="false">(HK24/GT24)</f>
        <v>0</v>
      </c>
      <c r="HQ24" s="9" t="n">
        <f aca="false">(HL24/GU24)</f>
        <v>0</v>
      </c>
      <c r="HR24" s="9" t="n">
        <f aca="false">(HM24/GV24)</f>
        <v>0.0689655172413793</v>
      </c>
      <c r="HS24" s="9" t="n">
        <f aca="false">(100*HR24)</f>
        <v>6.89655172413793</v>
      </c>
      <c r="HT24" s="18" t="n">
        <v>1</v>
      </c>
      <c r="HU24" s="9" t="n">
        <v>0</v>
      </c>
      <c r="HV24" s="9" t="n">
        <v>0</v>
      </c>
      <c r="HW24" s="9" t="n">
        <v>2</v>
      </c>
      <c r="HX24" s="19" t="n">
        <v>1</v>
      </c>
      <c r="HY24" s="9" t="n">
        <f aca="false">(HU24+HV24+HW24+HX24)/4</f>
        <v>0.75</v>
      </c>
      <c r="HZ24" s="9" t="n">
        <f aca="false">(HU24/GR24)</f>
        <v>0</v>
      </c>
      <c r="IA24" s="9" t="n">
        <f aca="false">HV24/GS24</f>
        <v>0</v>
      </c>
      <c r="IB24" s="9" t="n">
        <f aca="false">(HW24/GT24)</f>
        <v>0.25</v>
      </c>
      <c r="IC24" s="9" t="n">
        <f aca="false">(HX24/GU24)</f>
        <v>0.166666666666667</v>
      </c>
      <c r="ID24" s="9" t="n">
        <f aca="false">(HY24/GV24)</f>
        <v>0.103448275862069</v>
      </c>
      <c r="IE24" s="9" t="n">
        <f aca="false">(100*ID24)</f>
        <v>10.3448275862069</v>
      </c>
      <c r="IF24" s="18" t="n">
        <v>2</v>
      </c>
      <c r="IG24" s="9" t="n">
        <v>0</v>
      </c>
      <c r="IH24" s="9" t="n">
        <v>9</v>
      </c>
      <c r="II24" s="19" t="n">
        <v>4</v>
      </c>
      <c r="IJ24" s="9" t="n">
        <v>4</v>
      </c>
      <c r="IK24" s="9" t="n">
        <f aca="false">(IG24+IH24+II24+IJ24)/4</f>
        <v>4.25</v>
      </c>
      <c r="IL24" s="9" t="n">
        <f aca="false">(IG24/GM24)</f>
        <v>0</v>
      </c>
      <c r="IM24" s="9" t="n">
        <f aca="false">(IH24/GN24)</f>
        <v>0.409090909090909</v>
      </c>
      <c r="IN24" s="9" t="n">
        <f aca="false">(II24/GO24)</f>
        <v>0.363636363636364</v>
      </c>
      <c r="IO24" s="9" t="n">
        <f aca="false">(IJ24/GP24)</f>
        <v>0.307692307692308</v>
      </c>
      <c r="IP24" s="9" t="n">
        <f aca="false">(IK24/GQ24)</f>
        <v>0.34</v>
      </c>
      <c r="IQ24" s="9" t="n">
        <f aca="false">(100*IP24)</f>
        <v>34</v>
      </c>
      <c r="IR24" s="18" t="n">
        <v>3</v>
      </c>
      <c r="IS24" s="9" t="n">
        <v>42.7</v>
      </c>
      <c r="IT24" s="9" t="n">
        <v>45</v>
      </c>
      <c r="IU24" s="19" t="n">
        <v>57.9</v>
      </c>
      <c r="IV24" s="9" t="n">
        <v>54.8</v>
      </c>
      <c r="IW24" s="9" t="n">
        <f aca="false">(IS24+IT24+IU24+IV24)/4</f>
        <v>50.1</v>
      </c>
      <c r="IX24" s="16" t="n">
        <v>45206</v>
      </c>
      <c r="IY24" s="10" t="s">
        <v>268</v>
      </c>
    </row>
    <row r="25" customFormat="false" ht="15.75" hidden="false" customHeight="true" outlineLevel="0" collapsed="false">
      <c r="A25" s="9" t="s">
        <v>299</v>
      </c>
      <c r="B25" s="10" t="s">
        <v>322</v>
      </c>
      <c r="C25" s="10" t="s">
        <v>261</v>
      </c>
      <c r="D25" s="9" t="n">
        <v>4</v>
      </c>
      <c r="E25" s="9" t="n">
        <v>8</v>
      </c>
      <c r="F25" s="10" t="s">
        <v>328</v>
      </c>
      <c r="G25" s="10" t="s">
        <v>297</v>
      </c>
      <c r="H25" s="9" t="n">
        <v>21</v>
      </c>
      <c r="I25" s="9" t="n">
        <v>19</v>
      </c>
      <c r="J25" s="10" t="s">
        <v>272</v>
      </c>
      <c r="K25" s="20"/>
      <c r="L25" s="20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 t="n">
        <v>0</v>
      </c>
      <c r="Y25" s="9" t="n">
        <v>0</v>
      </c>
      <c r="Z25" s="9" t="n">
        <v>1</v>
      </c>
      <c r="AA25" s="9" t="n">
        <v>0</v>
      </c>
      <c r="AB25" s="11" t="n">
        <f aca="false">(X25+Y25+Z25+AA25)/4</f>
        <v>0.25</v>
      </c>
      <c r="AC25" s="9" t="n">
        <v>0</v>
      </c>
      <c r="AD25" s="9" t="n">
        <v>0</v>
      </c>
      <c r="AE25" s="9" t="n">
        <v>0</v>
      </c>
      <c r="AF25" s="9" t="n">
        <v>1</v>
      </c>
      <c r="AG25" s="11" t="n">
        <f aca="false">(AC25+AD25+AE25+AF25)/4</f>
        <v>0.25</v>
      </c>
      <c r="AH25" s="9" t="n">
        <v>1</v>
      </c>
      <c r="AI25" s="9" t="n">
        <v>1</v>
      </c>
      <c r="AJ25" s="9" t="n">
        <v>0</v>
      </c>
      <c r="AK25" s="9" t="n">
        <v>0</v>
      </c>
      <c r="AL25" s="11" t="n">
        <f aca="false">(AH25+AI25+AJ25+AK25)/4</f>
        <v>0.5</v>
      </c>
      <c r="AM25" s="9" t="n">
        <v>13</v>
      </c>
      <c r="AN25" s="9" t="n">
        <v>4</v>
      </c>
      <c r="AO25" s="9" t="n">
        <v>22</v>
      </c>
      <c r="AP25" s="9" t="n">
        <v>26</v>
      </c>
      <c r="AQ25" s="11" t="n">
        <f aca="false">(AM25+AN25+AO25+AP25)/4</f>
        <v>16.25</v>
      </c>
      <c r="AR25" s="9" t="n">
        <v>4</v>
      </c>
      <c r="AS25" s="9" t="n">
        <v>17</v>
      </c>
      <c r="AT25" s="9" t="n">
        <v>32</v>
      </c>
      <c r="AU25" s="9" t="n">
        <v>29</v>
      </c>
      <c r="AV25" s="11" t="n">
        <f aca="false">(AR25+AS25+AT25+AU25)/4</f>
        <v>20.5</v>
      </c>
      <c r="AW25" s="9" t="n">
        <v>0</v>
      </c>
      <c r="AX25" s="9" t="n">
        <v>0</v>
      </c>
      <c r="AY25" s="9" t="n">
        <v>2</v>
      </c>
      <c r="AZ25" s="9" t="n">
        <v>0</v>
      </c>
      <c r="BA25" s="11" t="n">
        <f aca="false">(AW25+AX25+AY25+AZ25)/4</f>
        <v>0.5</v>
      </c>
      <c r="BB25" s="11" t="n">
        <f aca="false">(AW25/AR25)</f>
        <v>0</v>
      </c>
      <c r="BC25" s="11" t="n">
        <f aca="false">(AX25/AS25)</f>
        <v>0</v>
      </c>
      <c r="BD25" s="11" t="n">
        <f aca="false">(AY25/AT25)</f>
        <v>0.0625</v>
      </c>
      <c r="BE25" s="11" t="n">
        <f aca="false">(AZ25/AU25)</f>
        <v>0</v>
      </c>
      <c r="BF25" s="11" t="n">
        <f aca="false">(BA25/AV25)</f>
        <v>0.024390243902439</v>
      </c>
      <c r="BG25" s="11" t="n">
        <f aca="false">(BF25*100)</f>
        <v>2.4390243902439</v>
      </c>
      <c r="BH25" s="9" t="n">
        <v>1</v>
      </c>
      <c r="BI25" s="9" t="n">
        <v>0</v>
      </c>
      <c r="BJ25" s="9" t="n">
        <v>0</v>
      </c>
      <c r="BK25" s="9" t="n">
        <v>0</v>
      </c>
      <c r="BL25" s="9" t="n">
        <v>1</v>
      </c>
      <c r="BM25" s="11" t="n">
        <f aca="false">(BI25+BJ25+BK25+BL25)/4</f>
        <v>0.25</v>
      </c>
      <c r="BN25" s="11" t="n">
        <f aca="false">(BI25/AR25)</f>
        <v>0</v>
      </c>
      <c r="BO25" s="11" t="n">
        <f aca="false">(BJ25/AS25)</f>
        <v>0</v>
      </c>
      <c r="BP25" s="11" t="n">
        <f aca="false">(BK25/AT25)</f>
        <v>0</v>
      </c>
      <c r="BQ25" s="11" t="n">
        <f aca="false">(BL25/AU25)</f>
        <v>0.0344827586206897</v>
      </c>
      <c r="BR25" s="11" t="n">
        <f aca="false">(BM25/AV25)</f>
        <v>0.0121951219512195</v>
      </c>
      <c r="BS25" s="11" t="n">
        <f aca="false">(100*BR25)</f>
        <v>1.21951219512195</v>
      </c>
      <c r="BT25" s="9" t="n">
        <v>1</v>
      </c>
      <c r="BU25" s="9" t="n">
        <v>4</v>
      </c>
      <c r="BV25" s="9" t="n">
        <v>4</v>
      </c>
      <c r="BW25" s="9" t="n">
        <v>0</v>
      </c>
      <c r="BX25" s="9" t="n">
        <v>0</v>
      </c>
      <c r="BY25" s="11" t="n">
        <f aca="false">(BU25+BV25+BW25+BX25)/4</f>
        <v>2</v>
      </c>
      <c r="BZ25" s="11" t="n">
        <f aca="false">(BU25/AR25)</f>
        <v>1</v>
      </c>
      <c r="CA25" s="11" t="n">
        <f aca="false">(BV25/AS25)</f>
        <v>0.235294117647059</v>
      </c>
      <c r="CB25" s="11" t="n">
        <f aca="false">(BW25/AT25)</f>
        <v>0</v>
      </c>
      <c r="CC25" s="11" t="n">
        <f aca="false">(BX25/AU25)</f>
        <v>0</v>
      </c>
      <c r="CD25" s="11" t="n">
        <f aca="false">(BY25/AV25)</f>
        <v>0.0975609756097561</v>
      </c>
      <c r="CE25" s="11" t="n">
        <f aca="false">(100*CD25)</f>
        <v>9.75609756097561</v>
      </c>
      <c r="CF25" s="9" t="n">
        <v>1</v>
      </c>
      <c r="CG25" s="9" t="n">
        <v>0</v>
      </c>
      <c r="CH25" s="9" t="n">
        <v>0</v>
      </c>
      <c r="CI25" s="9" t="n">
        <v>0</v>
      </c>
      <c r="CJ25" s="9" t="n">
        <v>0</v>
      </c>
      <c r="CK25" s="11" t="n">
        <f aca="false">(CG25+CH25+CI25+CJ25)/4</f>
        <v>0</v>
      </c>
      <c r="CL25" s="11" t="n">
        <f aca="false">(CG25/AM25)</f>
        <v>0</v>
      </c>
      <c r="CM25" s="11" t="n">
        <f aca="false">(CH25/AN25)</f>
        <v>0</v>
      </c>
      <c r="CN25" s="11" t="n">
        <f aca="false">(CI25/AO25)</f>
        <v>0</v>
      </c>
      <c r="CO25" s="9" t="n">
        <f aca="false">(CJ25/AP25)</f>
        <v>0</v>
      </c>
      <c r="CP25" s="9" t="n">
        <f aca="false">(CK25/AQ25)</f>
        <v>0</v>
      </c>
      <c r="CQ25" s="9" t="n">
        <f aca="false">(100*CP25)</f>
        <v>0</v>
      </c>
      <c r="CR25" s="18" t="n">
        <v>0</v>
      </c>
      <c r="CS25" s="9" t="n">
        <v>46.3</v>
      </c>
      <c r="CT25" s="9" t="n">
        <v>56.6</v>
      </c>
      <c r="CU25" s="9" t="n">
        <v>63.7</v>
      </c>
      <c r="CV25" s="9" t="n">
        <v>62.9</v>
      </c>
      <c r="CW25" s="11" t="n">
        <f aca="false">(CS25+CT25+CU25+CV25)/4</f>
        <v>57.375</v>
      </c>
      <c r="CX25" s="9" t="n">
        <v>0</v>
      </c>
      <c r="CY25" s="9" t="n">
        <v>0</v>
      </c>
      <c r="CZ25" s="9" t="n">
        <v>1</v>
      </c>
      <c r="DA25" s="9" t="n">
        <v>0</v>
      </c>
      <c r="DB25" s="11" t="n">
        <f aca="false">(CX25+CY25+CZ25+DA25)/4</f>
        <v>0.25</v>
      </c>
      <c r="DC25" s="9" t="n">
        <v>0</v>
      </c>
      <c r="DD25" s="9" t="n">
        <v>0</v>
      </c>
      <c r="DE25" s="9" t="n">
        <v>0</v>
      </c>
      <c r="DF25" s="9" t="n">
        <v>1</v>
      </c>
      <c r="DG25" s="11" t="n">
        <f aca="false">(DC25+DD25+DE25+DF25)/4</f>
        <v>0.25</v>
      </c>
      <c r="DH25" s="9" t="n">
        <v>0</v>
      </c>
      <c r="DI25" s="9" t="n">
        <v>1</v>
      </c>
      <c r="DJ25" s="9" t="n">
        <v>0</v>
      </c>
      <c r="DK25" s="9" t="n">
        <v>1</v>
      </c>
      <c r="DL25" s="11" t="n">
        <f aca="false">(DH25+DI25+DJ25+DK25)/4</f>
        <v>0.5</v>
      </c>
      <c r="DM25" s="9" t="n">
        <v>34</v>
      </c>
      <c r="DN25" s="9" t="n">
        <v>62</v>
      </c>
      <c r="DO25" s="9" t="n">
        <v>17</v>
      </c>
      <c r="DP25" s="9" t="n">
        <v>32</v>
      </c>
      <c r="DQ25" s="11" t="n">
        <f aca="false">(DM25+DN25+DO25+DP25)/4</f>
        <v>36.25</v>
      </c>
      <c r="DR25" s="9" t="n">
        <v>11</v>
      </c>
      <c r="DS25" s="9" t="n">
        <v>9</v>
      </c>
      <c r="DT25" s="9" t="n">
        <v>10</v>
      </c>
      <c r="DU25" s="9" t="n">
        <v>9</v>
      </c>
      <c r="DV25" s="11" t="n">
        <f aca="false">(DR25+DS25+DT25+DU25)/4</f>
        <v>9.75</v>
      </c>
      <c r="DW25" s="9" t="n">
        <v>0</v>
      </c>
      <c r="DX25" s="9" t="n">
        <v>0</v>
      </c>
      <c r="DY25" s="9" t="n">
        <v>1</v>
      </c>
      <c r="DZ25" s="9" t="n">
        <v>0</v>
      </c>
      <c r="EA25" s="11" t="n">
        <f aca="false">(DW25+DX25+DY25+DZ25)/4</f>
        <v>0.25</v>
      </c>
      <c r="EB25" s="11" t="n">
        <f aca="false">(DW25/DR25)</f>
        <v>0</v>
      </c>
      <c r="EC25" s="11" t="n">
        <f aca="false">(DX25/DS25)</f>
        <v>0</v>
      </c>
      <c r="ED25" s="11" t="n">
        <f aca="false">(DY25/DT25)</f>
        <v>0.1</v>
      </c>
      <c r="EE25" s="11" t="n">
        <f aca="false">(DZ25/DU25)</f>
        <v>0</v>
      </c>
      <c r="EF25" s="11" t="n">
        <f aca="false">(EA25/DV25)</f>
        <v>0.0256410256410256</v>
      </c>
      <c r="EG25" s="11" t="n">
        <f aca="false">(100*EF25)</f>
        <v>2.56410256410256</v>
      </c>
      <c r="EH25" s="9" t="n">
        <v>1</v>
      </c>
      <c r="EI25" s="9" t="n">
        <v>0</v>
      </c>
      <c r="EJ25" s="9" t="n">
        <v>0</v>
      </c>
      <c r="EK25" s="19" t="n">
        <v>0</v>
      </c>
      <c r="EL25" s="9" t="n">
        <v>1</v>
      </c>
      <c r="EM25" s="9" t="n">
        <f aca="false">(EI25+EJ25+EK25+EL25)/4</f>
        <v>0.25</v>
      </c>
      <c r="EN25" s="9" t="n">
        <f aca="false">(EI25/DR25)</f>
        <v>0</v>
      </c>
      <c r="EO25" s="9" t="n">
        <f aca="false">(EJ25/DS25)</f>
        <v>0</v>
      </c>
      <c r="EP25" s="9" t="n">
        <f aca="false">(EK25/DT25)</f>
        <v>0</v>
      </c>
      <c r="EQ25" s="9" t="n">
        <f aca="false">(EL25/DU25)</f>
        <v>0.111111111111111</v>
      </c>
      <c r="ER25" s="9" t="n">
        <f aca="false">EM25/DV25</f>
        <v>0.0256410256410256</v>
      </c>
      <c r="ES25" s="9" t="n">
        <f aca="false">(100*ER25)</f>
        <v>2.56410256410256</v>
      </c>
      <c r="ET25" s="9" t="n">
        <v>1</v>
      </c>
      <c r="EU25" s="18" t="n">
        <v>0</v>
      </c>
      <c r="EV25" s="9" t="n">
        <v>3</v>
      </c>
      <c r="EW25" s="9" t="n">
        <v>0</v>
      </c>
      <c r="EX25" s="9" t="n">
        <v>0</v>
      </c>
      <c r="EY25" s="11" t="n">
        <f aca="false">(EU25+EV25+EW25+EX25)/4</f>
        <v>0.75</v>
      </c>
      <c r="EZ25" s="11" t="n">
        <f aca="false">(EU25/DR25)</f>
        <v>0</v>
      </c>
      <c r="FA25" s="11" t="n">
        <f aca="false">(EV25/DS25)</f>
        <v>0.333333333333333</v>
      </c>
      <c r="FB25" s="11" t="n">
        <f aca="false">(EW25/DT25)</f>
        <v>0</v>
      </c>
      <c r="FC25" s="11" t="n">
        <f aca="false">(EX25/DU25)</f>
        <v>0</v>
      </c>
      <c r="FD25" s="11" t="n">
        <f aca="false">(EY25/DV25)</f>
        <v>0.0769230769230769</v>
      </c>
      <c r="FE25" s="11" t="n">
        <f aca="false">(100*FD25)</f>
        <v>7.69230769230769</v>
      </c>
      <c r="FF25" s="9" t="n">
        <v>1</v>
      </c>
      <c r="FG25" s="9" t="n">
        <v>0</v>
      </c>
      <c r="FH25" s="9" t="n">
        <v>0</v>
      </c>
      <c r="FI25" s="9" t="n">
        <v>0</v>
      </c>
      <c r="FJ25" s="9" t="n">
        <v>3</v>
      </c>
      <c r="FK25" s="11" t="n">
        <f aca="false">(FG25+FH25+FI25+FJ25)/4</f>
        <v>0.75</v>
      </c>
      <c r="FL25" s="11" t="n">
        <f aca="false">(FG25/DR25)</f>
        <v>0</v>
      </c>
      <c r="FM25" s="11" t="n">
        <f aca="false">(FH25/DS25)</f>
        <v>0</v>
      </c>
      <c r="FN25" s="11" t="n">
        <f aca="false">(FI25/DT25)</f>
        <v>0</v>
      </c>
      <c r="FO25" s="11" t="n">
        <f aca="false">(FJ25/DU25)</f>
        <v>0.333333333333333</v>
      </c>
      <c r="FP25" s="11" t="n">
        <f aca="false">(FK25/DV25)</f>
        <v>0.0769230769230769</v>
      </c>
      <c r="FQ25" s="11" t="n">
        <f aca="false">(100*FP25)</f>
        <v>7.69230769230769</v>
      </c>
      <c r="FR25" s="9" t="n">
        <v>1</v>
      </c>
      <c r="FS25" s="9" t="n">
        <v>62.2</v>
      </c>
      <c r="FT25" s="9" t="n">
        <v>53</v>
      </c>
      <c r="FU25" s="9" t="n">
        <v>62.6</v>
      </c>
      <c r="FV25" s="9" t="n">
        <v>62.4</v>
      </c>
      <c r="FW25" s="11" t="n">
        <f aca="false">(FS25+FT25+FU25+FV25)/4</f>
        <v>60.05</v>
      </c>
      <c r="FX25" s="9" t="n">
        <v>1</v>
      </c>
      <c r="FY25" s="9" t="n">
        <v>1</v>
      </c>
      <c r="FZ25" s="9" t="n">
        <v>0</v>
      </c>
      <c r="GA25" s="9" t="n">
        <v>1</v>
      </c>
      <c r="GB25" s="11" t="n">
        <f aca="false">(FX25+FY25+FZ25+GA25)/4</f>
        <v>0.75</v>
      </c>
      <c r="GC25" s="9" t="n">
        <v>0</v>
      </c>
      <c r="GD25" s="9" t="n">
        <v>1</v>
      </c>
      <c r="GE25" s="9" t="n">
        <v>1</v>
      </c>
      <c r="GF25" s="9" t="n">
        <v>0</v>
      </c>
      <c r="GG25" s="11" t="n">
        <f aca="false">(GC25+GD25+GE25+GF25)/4</f>
        <v>0.5</v>
      </c>
      <c r="GH25" s="9" t="n">
        <v>0</v>
      </c>
      <c r="GI25" s="9" t="n">
        <v>0</v>
      </c>
      <c r="GJ25" s="9" t="n">
        <v>0</v>
      </c>
      <c r="GK25" s="9" t="n">
        <v>1</v>
      </c>
      <c r="GL25" s="11" t="n">
        <f aca="false">(GH25+GI25+GJ25+GK25)/4</f>
        <v>0.25</v>
      </c>
      <c r="GM25" s="9" t="n">
        <v>21</v>
      </c>
      <c r="GN25" s="9" t="n">
        <v>12</v>
      </c>
      <c r="GO25" s="9" t="n">
        <v>23</v>
      </c>
      <c r="GP25" s="9" t="n">
        <v>19</v>
      </c>
      <c r="GQ25" s="11" t="n">
        <f aca="false">(GM25+GN25+GO25+GP25)/4</f>
        <v>18.75</v>
      </c>
      <c r="GR25" s="9" t="n">
        <v>6</v>
      </c>
      <c r="GS25" s="9" t="n">
        <v>13</v>
      </c>
      <c r="GT25" s="9" t="n">
        <v>20</v>
      </c>
      <c r="GU25" s="9" t="n">
        <v>18</v>
      </c>
      <c r="GV25" s="11" t="n">
        <f aca="false">(GR25+GS25+GT25+GU25)/4</f>
        <v>14.25</v>
      </c>
      <c r="GW25" s="9" t="n">
        <v>1</v>
      </c>
      <c r="GX25" s="9" t="n">
        <v>2</v>
      </c>
      <c r="GY25" s="9" t="n">
        <v>0</v>
      </c>
      <c r="GZ25" s="9" t="n">
        <v>2</v>
      </c>
      <c r="HA25" s="11" t="n">
        <f aca="false">(GW25+GX25+GY25+GZ25)/4</f>
        <v>1.25</v>
      </c>
      <c r="HB25" s="9" t="n">
        <f aca="false">(GW25/GR25)</f>
        <v>0.166666666666667</v>
      </c>
      <c r="HC25" s="9" t="n">
        <f aca="false">(GX25/GS25)</f>
        <v>0.153846153846154</v>
      </c>
      <c r="HD25" s="9" t="n">
        <f aca="false">(GY25/GT25)</f>
        <v>0</v>
      </c>
      <c r="HE25" s="9" t="n">
        <f aca="false">(GZ25/GU25)/4</f>
        <v>0.0277777777777778</v>
      </c>
      <c r="HF25" s="9" t="n">
        <f aca="false">(HB25+HC25+HD25+HE25)/4</f>
        <v>0.0870726495726496</v>
      </c>
      <c r="HG25" s="9" t="n">
        <f aca="false">(100*HF25)</f>
        <v>8.70726495726496</v>
      </c>
      <c r="HH25" s="18" t="n">
        <v>1</v>
      </c>
      <c r="HI25" s="9" t="n">
        <v>0</v>
      </c>
      <c r="HJ25" s="9" t="n">
        <v>2</v>
      </c>
      <c r="HK25" s="9" t="n">
        <v>3</v>
      </c>
      <c r="HL25" s="19" t="n">
        <v>0</v>
      </c>
      <c r="HM25" s="9" t="n">
        <f aca="false">(HI25+HJ25+HK25+HL25)/4</f>
        <v>1.25</v>
      </c>
      <c r="HN25" s="9" t="n">
        <f aca="false">(HI25/GR25)</f>
        <v>0</v>
      </c>
      <c r="HO25" s="9" t="n">
        <f aca="false">(HJ25/GS25)</f>
        <v>0.153846153846154</v>
      </c>
      <c r="HP25" s="9" t="n">
        <f aca="false">(HK25/GT25)</f>
        <v>0.15</v>
      </c>
      <c r="HQ25" s="9" t="n">
        <f aca="false">(HL25/GU25)</f>
        <v>0</v>
      </c>
      <c r="HR25" s="9" t="n">
        <f aca="false">(HM25/GV25)</f>
        <v>0.087719298245614</v>
      </c>
      <c r="HS25" s="9" t="n">
        <f aca="false">(100*HR25)</f>
        <v>8.7719298245614</v>
      </c>
      <c r="HT25" s="18" t="n">
        <v>1</v>
      </c>
      <c r="HU25" s="9" t="n">
        <v>0</v>
      </c>
      <c r="HV25" s="9" t="n">
        <v>0</v>
      </c>
      <c r="HW25" s="9" t="n">
        <v>0</v>
      </c>
      <c r="HX25" s="19" t="n">
        <v>1</v>
      </c>
      <c r="HY25" s="9" t="n">
        <f aca="false">(HU25+HV25+HW25+HX25)/4</f>
        <v>0.25</v>
      </c>
      <c r="HZ25" s="9" t="n">
        <f aca="false">(HU25/GR25)</f>
        <v>0</v>
      </c>
      <c r="IA25" s="9" t="n">
        <f aca="false">HV25/GS25</f>
        <v>0</v>
      </c>
      <c r="IB25" s="9" t="n">
        <f aca="false">(HW25/GT25)</f>
        <v>0</v>
      </c>
      <c r="IC25" s="9" t="n">
        <f aca="false">(HX25/GU25)</f>
        <v>0.0555555555555556</v>
      </c>
      <c r="ID25" s="9" t="n">
        <f aca="false">(HY25/GV25)</f>
        <v>0.0175438596491228</v>
      </c>
      <c r="IE25" s="9" t="n">
        <f aca="false">(100*ID25)</f>
        <v>1.75438596491228</v>
      </c>
      <c r="IF25" s="18" t="n">
        <v>1</v>
      </c>
      <c r="IG25" s="9" t="n">
        <v>0</v>
      </c>
      <c r="IH25" s="9" t="n">
        <v>0</v>
      </c>
      <c r="II25" s="19" t="n">
        <v>0</v>
      </c>
      <c r="IJ25" s="9" t="n">
        <v>0</v>
      </c>
      <c r="IK25" s="9" t="n">
        <f aca="false">(IG25+IH25+II25+IJ25)/4</f>
        <v>0</v>
      </c>
      <c r="IL25" s="9" t="n">
        <f aca="false">(IG25/GM25)</f>
        <v>0</v>
      </c>
      <c r="IM25" s="9" t="n">
        <f aca="false">(IH25/GN25)</f>
        <v>0</v>
      </c>
      <c r="IN25" s="9" t="n">
        <f aca="false">(II25/GO25)</f>
        <v>0</v>
      </c>
      <c r="IO25" s="9" t="n">
        <f aca="false">(IJ25/GP25)</f>
        <v>0</v>
      </c>
      <c r="IP25" s="9" t="n">
        <f aca="false">(IK25/GQ25)</f>
        <v>0</v>
      </c>
      <c r="IQ25" s="9" t="n">
        <f aca="false">(100*IP25)</f>
        <v>0</v>
      </c>
      <c r="IR25" s="18" t="n">
        <v>0</v>
      </c>
      <c r="IS25" s="9" t="n">
        <v>49.8</v>
      </c>
      <c r="IT25" s="9" t="n">
        <v>72.6</v>
      </c>
      <c r="IU25" s="19" t="n">
        <v>65.9</v>
      </c>
      <c r="IV25" s="9" t="n">
        <v>59.1</v>
      </c>
      <c r="IW25" s="9" t="n">
        <f aca="false">(IS25+IT25+IU25+IV25)/4</f>
        <v>61.85</v>
      </c>
      <c r="IX25" s="16" t="n">
        <v>45206</v>
      </c>
      <c r="IY25" s="10" t="s">
        <v>268</v>
      </c>
    </row>
    <row r="26" customFormat="false" ht="15.75" hidden="false" customHeight="true" outlineLevel="0" collapsed="false">
      <c r="A26" s="9" t="s">
        <v>299</v>
      </c>
      <c r="B26" s="10" t="s">
        <v>329</v>
      </c>
      <c r="C26" s="10" t="s">
        <v>261</v>
      </c>
      <c r="D26" s="9" t="n">
        <v>5</v>
      </c>
      <c r="E26" s="9" t="n">
        <v>9</v>
      </c>
      <c r="F26" s="10" t="s">
        <v>330</v>
      </c>
      <c r="G26" s="10" t="s">
        <v>280</v>
      </c>
      <c r="H26" s="9" t="n">
        <v>21</v>
      </c>
      <c r="I26" s="9" t="n">
        <v>5</v>
      </c>
      <c r="J26" s="12" t="s">
        <v>264</v>
      </c>
      <c r="K26" s="13" t="s">
        <v>331</v>
      </c>
      <c r="L26" s="13" t="s">
        <v>332</v>
      </c>
      <c r="M26" s="14" t="n">
        <v>1304</v>
      </c>
      <c r="N26" s="15" t="n">
        <v>45134</v>
      </c>
      <c r="O26" s="10" t="s">
        <v>267</v>
      </c>
      <c r="P26" s="9"/>
      <c r="Q26" s="9" t="n">
        <v>16.65</v>
      </c>
      <c r="R26" s="9" t="n">
        <v>18</v>
      </c>
      <c r="S26" s="9" t="n">
        <v>-10</v>
      </c>
      <c r="T26" s="9" t="n">
        <v>90</v>
      </c>
      <c r="U26" s="9"/>
      <c r="V26" s="9" t="n">
        <v>2.37</v>
      </c>
      <c r="W26" s="9" t="s">
        <v>333</v>
      </c>
      <c r="X26" s="9" t="n">
        <v>0</v>
      </c>
      <c r="Y26" s="9" t="n">
        <v>0</v>
      </c>
      <c r="Z26" s="9" t="n">
        <v>0</v>
      </c>
      <c r="AA26" s="9" t="n">
        <v>1</v>
      </c>
      <c r="AB26" s="11" t="n">
        <f aca="false">(X26+Y26+Z26+AA26)/4</f>
        <v>0.25</v>
      </c>
      <c r="AC26" s="9" t="n">
        <v>1</v>
      </c>
      <c r="AD26" s="9" t="n">
        <v>1</v>
      </c>
      <c r="AE26" s="9" t="n">
        <v>1</v>
      </c>
      <c r="AF26" s="9" t="n">
        <v>1</v>
      </c>
      <c r="AG26" s="11" t="n">
        <f aca="false">(AC26+AD26+AE26+AF26)/4</f>
        <v>1</v>
      </c>
      <c r="AH26" s="9" t="n">
        <v>1</v>
      </c>
      <c r="AI26" s="9" t="n">
        <v>1</v>
      </c>
      <c r="AJ26" s="9" t="n">
        <v>1</v>
      </c>
      <c r="AK26" s="9" t="n">
        <v>1</v>
      </c>
      <c r="AL26" s="11" t="n">
        <f aca="false">(AH26+AI26+AJ26+AK26)/4</f>
        <v>1</v>
      </c>
      <c r="AM26" s="9" t="n">
        <v>82</v>
      </c>
      <c r="AN26" s="9" t="n">
        <v>60</v>
      </c>
      <c r="AO26" s="9" t="n">
        <v>54</v>
      </c>
      <c r="AP26" s="9" t="n">
        <v>115</v>
      </c>
      <c r="AQ26" s="11" t="n">
        <f aca="false">(AM26+AN26+AO26+AP26)/4</f>
        <v>77.75</v>
      </c>
      <c r="AR26" s="9" t="n">
        <v>34</v>
      </c>
      <c r="AS26" s="9" t="n">
        <v>21</v>
      </c>
      <c r="AT26" s="9" t="n">
        <v>9</v>
      </c>
      <c r="AU26" s="9" t="n">
        <v>10</v>
      </c>
      <c r="AV26" s="11" t="n">
        <f aca="false">(AR26+AS26+AT26+AU26)/4</f>
        <v>18.5</v>
      </c>
      <c r="AW26" s="9" t="n">
        <v>0</v>
      </c>
      <c r="AX26" s="9" t="n">
        <v>0</v>
      </c>
      <c r="AY26" s="9" t="n">
        <v>0</v>
      </c>
      <c r="AZ26" s="9" t="n">
        <v>2</v>
      </c>
      <c r="BA26" s="11" t="n">
        <f aca="false">(AW26+AX26+AY26+AZ26)/4</f>
        <v>0.5</v>
      </c>
      <c r="BB26" s="11" t="n">
        <f aca="false">(AW26/AR26)</f>
        <v>0</v>
      </c>
      <c r="BC26" s="11" t="n">
        <f aca="false">(AX26/AS26)</f>
        <v>0</v>
      </c>
      <c r="BD26" s="11" t="n">
        <f aca="false">(AY26/AT26)</f>
        <v>0</v>
      </c>
      <c r="BE26" s="11" t="n">
        <f aca="false">(AZ26/AU26)</f>
        <v>0.2</v>
      </c>
      <c r="BF26" s="11" t="n">
        <f aca="false">(BA26/AV26)</f>
        <v>0.027027027027027</v>
      </c>
      <c r="BG26" s="11" t="n">
        <f aca="false">(BF26*100)</f>
        <v>2.7027027027027</v>
      </c>
      <c r="BH26" s="9" t="n">
        <v>1</v>
      </c>
      <c r="BI26" s="9" t="n">
        <v>25</v>
      </c>
      <c r="BJ26" s="9" t="n">
        <v>8</v>
      </c>
      <c r="BK26" s="9" t="n">
        <v>3</v>
      </c>
      <c r="BL26" s="9" t="n">
        <v>2</v>
      </c>
      <c r="BM26" s="11" t="n">
        <f aca="false">(BI26+BJ26+BK26+BL26)/4</f>
        <v>9.5</v>
      </c>
      <c r="BN26" s="11" t="n">
        <f aca="false">(BI26/AR26)</f>
        <v>0.735294117647059</v>
      </c>
      <c r="BO26" s="11" t="n">
        <f aca="false">(BJ26/AS26)</f>
        <v>0.380952380952381</v>
      </c>
      <c r="BP26" s="11" t="n">
        <f aca="false">(BK26/AT26)</f>
        <v>0.333333333333333</v>
      </c>
      <c r="BQ26" s="11" t="n">
        <f aca="false">(BL26/AU26)</f>
        <v>0.2</v>
      </c>
      <c r="BR26" s="11" t="n">
        <f aca="false">(BM26/AV26)</f>
        <v>0.513513513513514</v>
      </c>
      <c r="BS26" s="11" t="n">
        <f aca="false">(100*BR26)</f>
        <v>51.3513513513514</v>
      </c>
      <c r="BT26" s="9" t="n">
        <v>3</v>
      </c>
      <c r="BU26" s="9" t="n">
        <v>0</v>
      </c>
      <c r="BV26" s="9" t="n">
        <v>0</v>
      </c>
      <c r="BW26" s="9" t="n">
        <v>0</v>
      </c>
      <c r="BX26" s="9" t="n">
        <v>0</v>
      </c>
      <c r="BY26" s="11" t="n">
        <f aca="false">(BU26+BV26+BW26+BX26)/4</f>
        <v>0</v>
      </c>
      <c r="BZ26" s="11" t="n">
        <f aca="false">(BU26/AR26)</f>
        <v>0</v>
      </c>
      <c r="CA26" s="11" t="n">
        <f aca="false">(BV26/AS26)</f>
        <v>0</v>
      </c>
      <c r="CB26" s="11" t="n">
        <f aca="false">(BW26/AT26)</f>
        <v>0</v>
      </c>
      <c r="CC26" s="11" t="n">
        <f aca="false">(BX26/AU26)</f>
        <v>0</v>
      </c>
      <c r="CD26" s="11" t="n">
        <f aca="false">(BY26/AV26)</f>
        <v>0</v>
      </c>
      <c r="CE26" s="11" t="n">
        <f aca="false">(100*CD26)</f>
        <v>0</v>
      </c>
      <c r="CF26" s="9" t="n">
        <v>0</v>
      </c>
      <c r="CG26" s="9" t="n">
        <v>30</v>
      </c>
      <c r="CH26" s="9" t="n">
        <v>10</v>
      </c>
      <c r="CI26" s="9" t="n">
        <v>8</v>
      </c>
      <c r="CJ26" s="9" t="n">
        <v>22</v>
      </c>
      <c r="CK26" s="11" t="n">
        <f aca="false">(CG26+CH26+CI26+CJ26)/4</f>
        <v>17.5</v>
      </c>
      <c r="CL26" s="11" t="n">
        <f aca="false">(CG26/AM26)</f>
        <v>0.365853658536585</v>
      </c>
      <c r="CM26" s="11" t="n">
        <f aca="false">(CH26/AN26)</f>
        <v>0.166666666666667</v>
      </c>
      <c r="CN26" s="11" t="n">
        <f aca="false">(CI26/AO26)</f>
        <v>0.148148148148148</v>
      </c>
      <c r="CO26" s="9" t="n">
        <f aca="false">(CJ26/AP26)</f>
        <v>0.191304347826087</v>
      </c>
      <c r="CP26" s="9" t="n">
        <f aca="false">(CK26/AQ26)</f>
        <v>0.22508038585209</v>
      </c>
      <c r="CQ26" s="9" t="n">
        <f aca="false">(100*CP26)</f>
        <v>22.508038585209</v>
      </c>
      <c r="CR26" s="18" t="n">
        <v>2</v>
      </c>
      <c r="CS26" s="9" t="n">
        <v>62.1</v>
      </c>
      <c r="CT26" s="9" t="n">
        <v>60.5</v>
      </c>
      <c r="CU26" s="9" t="n">
        <v>62.8</v>
      </c>
      <c r="CV26" s="9" t="n">
        <v>63.3</v>
      </c>
      <c r="CW26" s="11" t="n">
        <f aca="false">(CS26+CT26+CU26+CV26)/4</f>
        <v>62.175</v>
      </c>
      <c r="CX26" s="9" t="n">
        <v>0</v>
      </c>
      <c r="CY26" s="9" t="n">
        <v>0</v>
      </c>
      <c r="CZ26" s="9" t="n">
        <v>0</v>
      </c>
      <c r="DA26" s="9" t="n">
        <v>0</v>
      </c>
      <c r="DB26" s="11" t="n">
        <f aca="false">(CX26+CY26+CZ26+DA26)/4</f>
        <v>0</v>
      </c>
      <c r="DC26" s="9" t="n">
        <v>1</v>
      </c>
      <c r="DD26" s="9" t="n">
        <v>1</v>
      </c>
      <c r="DE26" s="9" t="n">
        <v>1</v>
      </c>
      <c r="DF26" s="9" t="n">
        <v>1</v>
      </c>
      <c r="DG26" s="11" t="n">
        <f aca="false">(DC26+DD26+DE26+DF26)/4</f>
        <v>1</v>
      </c>
      <c r="DH26" s="9" t="n">
        <v>1</v>
      </c>
      <c r="DI26" s="9" t="n">
        <v>1</v>
      </c>
      <c r="DJ26" s="9" t="n">
        <v>1</v>
      </c>
      <c r="DK26" s="9" t="n">
        <v>1</v>
      </c>
      <c r="DL26" s="11" t="n">
        <f aca="false">(DH26+DI26+DJ26+DK26)/4</f>
        <v>1</v>
      </c>
      <c r="DM26" s="9" t="n">
        <v>61</v>
      </c>
      <c r="DN26" s="9" t="n">
        <v>145</v>
      </c>
      <c r="DO26" s="9" t="n">
        <v>177</v>
      </c>
      <c r="DP26" s="9" t="n">
        <v>72</v>
      </c>
      <c r="DQ26" s="11" t="n">
        <f aca="false">(DM26+DN26+DO26+DP26)/4</f>
        <v>113.75</v>
      </c>
      <c r="DR26" s="9" t="n">
        <v>21</v>
      </c>
      <c r="DS26" s="9" t="n">
        <v>34</v>
      </c>
      <c r="DT26" s="9" t="n">
        <v>24</v>
      </c>
      <c r="DU26" s="9" t="n">
        <v>81</v>
      </c>
      <c r="DV26" s="11" t="n">
        <f aca="false">(DR26+DS26+DT26+DU26)/4</f>
        <v>40</v>
      </c>
      <c r="DW26" s="9" t="n">
        <v>0</v>
      </c>
      <c r="DX26" s="9" t="n">
        <v>0</v>
      </c>
      <c r="DY26" s="9" t="n">
        <v>0</v>
      </c>
      <c r="DZ26" s="9" t="n">
        <v>0</v>
      </c>
      <c r="EA26" s="11" t="n">
        <f aca="false">(DW26+DX26+DY26+DZ26)/4</f>
        <v>0</v>
      </c>
      <c r="EB26" s="11" t="n">
        <f aca="false">(DW26/DR26)</f>
        <v>0</v>
      </c>
      <c r="EC26" s="11" t="n">
        <f aca="false">(DX26/DS26)</f>
        <v>0</v>
      </c>
      <c r="ED26" s="11" t="n">
        <f aca="false">(DY26/DT26)</f>
        <v>0</v>
      </c>
      <c r="EE26" s="11" t="n">
        <f aca="false">(DZ26/DU26)</f>
        <v>0</v>
      </c>
      <c r="EF26" s="11" t="n">
        <f aca="false">(EA26/DV26)</f>
        <v>0</v>
      </c>
      <c r="EG26" s="11" t="n">
        <f aca="false">(100*EF26)</f>
        <v>0</v>
      </c>
      <c r="EH26" s="9" t="n">
        <v>0</v>
      </c>
      <c r="EI26" s="9" t="n">
        <v>3</v>
      </c>
      <c r="EJ26" s="9" t="n">
        <v>3</v>
      </c>
      <c r="EK26" s="19" t="n">
        <v>3</v>
      </c>
      <c r="EL26" s="9" t="n">
        <v>10</v>
      </c>
      <c r="EM26" s="9" t="n">
        <f aca="false">(EI26+EJ26+EK26+EL26)/4</f>
        <v>4.75</v>
      </c>
      <c r="EN26" s="9" t="n">
        <f aca="false">(EI26/DR26)</f>
        <v>0.142857142857143</v>
      </c>
      <c r="EO26" s="9" t="n">
        <f aca="false">(EJ26/DS26)</f>
        <v>0.0882352941176471</v>
      </c>
      <c r="EP26" s="9" t="n">
        <f aca="false">(EK26/DT26)</f>
        <v>0.125</v>
      </c>
      <c r="EQ26" s="9" t="n">
        <f aca="false">(EL26/DU26)</f>
        <v>0.123456790123457</v>
      </c>
      <c r="ER26" s="9" t="n">
        <f aca="false">EM26/DV26</f>
        <v>0.11875</v>
      </c>
      <c r="ES26" s="9" t="n">
        <f aca="false">(100*ER26)</f>
        <v>11.875</v>
      </c>
      <c r="ET26" s="9" t="n">
        <v>2</v>
      </c>
      <c r="EU26" s="18" t="n">
        <v>0</v>
      </c>
      <c r="EV26" s="9" t="n">
        <v>0</v>
      </c>
      <c r="EW26" s="9" t="n">
        <v>8</v>
      </c>
      <c r="EX26" s="9" t="n">
        <v>5</v>
      </c>
      <c r="EY26" s="11" t="n">
        <f aca="false">(EU26+EV26+EW26+EX26)/4</f>
        <v>3.25</v>
      </c>
      <c r="EZ26" s="11" t="n">
        <f aca="false">(EU26/DR26)</f>
        <v>0</v>
      </c>
      <c r="FA26" s="11" t="n">
        <f aca="false">(EV26/DS26)</f>
        <v>0</v>
      </c>
      <c r="FB26" s="11" t="n">
        <f aca="false">(EW26/DT26)</f>
        <v>0.333333333333333</v>
      </c>
      <c r="FC26" s="11" t="n">
        <f aca="false">(EX26/DU26)</f>
        <v>0.0617283950617284</v>
      </c>
      <c r="FD26" s="11" t="n">
        <f aca="false">(EY26/DV26)</f>
        <v>0.08125</v>
      </c>
      <c r="FE26" s="11" t="n">
        <f aca="false">(100*FD26)</f>
        <v>8.125</v>
      </c>
      <c r="FF26" s="9" t="n">
        <v>1</v>
      </c>
      <c r="FG26" s="9" t="n">
        <v>16</v>
      </c>
      <c r="FH26" s="9" t="n">
        <v>35</v>
      </c>
      <c r="FI26" s="9" t="n">
        <v>20</v>
      </c>
      <c r="FJ26" s="9" t="n">
        <v>10</v>
      </c>
      <c r="FK26" s="11" t="n">
        <f aca="false">(FG26+FH26+FI26+FJ26)/4</f>
        <v>20.25</v>
      </c>
      <c r="FL26" s="11" t="n">
        <f aca="false">(FG26/DR26)</f>
        <v>0.761904761904762</v>
      </c>
      <c r="FM26" s="11" t="n">
        <f aca="false">(FH26/DS26)</f>
        <v>1.02941176470588</v>
      </c>
      <c r="FN26" s="11" t="n">
        <f aca="false">(FI26/DT26)</f>
        <v>0.833333333333333</v>
      </c>
      <c r="FO26" s="11" t="n">
        <f aca="false">(FJ26/DU26)</f>
        <v>0.123456790123457</v>
      </c>
      <c r="FP26" s="11" t="n">
        <f aca="false">(FK26/DV26)</f>
        <v>0.50625</v>
      </c>
      <c r="FQ26" s="11" t="n">
        <f aca="false">(100*FP26)</f>
        <v>50.625</v>
      </c>
      <c r="FR26" s="9" t="n">
        <v>3</v>
      </c>
      <c r="FS26" s="9" t="n">
        <v>56.3</v>
      </c>
      <c r="FT26" s="9" t="n">
        <v>63.2</v>
      </c>
      <c r="FU26" s="9" t="n">
        <v>67.5</v>
      </c>
      <c r="FV26" s="9" t="n">
        <v>77.9</v>
      </c>
      <c r="FW26" s="11" t="n">
        <f aca="false">(FS26+FT26+FU26+FV26)/4</f>
        <v>66.225</v>
      </c>
      <c r="FX26" s="9" t="n">
        <v>0</v>
      </c>
      <c r="FY26" s="9" t="n">
        <v>0</v>
      </c>
      <c r="FZ26" s="9" t="n">
        <v>0</v>
      </c>
      <c r="GA26" s="9" t="n">
        <v>0</v>
      </c>
      <c r="GB26" s="11" t="n">
        <f aca="false">(FX26+FY26+FZ26+GA26)/4</f>
        <v>0</v>
      </c>
      <c r="GC26" s="9" t="n">
        <v>1</v>
      </c>
      <c r="GD26" s="9" t="n">
        <v>1</v>
      </c>
      <c r="GE26" s="9" t="n">
        <v>0</v>
      </c>
      <c r="GF26" s="9" t="n">
        <v>1</v>
      </c>
      <c r="GG26" s="11" t="n">
        <f aca="false">(GC26+GD26+GE26+GF26)/4</f>
        <v>0.75</v>
      </c>
      <c r="GH26" s="9" t="n">
        <v>1</v>
      </c>
      <c r="GI26" s="9" t="n">
        <v>1</v>
      </c>
      <c r="GJ26" s="9" t="n">
        <v>1</v>
      </c>
      <c r="GK26" s="9" t="n">
        <v>1</v>
      </c>
      <c r="GL26" s="11" t="n">
        <f aca="false">(GH26+GI26+GJ26+GK26)/4</f>
        <v>1</v>
      </c>
      <c r="GM26" s="9" t="n">
        <v>78</v>
      </c>
      <c r="GN26" s="9" t="n">
        <v>39</v>
      </c>
      <c r="GO26" s="9" t="n">
        <v>51</v>
      </c>
      <c r="GP26" s="9" t="n">
        <v>35</v>
      </c>
      <c r="GQ26" s="11" t="n">
        <f aca="false">(GM26+GN26+GO26+GP26)/4</f>
        <v>50.75</v>
      </c>
      <c r="GR26" s="9" t="n">
        <v>52</v>
      </c>
      <c r="GS26" s="9" t="n">
        <v>16</v>
      </c>
      <c r="GT26" s="9" t="n">
        <v>13</v>
      </c>
      <c r="GU26" s="9" t="n">
        <v>32</v>
      </c>
      <c r="GV26" s="11" t="n">
        <f aca="false">(GR26+GS26+GT26+GU26)/4</f>
        <v>28.25</v>
      </c>
      <c r="GW26" s="9" t="n">
        <v>0</v>
      </c>
      <c r="GX26" s="9" t="n">
        <v>0</v>
      </c>
      <c r="GY26" s="9" t="n">
        <v>0</v>
      </c>
      <c r="GZ26" s="9" t="n">
        <v>0</v>
      </c>
      <c r="HA26" s="11" t="n">
        <f aca="false">(GW26+GX26+GY26+GZ26)/4</f>
        <v>0</v>
      </c>
      <c r="HB26" s="9" t="n">
        <f aca="false">(GW26/GR26)</f>
        <v>0</v>
      </c>
      <c r="HC26" s="9" t="n">
        <f aca="false">(GX26/GS26)</f>
        <v>0</v>
      </c>
      <c r="HD26" s="9" t="n">
        <f aca="false">(GY26/GT26)</f>
        <v>0</v>
      </c>
      <c r="HE26" s="9" t="n">
        <f aca="false">(GZ26/GU26)/4</f>
        <v>0</v>
      </c>
      <c r="HF26" s="9" t="n">
        <f aca="false">(HB26+HC26+HD26+HE26)/4</f>
        <v>0</v>
      </c>
      <c r="HG26" s="9" t="n">
        <f aca="false">(100*HF26)</f>
        <v>0</v>
      </c>
      <c r="HH26" s="18" t="n">
        <v>0</v>
      </c>
      <c r="HI26" s="9" t="n">
        <v>5</v>
      </c>
      <c r="HJ26" s="9" t="n">
        <v>2</v>
      </c>
      <c r="HK26" s="9" t="n">
        <v>0</v>
      </c>
      <c r="HL26" s="19" t="n">
        <v>3</v>
      </c>
      <c r="HM26" s="9" t="n">
        <f aca="false">(HI26+HJ26+HK26+HL26)/4</f>
        <v>2.5</v>
      </c>
      <c r="HN26" s="9" t="n">
        <f aca="false">(HI26/GR26)</f>
        <v>0.0961538461538462</v>
      </c>
      <c r="HO26" s="9" t="n">
        <f aca="false">(HJ26/GS26)</f>
        <v>0.125</v>
      </c>
      <c r="HP26" s="9" t="n">
        <f aca="false">(HK26/GT26)</f>
        <v>0</v>
      </c>
      <c r="HQ26" s="9" t="n">
        <f aca="false">(HL26/GU26)</f>
        <v>0.09375</v>
      </c>
      <c r="HR26" s="9" t="n">
        <f aca="false">(HM26/GV26)</f>
        <v>0.0884955752212389</v>
      </c>
      <c r="HS26" s="9" t="n">
        <f aca="false">(100*HR26)</f>
        <v>8.84955752212389</v>
      </c>
      <c r="HT26" s="18" t="n">
        <v>1</v>
      </c>
      <c r="HU26" s="9" t="n">
        <v>0</v>
      </c>
      <c r="HV26" s="9" t="n">
        <v>0</v>
      </c>
      <c r="HW26" s="9" t="n">
        <v>0</v>
      </c>
      <c r="HX26" s="19" t="n">
        <v>3</v>
      </c>
      <c r="HY26" s="9" t="n">
        <f aca="false">(HU26+HV26+HW26+HX26)/4</f>
        <v>0.75</v>
      </c>
      <c r="HZ26" s="9" t="n">
        <f aca="false">(HU26/GR26)</f>
        <v>0</v>
      </c>
      <c r="IA26" s="9" t="n">
        <f aca="false">HV26/GS26</f>
        <v>0</v>
      </c>
      <c r="IB26" s="9" t="n">
        <f aca="false">(HW26/GT26)</f>
        <v>0</v>
      </c>
      <c r="IC26" s="9" t="n">
        <f aca="false">(HX26/GU26)</f>
        <v>0.09375</v>
      </c>
      <c r="ID26" s="9" t="n">
        <f aca="false">(HY26/GV26)</f>
        <v>0.0265486725663717</v>
      </c>
      <c r="IE26" s="9" t="n">
        <f aca="false">(100*ID26)</f>
        <v>2.65486725663717</v>
      </c>
      <c r="IF26" s="18" t="n">
        <v>1</v>
      </c>
      <c r="IG26" s="9" t="n">
        <v>16</v>
      </c>
      <c r="IH26" s="9" t="n">
        <v>10</v>
      </c>
      <c r="II26" s="19" t="n">
        <v>16</v>
      </c>
      <c r="IJ26" s="9" t="n">
        <v>7</v>
      </c>
      <c r="IK26" s="9" t="n">
        <f aca="false">(IG26+IH26+II26+IJ26)/4</f>
        <v>12.25</v>
      </c>
      <c r="IL26" s="9" t="n">
        <f aca="false">(IG26/GM26)</f>
        <v>0.205128205128205</v>
      </c>
      <c r="IM26" s="9" t="n">
        <f aca="false">(IH26/GN26)</f>
        <v>0.256410256410256</v>
      </c>
      <c r="IN26" s="9" t="n">
        <f aca="false">(II26/GO26)</f>
        <v>0.313725490196078</v>
      </c>
      <c r="IO26" s="9" t="n">
        <f aca="false">(IJ26/GP26)</f>
        <v>0.2</v>
      </c>
      <c r="IP26" s="9" t="n">
        <f aca="false">(IK26/GQ26)</f>
        <v>0.241379310344828</v>
      </c>
      <c r="IQ26" s="9" t="n">
        <f aca="false">(100*IP26)</f>
        <v>24.1379310344828</v>
      </c>
      <c r="IR26" s="18" t="n">
        <v>2</v>
      </c>
      <c r="IS26" s="9" t="n">
        <v>70.1</v>
      </c>
      <c r="IT26" s="9" t="n">
        <v>55.6</v>
      </c>
      <c r="IU26" s="19" t="n">
        <v>75.1</v>
      </c>
      <c r="IV26" s="9" t="n">
        <v>80.6</v>
      </c>
      <c r="IW26" s="9" t="n">
        <f aca="false">(IS26+IT26+IU26+IV26)/4</f>
        <v>70.35</v>
      </c>
      <c r="IX26" s="16" t="n">
        <v>45206</v>
      </c>
      <c r="IY26" s="10" t="s">
        <v>268</v>
      </c>
    </row>
    <row r="27" customFormat="false" ht="15.75" hidden="false" customHeight="true" outlineLevel="0" collapsed="false">
      <c r="A27" s="9" t="s">
        <v>299</v>
      </c>
      <c r="B27" s="10" t="s">
        <v>329</v>
      </c>
      <c r="C27" s="10" t="s">
        <v>261</v>
      </c>
      <c r="D27" s="9" t="n">
        <v>5</v>
      </c>
      <c r="E27" s="9" t="n">
        <v>9</v>
      </c>
      <c r="F27" s="10" t="s">
        <v>334</v>
      </c>
      <c r="G27" s="10" t="s">
        <v>297</v>
      </c>
      <c r="H27" s="9" t="n">
        <v>21</v>
      </c>
      <c r="I27" s="9" t="n">
        <v>12</v>
      </c>
      <c r="J27" s="12" t="s">
        <v>270</v>
      </c>
      <c r="K27" s="20"/>
      <c r="L27" s="20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 t="n">
        <v>0</v>
      </c>
      <c r="Y27" s="9" t="n">
        <v>0</v>
      </c>
      <c r="Z27" s="9" t="n">
        <v>0</v>
      </c>
      <c r="AA27" s="9" t="n">
        <v>0</v>
      </c>
      <c r="AB27" s="11" t="n">
        <f aca="false">(X27+Y27+Z27+AA27)/4</f>
        <v>0</v>
      </c>
      <c r="AC27" s="9" t="n">
        <v>1</v>
      </c>
      <c r="AD27" s="9" t="n">
        <v>1</v>
      </c>
      <c r="AE27" s="9" t="n">
        <v>1</v>
      </c>
      <c r="AF27" s="9" t="n">
        <v>1</v>
      </c>
      <c r="AG27" s="11" t="n">
        <f aca="false">(AC27+AD27+AE27+AF27)/4</f>
        <v>1</v>
      </c>
      <c r="AH27" s="9" t="n">
        <v>1</v>
      </c>
      <c r="AI27" s="9" t="n">
        <v>1</v>
      </c>
      <c r="AJ27" s="9" t="n">
        <v>1</v>
      </c>
      <c r="AK27" s="9" t="n">
        <v>1</v>
      </c>
      <c r="AL27" s="11" t="n">
        <f aca="false">(AH27+AI27+AJ27+AK27)/4</f>
        <v>1</v>
      </c>
      <c r="AM27" s="9" t="n">
        <v>72</v>
      </c>
      <c r="AN27" s="9" t="n">
        <v>199</v>
      </c>
      <c r="AO27" s="9" t="n">
        <v>8</v>
      </c>
      <c r="AP27" s="9" t="n">
        <v>206</v>
      </c>
      <c r="AQ27" s="11" t="n">
        <f aca="false">(AM27+AN27+AO27+AP27)/4</f>
        <v>121.25</v>
      </c>
      <c r="AR27" s="9" t="n">
        <v>7</v>
      </c>
      <c r="AS27" s="9" t="n">
        <v>21</v>
      </c>
      <c r="AT27" s="9" t="n">
        <v>8</v>
      </c>
      <c r="AU27" s="9" t="n">
        <v>65</v>
      </c>
      <c r="AV27" s="11" t="n">
        <f aca="false">(AR27+AS27+AT27+AU27)/4</f>
        <v>25.25</v>
      </c>
      <c r="AW27" s="9" t="n">
        <v>0</v>
      </c>
      <c r="AX27" s="9" t="n">
        <v>0</v>
      </c>
      <c r="AY27" s="9" t="n">
        <v>0</v>
      </c>
      <c r="AZ27" s="9" t="n">
        <v>0</v>
      </c>
      <c r="BA27" s="11" t="n">
        <f aca="false">(AW27+AX27+AY27+AZ27)/4</f>
        <v>0</v>
      </c>
      <c r="BB27" s="11" t="n">
        <f aca="false">(AW27/AR27)</f>
        <v>0</v>
      </c>
      <c r="BC27" s="11" t="n">
        <f aca="false">(AX27/AS27)</f>
        <v>0</v>
      </c>
      <c r="BD27" s="11" t="n">
        <f aca="false">(AY27/AT27)</f>
        <v>0</v>
      </c>
      <c r="BE27" s="11" t="n">
        <f aca="false">(AZ27/AU27)</f>
        <v>0</v>
      </c>
      <c r="BF27" s="11" t="n">
        <f aca="false">(BA27/AV27)</f>
        <v>0</v>
      </c>
      <c r="BG27" s="11" t="n">
        <f aca="false">(BF27*100)</f>
        <v>0</v>
      </c>
      <c r="BH27" s="9" t="n">
        <v>0</v>
      </c>
      <c r="BI27" s="9" t="n">
        <v>4</v>
      </c>
      <c r="BJ27" s="9" t="n">
        <v>12</v>
      </c>
      <c r="BK27" s="9" t="n">
        <v>3</v>
      </c>
      <c r="BL27" s="9" t="n">
        <v>5</v>
      </c>
      <c r="BM27" s="11" t="n">
        <f aca="false">(BI27+BJ27+BK27+BL27)/4</f>
        <v>6</v>
      </c>
      <c r="BN27" s="11" t="n">
        <f aca="false">(BI27/AR27)</f>
        <v>0.571428571428571</v>
      </c>
      <c r="BO27" s="11" t="n">
        <f aca="false">(BJ27/AS27)</f>
        <v>0.571428571428571</v>
      </c>
      <c r="BP27" s="11" t="n">
        <f aca="false">(BK27/AT27)</f>
        <v>0.375</v>
      </c>
      <c r="BQ27" s="11" t="n">
        <f aca="false">(BL27/AU27)</f>
        <v>0.0769230769230769</v>
      </c>
      <c r="BR27" s="11" t="n">
        <f aca="false">(BM27/AV27)</f>
        <v>0.237623762376238</v>
      </c>
      <c r="BS27" s="11" t="n">
        <f aca="false">(100*BR27)</f>
        <v>23.7623762376238</v>
      </c>
      <c r="BT27" s="9" t="n">
        <v>2</v>
      </c>
      <c r="BU27" s="9" t="n">
        <v>0</v>
      </c>
      <c r="BV27" s="9" t="n">
        <v>0</v>
      </c>
      <c r="BW27" s="9" t="n">
        <v>3</v>
      </c>
      <c r="BX27" s="9" t="n">
        <v>0</v>
      </c>
      <c r="BY27" s="11" t="n">
        <f aca="false">(BU27+BV27+BW27+BX27)/4</f>
        <v>0.75</v>
      </c>
      <c r="BZ27" s="11" t="n">
        <f aca="false">(BU27/AR27)</f>
        <v>0</v>
      </c>
      <c r="CA27" s="11" t="n">
        <f aca="false">(BV27/AS27)</f>
        <v>0</v>
      </c>
      <c r="CB27" s="11" t="n">
        <f aca="false">(BW27/AT27)</f>
        <v>0.375</v>
      </c>
      <c r="CC27" s="11" t="n">
        <f aca="false">(BX27/AU27)</f>
        <v>0</v>
      </c>
      <c r="CD27" s="11" t="n">
        <f aca="false">(BY27/AV27)</f>
        <v>0.0297029702970297</v>
      </c>
      <c r="CE27" s="11" t="n">
        <f aca="false">(100*CD27)</f>
        <v>2.97029702970297</v>
      </c>
      <c r="CF27" s="9" t="n">
        <v>1</v>
      </c>
      <c r="CG27" s="9" t="n">
        <v>11</v>
      </c>
      <c r="CH27" s="9" t="n">
        <v>5</v>
      </c>
      <c r="CI27" s="9" t="n">
        <v>3</v>
      </c>
      <c r="CJ27" s="9" t="n">
        <v>8</v>
      </c>
      <c r="CK27" s="11" t="n">
        <f aca="false">(CG27+CH27+CI27+CJ27)/4</f>
        <v>6.75</v>
      </c>
      <c r="CL27" s="11" t="n">
        <f aca="false">(CG27/AM27)</f>
        <v>0.152777777777778</v>
      </c>
      <c r="CM27" s="11" t="n">
        <f aca="false">(CH27/AN27)</f>
        <v>0.0251256281407035</v>
      </c>
      <c r="CN27" s="11" t="n">
        <f aca="false">(CI27/AO27)</f>
        <v>0.375</v>
      </c>
      <c r="CO27" s="9" t="n">
        <f aca="false">(CJ27/AP27)</f>
        <v>0.0388349514563107</v>
      </c>
      <c r="CP27" s="9" t="n">
        <f aca="false">(CK27/AQ27)</f>
        <v>0.0556701030927835</v>
      </c>
      <c r="CQ27" s="9" t="n">
        <f aca="false">(100*CP27)</f>
        <v>5.56701030927835</v>
      </c>
      <c r="CR27" s="18" t="n">
        <v>1</v>
      </c>
      <c r="CS27" s="9" t="n">
        <v>61.2</v>
      </c>
      <c r="CT27" s="9" t="n">
        <v>70.2</v>
      </c>
      <c r="CU27" s="9" t="n">
        <v>65.8</v>
      </c>
      <c r="CV27" s="9" t="n">
        <v>64.6</v>
      </c>
      <c r="CW27" s="11" t="n">
        <f aca="false">(CS27+CT27+CU27+CV27)/4</f>
        <v>65.45</v>
      </c>
      <c r="CX27" s="9" t="n">
        <v>0</v>
      </c>
      <c r="CY27" s="9" t="n">
        <v>0</v>
      </c>
      <c r="CZ27" s="9" t="n">
        <v>0</v>
      </c>
      <c r="DA27" s="9" t="n">
        <v>0</v>
      </c>
      <c r="DB27" s="11" t="n">
        <f aca="false">(CX27+CY27+CZ27+DA27)/4</f>
        <v>0</v>
      </c>
      <c r="DC27" s="9" t="n">
        <v>1</v>
      </c>
      <c r="DD27" s="9" t="n">
        <v>1</v>
      </c>
      <c r="DE27" s="9" t="n">
        <v>1</v>
      </c>
      <c r="DF27" s="9" t="n">
        <v>1</v>
      </c>
      <c r="DG27" s="11" t="n">
        <f aca="false">(DC27+DD27+DE27+DF27)/4</f>
        <v>1</v>
      </c>
      <c r="DH27" s="9" t="n">
        <v>1</v>
      </c>
      <c r="DI27" s="9" t="n">
        <v>1</v>
      </c>
      <c r="DJ27" s="9" t="n">
        <v>1</v>
      </c>
      <c r="DK27" s="9" t="n">
        <v>1</v>
      </c>
      <c r="DL27" s="11" t="n">
        <f aca="false">(DH27+DI27+DJ27+DK27)/4</f>
        <v>1</v>
      </c>
      <c r="DM27" s="9" t="n">
        <v>218</v>
      </c>
      <c r="DN27" s="9" t="n">
        <v>220</v>
      </c>
      <c r="DO27" s="9" t="n">
        <v>235</v>
      </c>
      <c r="DP27" s="9" t="n">
        <v>218</v>
      </c>
      <c r="DQ27" s="11" t="n">
        <f aca="false">(DM27+DN27+DO27+DP27)/4</f>
        <v>222.75</v>
      </c>
      <c r="DR27" s="9" t="n">
        <v>62</v>
      </c>
      <c r="DS27" s="9" t="n">
        <v>13</v>
      </c>
      <c r="DT27" s="9" t="n">
        <v>48</v>
      </c>
      <c r="DU27" s="9" t="n">
        <v>46</v>
      </c>
      <c r="DV27" s="11" t="n">
        <f aca="false">(DR27+DS27+DT27+DU27)/4</f>
        <v>42.25</v>
      </c>
      <c r="DW27" s="9" t="n">
        <v>0</v>
      </c>
      <c r="DX27" s="9" t="n">
        <v>0</v>
      </c>
      <c r="DY27" s="9" t="n">
        <v>0</v>
      </c>
      <c r="DZ27" s="9" t="n">
        <v>0</v>
      </c>
      <c r="EA27" s="11" t="n">
        <f aca="false">(DW27+DX27+DY27+DZ27)/4</f>
        <v>0</v>
      </c>
      <c r="EB27" s="11" t="n">
        <f aca="false">(DW27/DR27)</f>
        <v>0</v>
      </c>
      <c r="EC27" s="11" t="n">
        <f aca="false">(DX27/DS27)</f>
        <v>0</v>
      </c>
      <c r="ED27" s="11" t="n">
        <f aca="false">(DY27/DT27)</f>
        <v>0</v>
      </c>
      <c r="EE27" s="11" t="n">
        <f aca="false">(DZ27/DU27)</f>
        <v>0</v>
      </c>
      <c r="EF27" s="11" t="n">
        <f aca="false">(EA27/DV27)</f>
        <v>0</v>
      </c>
      <c r="EG27" s="11" t="n">
        <f aca="false">(100*EF27)</f>
        <v>0</v>
      </c>
      <c r="EH27" s="9" t="n">
        <v>0</v>
      </c>
      <c r="EI27" s="9" t="n">
        <v>3</v>
      </c>
      <c r="EJ27" s="9" t="n">
        <v>0</v>
      </c>
      <c r="EK27" s="19" t="n">
        <v>0</v>
      </c>
      <c r="EL27" s="9" t="n">
        <v>0</v>
      </c>
      <c r="EM27" s="9" t="n">
        <f aca="false">(EI27+EJ27+EK27+EL27)/4</f>
        <v>0.75</v>
      </c>
      <c r="EN27" s="9" t="n">
        <f aca="false">(EI27/DR27)</f>
        <v>0.0483870967741936</v>
      </c>
      <c r="EO27" s="9" t="n">
        <f aca="false">(EJ27/DS27)</f>
        <v>0</v>
      </c>
      <c r="EP27" s="9" t="n">
        <f aca="false">(EK27/DT27)</f>
        <v>0</v>
      </c>
      <c r="EQ27" s="9" t="n">
        <f aca="false">(EL27/DU27)</f>
        <v>0</v>
      </c>
      <c r="ER27" s="9" t="n">
        <f aca="false">EM27/DV27</f>
        <v>0.0177514792899408</v>
      </c>
      <c r="ES27" s="9" t="n">
        <f aca="false">(100*ER27)</f>
        <v>1.77514792899408</v>
      </c>
      <c r="ET27" s="9" t="n">
        <v>1</v>
      </c>
      <c r="EU27" s="18" t="n">
        <v>0</v>
      </c>
      <c r="EV27" s="9" t="n">
        <v>0</v>
      </c>
      <c r="EW27" s="9" t="n">
        <v>0</v>
      </c>
      <c r="EX27" s="9" t="n">
        <v>0</v>
      </c>
      <c r="EY27" s="11" t="n">
        <f aca="false">(EU27+EV27+EW27+EX27)/4</f>
        <v>0</v>
      </c>
      <c r="EZ27" s="11" t="n">
        <f aca="false">(EU27/DR27)</f>
        <v>0</v>
      </c>
      <c r="FA27" s="11" t="n">
        <f aca="false">(EV27/DS27)</f>
        <v>0</v>
      </c>
      <c r="FB27" s="11" t="n">
        <f aca="false">(EW27/DT27)</f>
        <v>0</v>
      </c>
      <c r="FC27" s="11" t="n">
        <f aca="false">(EX27/DU27)</f>
        <v>0</v>
      </c>
      <c r="FD27" s="11" t="n">
        <f aca="false">(EY27/DV27)</f>
        <v>0</v>
      </c>
      <c r="FE27" s="11" t="n">
        <f aca="false">(100*FD27)</f>
        <v>0</v>
      </c>
      <c r="FF27" s="9" t="n">
        <v>0</v>
      </c>
      <c r="FG27" s="9" t="n">
        <v>19</v>
      </c>
      <c r="FH27" s="9" t="n">
        <v>11</v>
      </c>
      <c r="FI27" s="9" t="n">
        <v>19</v>
      </c>
      <c r="FJ27" s="9" t="n">
        <v>18</v>
      </c>
      <c r="FK27" s="11" t="n">
        <f aca="false">(FG27+FH27+FI27+FJ27)/4</f>
        <v>16.75</v>
      </c>
      <c r="FL27" s="11" t="n">
        <f aca="false">(FG27/DR27)</f>
        <v>0.306451612903226</v>
      </c>
      <c r="FM27" s="11" t="n">
        <f aca="false">(FH27/DS27)</f>
        <v>0.846153846153846</v>
      </c>
      <c r="FN27" s="11" t="n">
        <f aca="false">(FI27/DT27)</f>
        <v>0.395833333333333</v>
      </c>
      <c r="FO27" s="11" t="n">
        <f aca="false">(FJ27/DU27)</f>
        <v>0.391304347826087</v>
      </c>
      <c r="FP27" s="11" t="n">
        <f aca="false">(FK27/DV27)</f>
        <v>0.396449704142012</v>
      </c>
      <c r="FQ27" s="11" t="n">
        <f aca="false">(100*FP27)</f>
        <v>39.6449704142012</v>
      </c>
      <c r="FR27" s="9" t="n">
        <v>3</v>
      </c>
      <c r="FS27" s="9" t="n">
        <v>66.9</v>
      </c>
      <c r="FT27" s="9"/>
      <c r="FU27" s="9" t="n">
        <v>67</v>
      </c>
      <c r="FV27" s="9" t="n">
        <v>65.2</v>
      </c>
      <c r="FW27" s="11" t="n">
        <f aca="false">(FS27+FT27+FU27+FV27)/4</f>
        <v>49.775</v>
      </c>
      <c r="FX27" s="9" t="n">
        <v>0</v>
      </c>
      <c r="FY27" s="9" t="n">
        <v>0</v>
      </c>
      <c r="FZ27" s="9" t="n">
        <v>0</v>
      </c>
      <c r="GA27" s="9" t="n">
        <v>0</v>
      </c>
      <c r="GB27" s="11" t="n">
        <f aca="false">(FX27+FY27+FZ27+GA27)/4</f>
        <v>0</v>
      </c>
      <c r="GC27" s="9" t="n">
        <v>1</v>
      </c>
      <c r="GD27" s="9" t="n">
        <v>1</v>
      </c>
      <c r="GE27" s="9" t="n">
        <v>0</v>
      </c>
      <c r="GF27" s="9" t="n">
        <v>0</v>
      </c>
      <c r="GG27" s="11" t="n">
        <f aca="false">(GC27+GD27+GE27+GF27)/4</f>
        <v>0.5</v>
      </c>
      <c r="GH27" s="9" t="n">
        <v>1</v>
      </c>
      <c r="GI27" s="9" t="n">
        <v>1</v>
      </c>
      <c r="GJ27" s="9" t="n">
        <v>1</v>
      </c>
      <c r="GK27" s="9" t="n">
        <v>1</v>
      </c>
      <c r="GL27" s="11" t="n">
        <f aca="false">(GH27+GI27+GJ27+GK27)/4</f>
        <v>1</v>
      </c>
      <c r="GM27" s="9" t="n">
        <v>265</v>
      </c>
      <c r="GN27" s="9" t="n">
        <v>253</v>
      </c>
      <c r="GO27" s="9" t="n">
        <v>135</v>
      </c>
      <c r="GP27" s="9" t="n">
        <v>122</v>
      </c>
      <c r="GQ27" s="11" t="n">
        <f aca="false">(GM27+GN27+GO27+GP27)/4</f>
        <v>193.75</v>
      </c>
      <c r="GR27" s="9" t="n">
        <v>12</v>
      </c>
      <c r="GS27" s="9" t="n">
        <v>11</v>
      </c>
      <c r="GT27" s="9" t="n">
        <v>13</v>
      </c>
      <c r="GU27" s="9" t="n">
        <v>19</v>
      </c>
      <c r="GV27" s="11" t="n">
        <f aca="false">(GR27+GS27+GT27+GU27)/4</f>
        <v>13.75</v>
      </c>
      <c r="GW27" s="9" t="n">
        <v>0</v>
      </c>
      <c r="GX27" s="9" t="n">
        <v>0</v>
      </c>
      <c r="GY27" s="9" t="n">
        <v>0</v>
      </c>
      <c r="GZ27" s="9" t="n">
        <v>0</v>
      </c>
      <c r="HA27" s="11" t="n">
        <f aca="false">(GW27+GX27+GY27+GZ27)/4</f>
        <v>0</v>
      </c>
      <c r="HB27" s="9" t="n">
        <f aca="false">(GW27/GR27)</f>
        <v>0</v>
      </c>
      <c r="HC27" s="9" t="n">
        <f aca="false">(GX27/GS27)</f>
        <v>0</v>
      </c>
      <c r="HD27" s="9" t="n">
        <f aca="false">(GY27/GT27)</f>
        <v>0</v>
      </c>
      <c r="HE27" s="9" t="n">
        <f aca="false">(GZ27/GU27)/4</f>
        <v>0</v>
      </c>
      <c r="HF27" s="9" t="n">
        <f aca="false">(HB27+HC27+HD27+HE27)/4</f>
        <v>0</v>
      </c>
      <c r="HG27" s="9" t="n">
        <f aca="false">(100*HF27)</f>
        <v>0</v>
      </c>
      <c r="HH27" s="18" t="n">
        <v>0</v>
      </c>
      <c r="HI27" s="9" t="n">
        <v>5</v>
      </c>
      <c r="HJ27" s="9" t="n">
        <v>3</v>
      </c>
      <c r="HK27" s="9" t="n">
        <v>0</v>
      </c>
      <c r="HL27" s="19" t="n">
        <v>0</v>
      </c>
      <c r="HM27" s="9" t="n">
        <f aca="false">(HI27+HJ27+HK27+HL27)/4</f>
        <v>2</v>
      </c>
      <c r="HN27" s="9" t="n">
        <f aca="false">(HI27/GR27)</f>
        <v>0.416666666666667</v>
      </c>
      <c r="HO27" s="9" t="n">
        <f aca="false">(HJ27/GS27)</f>
        <v>0.272727272727273</v>
      </c>
      <c r="HP27" s="9" t="n">
        <f aca="false">(HK27/GT27)</f>
        <v>0</v>
      </c>
      <c r="HQ27" s="9" t="n">
        <f aca="false">(HL27/GU27)</f>
        <v>0</v>
      </c>
      <c r="HR27" s="9" t="n">
        <f aca="false">(HM27/GV27)</f>
        <v>0.145454545454545</v>
      </c>
      <c r="HS27" s="9" t="n">
        <f aca="false">(100*HR27)</f>
        <v>14.5454545454545</v>
      </c>
      <c r="HT27" s="18" t="n">
        <v>2</v>
      </c>
      <c r="HU27" s="9" t="n">
        <v>0</v>
      </c>
      <c r="HV27" s="9" t="n">
        <v>0</v>
      </c>
      <c r="HW27" s="9" t="n">
        <v>4</v>
      </c>
      <c r="HX27" s="19" t="n">
        <v>0</v>
      </c>
      <c r="HY27" s="9" t="n">
        <f aca="false">(HU27+HV27+HW27+HX27)/4</f>
        <v>1</v>
      </c>
      <c r="HZ27" s="9" t="n">
        <f aca="false">(HU27/GR27)</f>
        <v>0</v>
      </c>
      <c r="IA27" s="9" t="n">
        <f aca="false">HV27/GS27</f>
        <v>0</v>
      </c>
      <c r="IB27" s="9" t="n">
        <f aca="false">(HW27/GT27)</f>
        <v>0.307692307692308</v>
      </c>
      <c r="IC27" s="9" t="n">
        <f aca="false">(HX27/GU27)</f>
        <v>0</v>
      </c>
      <c r="ID27" s="9" t="n">
        <f aca="false">(HY27/GV27)</f>
        <v>0.0727272727272727</v>
      </c>
      <c r="IE27" s="9" t="n">
        <f aca="false">(100*ID27)</f>
        <v>7.27272727272727</v>
      </c>
      <c r="IF27" s="18" t="n">
        <v>1</v>
      </c>
      <c r="IG27" s="9" t="n">
        <v>22</v>
      </c>
      <c r="IH27" s="9" t="n">
        <v>11</v>
      </c>
      <c r="II27" s="19" t="n">
        <v>0</v>
      </c>
      <c r="IJ27" s="9" t="n">
        <v>2</v>
      </c>
      <c r="IK27" s="9" t="n">
        <f aca="false">(IG27+IH27+II27+IJ27)/4</f>
        <v>8.75</v>
      </c>
      <c r="IL27" s="9" t="n">
        <f aca="false">(IG27/GM27)</f>
        <v>0.0830188679245283</v>
      </c>
      <c r="IM27" s="9" t="n">
        <f aca="false">(IH27/GN27)</f>
        <v>0.0434782608695652</v>
      </c>
      <c r="IN27" s="9" t="n">
        <f aca="false">(II27/GO27)</f>
        <v>0</v>
      </c>
      <c r="IO27" s="9" t="n">
        <f aca="false">(IJ27/GP27)</f>
        <v>0.0163934426229508</v>
      </c>
      <c r="IP27" s="9" t="n">
        <f aca="false">(IK27/GQ27)</f>
        <v>0.0451612903225806</v>
      </c>
      <c r="IQ27" s="9" t="n">
        <f aca="false">(100*IP27)</f>
        <v>4.51612903225806</v>
      </c>
      <c r="IR27" s="18" t="n">
        <v>1</v>
      </c>
      <c r="IS27" s="9" t="n">
        <v>68.4</v>
      </c>
      <c r="IT27" s="9" t="n">
        <v>57.1</v>
      </c>
      <c r="IU27" s="19" t="n">
        <v>65.9</v>
      </c>
      <c r="IV27" s="9" t="n">
        <v>67.3</v>
      </c>
      <c r="IW27" s="9" t="n">
        <f aca="false">(IS27+IT27+IU27+IV27)/4</f>
        <v>64.675</v>
      </c>
      <c r="IX27" s="16" t="n">
        <v>45206</v>
      </c>
      <c r="IY27" s="10" t="s">
        <v>268</v>
      </c>
    </row>
    <row r="28" customFormat="false" ht="15.75" hidden="false" customHeight="true" outlineLevel="0" collapsed="false">
      <c r="A28" s="9" t="s">
        <v>299</v>
      </c>
      <c r="B28" s="10" t="s">
        <v>329</v>
      </c>
      <c r="C28" s="10" t="s">
        <v>261</v>
      </c>
      <c r="D28" s="9" t="n">
        <v>5</v>
      </c>
      <c r="E28" s="9" t="n">
        <v>9</v>
      </c>
      <c r="F28" s="10" t="s">
        <v>335</v>
      </c>
      <c r="G28" s="10" t="s">
        <v>297</v>
      </c>
      <c r="H28" s="9" t="n">
        <v>21</v>
      </c>
      <c r="I28" s="9" t="n">
        <v>20</v>
      </c>
      <c r="J28" s="10" t="s">
        <v>272</v>
      </c>
      <c r="K28" s="20"/>
      <c r="L28" s="20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 t="n">
        <v>1</v>
      </c>
      <c r="Y28" s="9" t="n">
        <v>0</v>
      </c>
      <c r="Z28" s="9" t="n">
        <v>0</v>
      </c>
      <c r="AA28" s="9" t="n">
        <v>0</v>
      </c>
      <c r="AB28" s="11" t="n">
        <f aca="false">(X28+Y28+Z28+AA28)/4</f>
        <v>0.25</v>
      </c>
      <c r="AC28" s="9" t="n">
        <v>0</v>
      </c>
      <c r="AD28" s="9" t="n">
        <v>0</v>
      </c>
      <c r="AE28" s="9" t="n">
        <v>1</v>
      </c>
      <c r="AF28" s="9" t="n">
        <v>0</v>
      </c>
      <c r="AG28" s="11" t="n">
        <f aca="false">(AC28+AD28+AE28+AF28)/4</f>
        <v>0.25</v>
      </c>
      <c r="AH28" s="9" t="n">
        <v>1</v>
      </c>
      <c r="AI28" s="9" t="n">
        <v>1</v>
      </c>
      <c r="AJ28" s="9" t="n">
        <v>1</v>
      </c>
      <c r="AK28" s="9" t="n">
        <v>1</v>
      </c>
      <c r="AL28" s="11" t="n">
        <f aca="false">(AH28+AI28+AJ28+AK28)/4</f>
        <v>1</v>
      </c>
      <c r="AM28" s="9" t="n">
        <v>45</v>
      </c>
      <c r="AN28" s="9" t="n">
        <v>107</v>
      </c>
      <c r="AO28" s="9" t="n">
        <v>61</v>
      </c>
      <c r="AP28" s="9" t="n">
        <v>112</v>
      </c>
      <c r="AQ28" s="11" t="n">
        <f aca="false">(AM28+AN28+AO28+AP28)/4</f>
        <v>81.25</v>
      </c>
      <c r="AR28" s="9" t="n">
        <v>8</v>
      </c>
      <c r="AS28" s="9" t="n">
        <v>8</v>
      </c>
      <c r="AT28" s="9" t="n">
        <v>6</v>
      </c>
      <c r="AU28" s="9" t="n">
        <v>8</v>
      </c>
      <c r="AV28" s="11" t="n">
        <f aca="false">(AR28+AS28+AT28+AU28)/4</f>
        <v>7.5</v>
      </c>
      <c r="AW28" s="9" t="n">
        <v>1</v>
      </c>
      <c r="AX28" s="9" t="n">
        <v>0</v>
      </c>
      <c r="AY28" s="9" t="n">
        <v>0</v>
      </c>
      <c r="AZ28" s="9" t="n">
        <v>0</v>
      </c>
      <c r="BA28" s="11" t="n">
        <f aca="false">(AW28+AX28+AY28+AZ28)/4</f>
        <v>0.25</v>
      </c>
      <c r="BB28" s="11" t="n">
        <f aca="false">(AW28/AR28)</f>
        <v>0.125</v>
      </c>
      <c r="BC28" s="11" t="n">
        <f aca="false">(AX28/AS28)</f>
        <v>0</v>
      </c>
      <c r="BD28" s="11" t="n">
        <f aca="false">(AY28/AT28)</f>
        <v>0</v>
      </c>
      <c r="BE28" s="11" t="n">
        <f aca="false">(AZ28/AU28)</f>
        <v>0</v>
      </c>
      <c r="BF28" s="11" t="n">
        <f aca="false">(BA28/AV28)</f>
        <v>0.0333333333333333</v>
      </c>
      <c r="BG28" s="11" t="n">
        <f aca="false">(BF28*100)</f>
        <v>3.33333333333333</v>
      </c>
      <c r="BH28" s="9" t="n">
        <v>1</v>
      </c>
      <c r="BI28" s="9" t="n">
        <v>0</v>
      </c>
      <c r="BJ28" s="9" t="n">
        <v>0</v>
      </c>
      <c r="BK28" s="9" t="n">
        <v>1</v>
      </c>
      <c r="BL28" s="9" t="n">
        <v>0</v>
      </c>
      <c r="BM28" s="11" t="n">
        <f aca="false">(BI28+BJ28+BK28+BL28)/4</f>
        <v>0.25</v>
      </c>
      <c r="BN28" s="11" t="n">
        <f aca="false">(BI28/AR28)</f>
        <v>0</v>
      </c>
      <c r="BO28" s="11" t="n">
        <f aca="false">(BJ28/AS28)</f>
        <v>0</v>
      </c>
      <c r="BP28" s="11" t="n">
        <f aca="false">(BK28/AT28)</f>
        <v>0.166666666666667</v>
      </c>
      <c r="BQ28" s="11" t="n">
        <f aca="false">(BL28/AU28)</f>
        <v>0</v>
      </c>
      <c r="BR28" s="11" t="n">
        <f aca="false">(BM28/AV28)</f>
        <v>0.0333333333333333</v>
      </c>
      <c r="BS28" s="11" t="n">
        <f aca="false">(100*BR28)</f>
        <v>3.33333333333333</v>
      </c>
      <c r="BT28" s="9" t="n">
        <v>1</v>
      </c>
      <c r="BU28" s="9" t="n">
        <v>2</v>
      </c>
      <c r="BV28" s="9" t="n">
        <v>2</v>
      </c>
      <c r="BW28" s="9" t="n">
        <v>0</v>
      </c>
      <c r="BX28" s="9" t="n">
        <v>0</v>
      </c>
      <c r="BY28" s="11" t="n">
        <f aca="false">(BU28+BV28+BW28+BX28)/4</f>
        <v>1</v>
      </c>
      <c r="BZ28" s="11" t="n">
        <f aca="false">(BU28/AR28)</f>
        <v>0.25</v>
      </c>
      <c r="CA28" s="11" t="n">
        <f aca="false">(BV28/AS28)</f>
        <v>0.25</v>
      </c>
      <c r="CB28" s="11" t="n">
        <f aca="false">(BW28/AT28)</f>
        <v>0</v>
      </c>
      <c r="CC28" s="11" t="n">
        <f aca="false">(BX28/AU28)</f>
        <v>0</v>
      </c>
      <c r="CD28" s="11" t="n">
        <f aca="false">(BY28/AV28)</f>
        <v>0.133333333333333</v>
      </c>
      <c r="CE28" s="11" t="n">
        <f aca="false">(100*CD28)</f>
        <v>13.3333333333333</v>
      </c>
      <c r="CF28" s="9" t="n">
        <v>2</v>
      </c>
      <c r="CG28" s="9" t="n">
        <v>26</v>
      </c>
      <c r="CH28" s="9" t="n">
        <v>15</v>
      </c>
      <c r="CI28" s="9" t="n">
        <v>22</v>
      </c>
      <c r="CJ28" s="9" t="n">
        <v>25</v>
      </c>
      <c r="CK28" s="11" t="n">
        <f aca="false">(CG28+CH28+CI28+CJ28)/4</f>
        <v>22</v>
      </c>
      <c r="CL28" s="11" t="n">
        <f aca="false">(CG28/AM28)</f>
        <v>0.577777777777778</v>
      </c>
      <c r="CM28" s="11" t="n">
        <f aca="false">(CH28/AN28)</f>
        <v>0.14018691588785</v>
      </c>
      <c r="CN28" s="11" t="n">
        <f aca="false">(CI28/AO28)</f>
        <v>0.360655737704918</v>
      </c>
      <c r="CO28" s="9" t="n">
        <f aca="false">(CJ28/AP28)</f>
        <v>0.223214285714286</v>
      </c>
      <c r="CP28" s="9" t="n">
        <f aca="false">(CK28/AQ28)</f>
        <v>0.270769230769231</v>
      </c>
      <c r="CQ28" s="9" t="n">
        <f aca="false">(100*CP28)</f>
        <v>27.0769230769231</v>
      </c>
      <c r="CR28" s="18" t="n">
        <v>2</v>
      </c>
      <c r="CS28" s="9" t="n">
        <v>59.5</v>
      </c>
      <c r="CT28" s="9" t="n">
        <v>67.5</v>
      </c>
      <c r="CU28" s="9" t="n">
        <v>62.2</v>
      </c>
      <c r="CV28" s="9" t="n">
        <v>66.1</v>
      </c>
      <c r="CW28" s="11" t="n">
        <f aca="false">(CS28+CT28+CU28+CV28)/4</f>
        <v>63.825</v>
      </c>
      <c r="CX28" s="9" t="n">
        <v>0</v>
      </c>
      <c r="CY28" s="9" t="n">
        <v>1</v>
      </c>
      <c r="CZ28" s="9" t="n">
        <v>0</v>
      </c>
      <c r="DA28" s="9" t="n">
        <v>0</v>
      </c>
      <c r="DB28" s="11" t="n">
        <f aca="false">(CX28+CY28+CZ28+DA28)/4</f>
        <v>0.25</v>
      </c>
      <c r="DC28" s="9" t="n">
        <v>0</v>
      </c>
      <c r="DD28" s="9" t="n">
        <v>0</v>
      </c>
      <c r="DE28" s="9" t="n">
        <v>1</v>
      </c>
      <c r="DF28" s="9" t="n">
        <v>1</v>
      </c>
      <c r="DG28" s="11" t="n">
        <f aca="false">(DC28+DD28+DE28+DF28)/4</f>
        <v>0.5</v>
      </c>
      <c r="DH28" s="9" t="n">
        <v>1</v>
      </c>
      <c r="DI28" s="9" t="n">
        <v>1</v>
      </c>
      <c r="DJ28" s="9" t="n">
        <v>1</v>
      </c>
      <c r="DK28" s="9" t="n">
        <v>1</v>
      </c>
      <c r="DL28" s="11" t="n">
        <f aca="false">(DH28+DI28+DJ28+DK28)/4</f>
        <v>1</v>
      </c>
      <c r="DM28" s="9" t="n">
        <v>125</v>
      </c>
      <c r="DN28" s="9" t="n">
        <v>71</v>
      </c>
      <c r="DO28" s="9" t="n">
        <v>123</v>
      </c>
      <c r="DP28" s="9" t="n">
        <v>140</v>
      </c>
      <c r="DQ28" s="11" t="n">
        <f aca="false">(DM28+DN28+DO28+DP28)/4</f>
        <v>114.75</v>
      </c>
      <c r="DR28" s="9" t="n">
        <v>10</v>
      </c>
      <c r="DS28" s="9" t="n">
        <v>8</v>
      </c>
      <c r="DT28" s="9" t="n">
        <v>11</v>
      </c>
      <c r="DU28" s="9" t="n">
        <v>10</v>
      </c>
      <c r="DV28" s="11" t="n">
        <f aca="false">(DR28+DS28+DT28+DU28)/4</f>
        <v>9.75</v>
      </c>
      <c r="DW28" s="9" t="n">
        <v>0</v>
      </c>
      <c r="DX28" s="9" t="n">
        <v>5</v>
      </c>
      <c r="DY28" s="9" t="n">
        <v>0</v>
      </c>
      <c r="DZ28" s="9" t="n">
        <v>0</v>
      </c>
      <c r="EA28" s="11" t="n">
        <f aca="false">(DW28+DX28+DY28+DZ28)/4</f>
        <v>1.25</v>
      </c>
      <c r="EB28" s="11" t="n">
        <f aca="false">(DW28/DR28)</f>
        <v>0</v>
      </c>
      <c r="EC28" s="11" t="n">
        <f aca="false">(DX28/DS28)</f>
        <v>0.625</v>
      </c>
      <c r="ED28" s="11" t="n">
        <f aca="false">(DY28/DT28)</f>
        <v>0</v>
      </c>
      <c r="EE28" s="11" t="n">
        <f aca="false">(DZ28/DU28)</f>
        <v>0</v>
      </c>
      <c r="EF28" s="11" t="n">
        <f aca="false">(EA28/DV28)</f>
        <v>0.128205128205128</v>
      </c>
      <c r="EG28" s="11" t="n">
        <f aca="false">(100*EF28)</f>
        <v>12.8205128205128</v>
      </c>
      <c r="EH28" s="9" t="n">
        <v>2</v>
      </c>
      <c r="EI28" s="9" t="n">
        <v>0</v>
      </c>
      <c r="EJ28" s="9" t="n">
        <v>0</v>
      </c>
      <c r="EK28" s="19" t="n">
        <v>1</v>
      </c>
      <c r="EL28" s="9" t="n">
        <v>4</v>
      </c>
      <c r="EM28" s="9" t="n">
        <f aca="false">(EI28+EJ28+EK28+EL28)/4</f>
        <v>1.25</v>
      </c>
      <c r="EN28" s="9" t="n">
        <f aca="false">(EI28/DR28)</f>
        <v>0</v>
      </c>
      <c r="EO28" s="9" t="n">
        <f aca="false">(EJ28/DS28)</f>
        <v>0</v>
      </c>
      <c r="EP28" s="9" t="n">
        <f aca="false">(EK28/DT28)</f>
        <v>0.0909090909090909</v>
      </c>
      <c r="EQ28" s="9" t="n">
        <f aca="false">(EL28/DU28)</f>
        <v>0.4</v>
      </c>
      <c r="ER28" s="9" t="n">
        <f aca="false">EM28/DV28</f>
        <v>0.128205128205128</v>
      </c>
      <c r="ES28" s="9" t="n">
        <f aca="false">(100*ER28)</f>
        <v>12.8205128205128</v>
      </c>
      <c r="ET28" s="9" t="n">
        <v>2</v>
      </c>
      <c r="EU28" s="18" t="n">
        <v>3</v>
      </c>
      <c r="EV28" s="9" t="n">
        <v>0</v>
      </c>
      <c r="EW28" s="9" t="n">
        <v>0</v>
      </c>
      <c r="EX28" s="9" t="n">
        <v>0</v>
      </c>
      <c r="EY28" s="11" t="n">
        <f aca="false">(EU28+EV28+EW28+EX28)/4</f>
        <v>0.75</v>
      </c>
      <c r="EZ28" s="11" t="n">
        <f aca="false">(EU28/DR28)</f>
        <v>0.3</v>
      </c>
      <c r="FA28" s="11" t="n">
        <f aca="false">(EV28/DS28)</f>
        <v>0</v>
      </c>
      <c r="FB28" s="11" t="n">
        <f aca="false">(EW28/DT28)</f>
        <v>0</v>
      </c>
      <c r="FC28" s="11" t="n">
        <f aca="false">(EX28/DU28)</f>
        <v>0</v>
      </c>
      <c r="FD28" s="11" t="n">
        <f aca="false">(EY28/DV28)</f>
        <v>0.0769230769230769</v>
      </c>
      <c r="FE28" s="11" t="n">
        <f aca="false">(100*FD28)</f>
        <v>7.69230769230769</v>
      </c>
      <c r="FF28" s="9" t="n">
        <v>1</v>
      </c>
      <c r="FG28" s="9" t="n">
        <v>26</v>
      </c>
      <c r="FH28" s="9" t="n">
        <v>29</v>
      </c>
      <c r="FI28" s="9" t="n">
        <v>19</v>
      </c>
      <c r="FJ28" s="9" t="n">
        <v>9</v>
      </c>
      <c r="FK28" s="11" t="n">
        <f aca="false">(FG28+FH28+FI28+FJ28)/4</f>
        <v>20.75</v>
      </c>
      <c r="FL28" s="11" t="n">
        <f aca="false">(FG28/DR28)</f>
        <v>2.6</v>
      </c>
      <c r="FM28" s="11" t="n">
        <f aca="false">(FH28/DS28)</f>
        <v>3.625</v>
      </c>
      <c r="FN28" s="11" t="n">
        <f aca="false">(FI28/DT28)</f>
        <v>1.72727272727273</v>
      </c>
      <c r="FO28" s="11" t="n">
        <f aca="false">(FJ28/DU28)</f>
        <v>0.9</v>
      </c>
      <c r="FP28" s="11" t="n">
        <f aca="false">(FK28/DV28)</f>
        <v>2.12820512820513</v>
      </c>
      <c r="FQ28" s="11" t="n">
        <f aca="false">(100*FP28)</f>
        <v>212.820512820513</v>
      </c>
      <c r="FR28" s="9" t="n">
        <v>3</v>
      </c>
      <c r="FS28" s="9" t="n">
        <v>59.8</v>
      </c>
      <c r="FT28" s="9" t="n">
        <v>42.6</v>
      </c>
      <c r="FU28" s="9" t="n">
        <v>70.4</v>
      </c>
      <c r="FV28" s="9" t="n">
        <v>69.6</v>
      </c>
      <c r="FW28" s="11" t="n">
        <f aca="false">(FS28+FT28+FU28+FV28)/4</f>
        <v>60.6</v>
      </c>
      <c r="FX28" s="9" t="n">
        <v>0</v>
      </c>
      <c r="FY28" s="9" t="n">
        <v>0</v>
      </c>
      <c r="FZ28" s="9" t="n">
        <v>0</v>
      </c>
      <c r="GA28" s="9" t="n">
        <v>0</v>
      </c>
      <c r="GB28" s="11" t="n">
        <f aca="false">(FX28+FY28+FZ28+GA28)/4</f>
        <v>0</v>
      </c>
      <c r="GC28" s="9" t="n">
        <v>1</v>
      </c>
      <c r="GD28" s="9" t="n">
        <v>1</v>
      </c>
      <c r="GE28" s="9" t="n">
        <v>1</v>
      </c>
      <c r="GF28" s="9" t="n">
        <v>1</v>
      </c>
      <c r="GG28" s="11" t="n">
        <f aca="false">(GC28+GD28+GE28+GF28)/4</f>
        <v>1</v>
      </c>
      <c r="GH28" s="9" t="n">
        <v>1</v>
      </c>
      <c r="GI28" s="9" t="n">
        <v>1</v>
      </c>
      <c r="GJ28" s="9" t="n">
        <v>1</v>
      </c>
      <c r="GK28" s="9" t="n">
        <v>1</v>
      </c>
      <c r="GL28" s="11" t="n">
        <f aca="false">(GH28+GI28+GJ28+GK28)/4</f>
        <v>1</v>
      </c>
      <c r="GM28" s="9" t="n">
        <v>44</v>
      </c>
      <c r="GN28" s="9" t="n">
        <v>58</v>
      </c>
      <c r="GO28" s="9" t="n">
        <v>64</v>
      </c>
      <c r="GP28" s="9" t="n">
        <v>14</v>
      </c>
      <c r="GQ28" s="11" t="n">
        <f aca="false">(GM28+GN28+GO28+GP28)/4</f>
        <v>45</v>
      </c>
      <c r="GR28" s="9" t="n">
        <v>11</v>
      </c>
      <c r="GS28" s="9" t="n">
        <v>14</v>
      </c>
      <c r="GT28" s="9" t="n">
        <v>12</v>
      </c>
      <c r="GU28" s="9" t="n">
        <v>15</v>
      </c>
      <c r="GV28" s="11" t="n">
        <f aca="false">(GR28+GS28+GT28+GU28)/4</f>
        <v>13</v>
      </c>
      <c r="GW28" s="9" t="n">
        <v>0</v>
      </c>
      <c r="GX28" s="9" t="n">
        <v>0</v>
      </c>
      <c r="GY28" s="9" t="n">
        <v>0</v>
      </c>
      <c r="GZ28" s="9" t="n">
        <v>0</v>
      </c>
      <c r="HA28" s="11" t="n">
        <f aca="false">(GW28+GX28+GY28+GZ28)/4</f>
        <v>0</v>
      </c>
      <c r="HB28" s="9" t="n">
        <f aca="false">(GW28/GR28)</f>
        <v>0</v>
      </c>
      <c r="HC28" s="9" t="n">
        <f aca="false">(GX28/GS28)</f>
        <v>0</v>
      </c>
      <c r="HD28" s="9" t="n">
        <f aca="false">(GY28/GT28)</f>
        <v>0</v>
      </c>
      <c r="HE28" s="9" t="n">
        <f aca="false">(GZ28/GU28)/4</f>
        <v>0</v>
      </c>
      <c r="HF28" s="9" t="n">
        <f aca="false">(HB28+HC28+HD28+HE28)/4</f>
        <v>0</v>
      </c>
      <c r="HG28" s="9" t="n">
        <f aca="false">(100*HF28)</f>
        <v>0</v>
      </c>
      <c r="HH28" s="18" t="n">
        <v>0</v>
      </c>
      <c r="HI28" s="9" t="n">
        <v>3</v>
      </c>
      <c r="HJ28" s="9" t="n">
        <v>2</v>
      </c>
      <c r="HK28" s="9" t="n">
        <v>4</v>
      </c>
      <c r="HL28" s="19" t="n">
        <v>3</v>
      </c>
      <c r="HM28" s="9" t="n">
        <f aca="false">(HI28+HJ28+HK28+HL28)/4</f>
        <v>3</v>
      </c>
      <c r="HN28" s="9" t="n">
        <f aca="false">(HI28/GR28)</f>
        <v>0.272727272727273</v>
      </c>
      <c r="HO28" s="9" t="n">
        <f aca="false">(HJ28/GS28)</f>
        <v>0.142857142857143</v>
      </c>
      <c r="HP28" s="9" t="n">
        <f aca="false">(HK28/GT28)</f>
        <v>0.333333333333333</v>
      </c>
      <c r="HQ28" s="9" t="n">
        <f aca="false">(HL28/GU28)</f>
        <v>0.2</v>
      </c>
      <c r="HR28" s="9" t="n">
        <f aca="false">(HM28/GV28)</f>
        <v>0.230769230769231</v>
      </c>
      <c r="HS28" s="9" t="n">
        <f aca="false">(100*HR28)</f>
        <v>23.0769230769231</v>
      </c>
      <c r="HT28" s="18" t="n">
        <v>2</v>
      </c>
      <c r="HU28" s="9" t="n">
        <v>0</v>
      </c>
      <c r="HV28" s="9" t="n">
        <v>0</v>
      </c>
      <c r="HW28" s="9" t="n">
        <v>0</v>
      </c>
      <c r="HX28" s="19" t="n">
        <v>0</v>
      </c>
      <c r="HY28" s="9" t="n">
        <f aca="false">(HU28+HV28+HW28+HX28)/4</f>
        <v>0</v>
      </c>
      <c r="HZ28" s="9" t="n">
        <f aca="false">(HU28/GR28)</f>
        <v>0</v>
      </c>
      <c r="IA28" s="9" t="n">
        <f aca="false">HV28/GS28</f>
        <v>0</v>
      </c>
      <c r="IB28" s="9" t="n">
        <f aca="false">(HW28/GT28)</f>
        <v>0</v>
      </c>
      <c r="IC28" s="9" t="n">
        <f aca="false">(HX28/GU28)</f>
        <v>0</v>
      </c>
      <c r="ID28" s="9" t="n">
        <f aca="false">(HY28/GV28)</f>
        <v>0</v>
      </c>
      <c r="IE28" s="9" t="n">
        <f aca="false">(100*ID28)</f>
        <v>0</v>
      </c>
      <c r="IF28" s="18" t="n">
        <v>0</v>
      </c>
      <c r="IG28" s="9" t="n">
        <v>3</v>
      </c>
      <c r="IH28" s="9" t="n">
        <v>6</v>
      </c>
      <c r="II28" s="19" t="n">
        <v>5</v>
      </c>
      <c r="IJ28" s="9" t="n">
        <v>6</v>
      </c>
      <c r="IK28" s="9" t="n">
        <f aca="false">(IG28+IH28+II28+IJ28)/4</f>
        <v>5</v>
      </c>
      <c r="IL28" s="9" t="n">
        <f aca="false">(IG28/GM28)</f>
        <v>0.0681818181818182</v>
      </c>
      <c r="IM28" s="9" t="n">
        <f aca="false">(IH28/GN28)</f>
        <v>0.103448275862069</v>
      </c>
      <c r="IN28" s="9" t="n">
        <f aca="false">(II28/GO28)</f>
        <v>0.078125</v>
      </c>
      <c r="IO28" s="9" t="n">
        <f aca="false">(IJ28/GP28)</f>
        <v>0.428571428571429</v>
      </c>
      <c r="IP28" s="9" t="n">
        <f aca="false">(IK28/GQ28)</f>
        <v>0.111111111111111</v>
      </c>
      <c r="IQ28" s="9" t="n">
        <f aca="false">(100*IP28)</f>
        <v>11.1111111111111</v>
      </c>
      <c r="IR28" s="18" t="n">
        <v>2</v>
      </c>
      <c r="IS28" s="9" t="n">
        <v>64.5</v>
      </c>
      <c r="IT28" s="9" t="n">
        <v>70.4</v>
      </c>
      <c r="IU28" s="19" t="n">
        <v>64.5</v>
      </c>
      <c r="IV28" s="9" t="n">
        <v>73.9</v>
      </c>
      <c r="IW28" s="9" t="n">
        <f aca="false">(IS28+IT28+IU28+IV28)/4</f>
        <v>68.325</v>
      </c>
      <c r="IX28" s="16" t="n">
        <v>45206</v>
      </c>
      <c r="IY28" s="10" t="s">
        <v>268</v>
      </c>
    </row>
    <row r="29" customFormat="false" ht="15.75" hidden="false" customHeight="true" outlineLevel="0" collapsed="false">
      <c r="A29" s="9" t="s">
        <v>299</v>
      </c>
      <c r="B29" s="10" t="s">
        <v>336</v>
      </c>
      <c r="C29" s="10" t="s">
        <v>261</v>
      </c>
      <c r="D29" s="9" t="n">
        <v>6</v>
      </c>
      <c r="E29" s="9" t="n">
        <v>10</v>
      </c>
      <c r="F29" s="10" t="s">
        <v>337</v>
      </c>
      <c r="G29" s="11" t="s">
        <v>263</v>
      </c>
      <c r="H29" s="9" t="n">
        <v>21</v>
      </c>
      <c r="I29" s="9" t="n">
        <v>3</v>
      </c>
      <c r="J29" s="12" t="s">
        <v>264</v>
      </c>
      <c r="K29" s="13" t="s">
        <v>338</v>
      </c>
      <c r="L29" s="13" t="s">
        <v>339</v>
      </c>
      <c r="M29" s="14" t="n">
        <v>1299</v>
      </c>
      <c r="N29" s="15" t="n">
        <v>45134</v>
      </c>
      <c r="O29" s="10" t="s">
        <v>267</v>
      </c>
      <c r="P29" s="9"/>
      <c r="Q29" s="9" t="n">
        <v>0.04</v>
      </c>
      <c r="R29" s="9" t="n">
        <v>15</v>
      </c>
      <c r="S29" s="9" t="n">
        <v>-5</v>
      </c>
      <c r="T29" s="9" t="n">
        <v>150</v>
      </c>
      <c r="U29" s="9"/>
      <c r="V29" s="9" t="n">
        <v>2.93</v>
      </c>
      <c r="W29" s="9" t="s">
        <v>340</v>
      </c>
      <c r="X29" s="9" t="n">
        <v>0</v>
      </c>
      <c r="Y29" s="9" t="n">
        <v>0</v>
      </c>
      <c r="Z29" s="9" t="n">
        <v>0</v>
      </c>
      <c r="AA29" s="9" t="n">
        <v>0</v>
      </c>
      <c r="AB29" s="11" t="n">
        <f aca="false">(X29+Y29+Z29+AA29)/4</f>
        <v>0</v>
      </c>
      <c r="AC29" s="9" t="n">
        <v>1</v>
      </c>
      <c r="AD29" s="9" t="n">
        <v>1</v>
      </c>
      <c r="AE29" s="9" t="n">
        <v>1</v>
      </c>
      <c r="AF29" s="9" t="n">
        <v>1</v>
      </c>
      <c r="AG29" s="11" t="n">
        <f aca="false">(AC29+AD29+AE29+AF29)/4</f>
        <v>1</v>
      </c>
      <c r="AH29" s="9" t="n">
        <v>0</v>
      </c>
      <c r="AI29" s="9" t="n">
        <v>0</v>
      </c>
      <c r="AJ29" s="9" t="n">
        <v>1</v>
      </c>
      <c r="AK29" s="9" t="n">
        <v>1</v>
      </c>
      <c r="AL29" s="11" t="n">
        <f aca="false">(AH29+AI29+AJ29+AK29)/4</f>
        <v>0.5</v>
      </c>
      <c r="AM29" s="9" t="n">
        <v>3</v>
      </c>
      <c r="AN29" s="9" t="n">
        <v>2</v>
      </c>
      <c r="AO29" s="9" t="n">
        <v>26</v>
      </c>
      <c r="AP29" s="9" t="n">
        <v>22</v>
      </c>
      <c r="AQ29" s="11" t="n">
        <f aca="false">(AM29+AN29+AO29+AP29)/4</f>
        <v>13.25</v>
      </c>
      <c r="AR29" s="9" t="n">
        <v>8</v>
      </c>
      <c r="AS29" s="9" t="n">
        <v>12</v>
      </c>
      <c r="AT29" s="9" t="n">
        <v>12</v>
      </c>
      <c r="AU29" s="9" t="n">
        <v>2</v>
      </c>
      <c r="AV29" s="11" t="n">
        <f aca="false">(AR29+AS29+AT29+AU29)/4</f>
        <v>8.5</v>
      </c>
      <c r="AW29" s="9" t="n">
        <v>0</v>
      </c>
      <c r="AX29" s="9" t="n">
        <v>0</v>
      </c>
      <c r="AY29" s="9" t="n">
        <v>0</v>
      </c>
      <c r="AZ29" s="9" t="n">
        <v>0</v>
      </c>
      <c r="BA29" s="11" t="n">
        <f aca="false">(AW29+AX29+AY29+AZ29)/4</f>
        <v>0</v>
      </c>
      <c r="BB29" s="11" t="n">
        <f aca="false">(AW29/AR29)</f>
        <v>0</v>
      </c>
      <c r="BC29" s="11" t="n">
        <f aca="false">(AX29/AS29)</f>
        <v>0</v>
      </c>
      <c r="BD29" s="11" t="n">
        <f aca="false">(AY29/AT29)</f>
        <v>0</v>
      </c>
      <c r="BE29" s="11" t="n">
        <f aca="false">(AZ29/AU29)</f>
        <v>0</v>
      </c>
      <c r="BF29" s="11" t="n">
        <f aca="false">(BA29/AV29)</f>
        <v>0</v>
      </c>
      <c r="BG29" s="11" t="n">
        <f aca="false">(BF29*100)</f>
        <v>0</v>
      </c>
      <c r="BH29" s="9" t="n">
        <v>0</v>
      </c>
      <c r="BI29" s="9" t="n">
        <v>4</v>
      </c>
      <c r="BJ29" s="9" t="n">
        <v>3</v>
      </c>
      <c r="BK29" s="9" t="n">
        <v>4</v>
      </c>
      <c r="BL29" s="9" t="n">
        <v>1</v>
      </c>
      <c r="BM29" s="11" t="n">
        <f aca="false">(BI29+BJ29+BK29+BL29)/4</f>
        <v>3</v>
      </c>
      <c r="BN29" s="11" t="n">
        <f aca="false">(BI29/AR29)</f>
        <v>0.5</v>
      </c>
      <c r="BO29" s="11" t="n">
        <f aca="false">(BJ29/AS29)</f>
        <v>0.25</v>
      </c>
      <c r="BP29" s="11" t="n">
        <f aca="false">(BK29/AT29)</f>
        <v>0.333333333333333</v>
      </c>
      <c r="BQ29" s="11" t="n">
        <f aca="false">(BL29/AU29)</f>
        <v>0.5</v>
      </c>
      <c r="BR29" s="11" t="n">
        <f aca="false">(BM29/AV29)</f>
        <v>0.352941176470588</v>
      </c>
      <c r="BS29" s="11" t="n">
        <f aca="false">(100*BR29)</f>
        <v>35.2941176470588</v>
      </c>
      <c r="BT29" s="9" t="n">
        <v>3</v>
      </c>
      <c r="BU29" s="9" t="n">
        <v>0</v>
      </c>
      <c r="BV29" s="9" t="n">
        <v>0</v>
      </c>
      <c r="BW29" s="9" t="n">
        <v>2</v>
      </c>
      <c r="BX29" s="9" t="n">
        <v>1</v>
      </c>
      <c r="BY29" s="11" t="n">
        <f aca="false">(BU29+BV29+BW29+BX29)/4</f>
        <v>0.75</v>
      </c>
      <c r="BZ29" s="11" t="n">
        <f aca="false">(BU29/AR29)</f>
        <v>0</v>
      </c>
      <c r="CA29" s="11" t="n">
        <f aca="false">(BV29/AS29)</f>
        <v>0</v>
      </c>
      <c r="CB29" s="11" t="n">
        <f aca="false">(BW29/AT29)</f>
        <v>0.166666666666667</v>
      </c>
      <c r="CC29" s="11" t="n">
        <f aca="false">(BX29/AU29)</f>
        <v>0.5</v>
      </c>
      <c r="CD29" s="11" t="n">
        <f aca="false">(BY29/AV29)</f>
        <v>0.0882352941176471</v>
      </c>
      <c r="CE29" s="11" t="n">
        <f aca="false">(100*CD29)</f>
        <v>8.82352941176471</v>
      </c>
      <c r="CF29" s="9" t="n">
        <v>1</v>
      </c>
      <c r="CG29" s="9" t="n">
        <v>0</v>
      </c>
      <c r="CH29" s="9" t="n">
        <v>0</v>
      </c>
      <c r="CI29" s="9" t="n">
        <v>0</v>
      </c>
      <c r="CJ29" s="9" t="n">
        <v>0</v>
      </c>
      <c r="CK29" s="11" t="n">
        <f aca="false">(CG29+CH29+CI29+CJ29)/4</f>
        <v>0</v>
      </c>
      <c r="CL29" s="11" t="n">
        <f aca="false">(CG29/AM29)</f>
        <v>0</v>
      </c>
      <c r="CM29" s="11" t="n">
        <f aca="false">(CH29/AN29)</f>
        <v>0</v>
      </c>
      <c r="CN29" s="11" t="n">
        <f aca="false">(CI29/AO29)</f>
        <v>0</v>
      </c>
      <c r="CO29" s="9" t="n">
        <f aca="false">(CJ29/AP29)</f>
        <v>0</v>
      </c>
      <c r="CP29" s="9" t="n">
        <f aca="false">(CK29/AQ29)</f>
        <v>0</v>
      </c>
      <c r="CQ29" s="9" t="n">
        <f aca="false">(100*CP29)</f>
        <v>0</v>
      </c>
      <c r="CR29" s="18" t="n">
        <v>0</v>
      </c>
      <c r="CS29" s="9" t="n">
        <v>48.2</v>
      </c>
      <c r="CT29" s="9" t="n">
        <v>64.1</v>
      </c>
      <c r="CU29" s="9" t="n">
        <v>52.1</v>
      </c>
      <c r="CV29" s="9" t="n">
        <v>55.4</v>
      </c>
      <c r="CW29" s="11" t="n">
        <f aca="false">(CS29+CT29+CU29+CV29)/4</f>
        <v>54.95</v>
      </c>
      <c r="CX29" s="9" t="n">
        <v>0</v>
      </c>
      <c r="CY29" s="9" t="n">
        <v>0</v>
      </c>
      <c r="CZ29" s="9" t="n">
        <v>1</v>
      </c>
      <c r="DA29" s="9" t="n">
        <v>0</v>
      </c>
      <c r="DB29" s="11" t="n">
        <f aca="false">(CX29+CY29+CZ29+DA29)/4</f>
        <v>0.25</v>
      </c>
      <c r="DC29" s="9" t="n">
        <v>1</v>
      </c>
      <c r="DD29" s="9" t="n">
        <v>1</v>
      </c>
      <c r="DE29" s="9" t="n">
        <v>1</v>
      </c>
      <c r="DF29" s="9" t="n">
        <v>1</v>
      </c>
      <c r="DG29" s="11" t="n">
        <f aca="false">(DC29+DD29+DE29+DF29)/4</f>
        <v>1</v>
      </c>
      <c r="DH29" s="9" t="n">
        <v>1</v>
      </c>
      <c r="DI29" s="9" t="n">
        <v>0</v>
      </c>
      <c r="DJ29" s="9" t="n">
        <v>1</v>
      </c>
      <c r="DK29" s="9" t="n">
        <v>1</v>
      </c>
      <c r="DL29" s="11" t="n">
        <f aca="false">(DH29+DI29+DJ29+DK29)/4</f>
        <v>0.75</v>
      </c>
      <c r="DM29" s="9" t="n">
        <v>0</v>
      </c>
      <c r="DN29" s="9" t="n">
        <v>0</v>
      </c>
      <c r="DO29" s="9" t="n">
        <v>0</v>
      </c>
      <c r="DP29" s="9" t="n">
        <v>0</v>
      </c>
      <c r="DQ29" s="11" t="n">
        <f aca="false">(DM29+DN29+DO29+DP29)/4</f>
        <v>0</v>
      </c>
      <c r="DR29" s="9" t="n">
        <v>23</v>
      </c>
      <c r="DS29" s="9" t="n">
        <v>14</v>
      </c>
      <c r="DT29" s="9" t="n">
        <v>13</v>
      </c>
      <c r="DU29" s="9" t="n">
        <v>11</v>
      </c>
      <c r="DV29" s="11" t="n">
        <f aca="false">(DR29+DS29+DT29+DU29)/4</f>
        <v>15.25</v>
      </c>
      <c r="DW29" s="9" t="n">
        <v>0</v>
      </c>
      <c r="DX29" s="9" t="n">
        <v>0</v>
      </c>
      <c r="DY29" s="9" t="n">
        <v>2</v>
      </c>
      <c r="DZ29" s="9" t="n">
        <v>0</v>
      </c>
      <c r="EA29" s="11" t="n">
        <f aca="false">(DW29+DX29+DY29+DZ29)/4</f>
        <v>0.5</v>
      </c>
      <c r="EB29" s="11" t="n">
        <f aca="false">(DW29/DR29)</f>
        <v>0</v>
      </c>
      <c r="EC29" s="11" t="n">
        <f aca="false">(DX29/DS29)</f>
        <v>0</v>
      </c>
      <c r="ED29" s="11" t="n">
        <f aca="false">(DY29/DT29)</f>
        <v>0.153846153846154</v>
      </c>
      <c r="EE29" s="11" t="n">
        <f aca="false">(DZ29/DU29)</f>
        <v>0</v>
      </c>
      <c r="EF29" s="11" t="n">
        <f aca="false">(EA29/DV29)</f>
        <v>0.0327868852459016</v>
      </c>
      <c r="EG29" s="11" t="n">
        <f aca="false">(100*EF29)</f>
        <v>3.27868852459016</v>
      </c>
      <c r="EH29" s="9" t="n">
        <v>1</v>
      </c>
      <c r="EI29" s="9" t="n">
        <v>5</v>
      </c>
      <c r="EJ29" s="9" t="n">
        <v>4</v>
      </c>
      <c r="EK29" s="19" t="n">
        <v>2</v>
      </c>
      <c r="EL29" s="9" t="n">
        <v>4</v>
      </c>
      <c r="EM29" s="9" t="n">
        <f aca="false">(EI29+EJ29+EK29+EL29)/4</f>
        <v>3.75</v>
      </c>
      <c r="EN29" s="9" t="n">
        <f aca="false">(EI29/DR29)</f>
        <v>0.217391304347826</v>
      </c>
      <c r="EO29" s="9" t="n">
        <f aca="false">(EJ29/DS29)</f>
        <v>0.285714285714286</v>
      </c>
      <c r="EP29" s="9" t="n">
        <f aca="false">(EK29/DT29)</f>
        <v>0.153846153846154</v>
      </c>
      <c r="EQ29" s="9" t="n">
        <f aca="false">(EL29/DU29)</f>
        <v>0.363636363636364</v>
      </c>
      <c r="ER29" s="9" t="n">
        <f aca="false">EM29/DV29</f>
        <v>0.245901639344262</v>
      </c>
      <c r="ES29" s="9" t="n">
        <f aca="false">(100*ER29)</f>
        <v>24.5901639344262</v>
      </c>
      <c r="ET29" s="9" t="n">
        <v>2</v>
      </c>
      <c r="EU29" s="18" t="n">
        <v>2</v>
      </c>
      <c r="EV29" s="9" t="n">
        <v>0</v>
      </c>
      <c r="EW29" s="9" t="n">
        <v>1</v>
      </c>
      <c r="EX29" s="9" t="n">
        <v>1</v>
      </c>
      <c r="EY29" s="11" t="n">
        <f aca="false">(EU29+EV29+EW29+EX29)/4</f>
        <v>1</v>
      </c>
      <c r="EZ29" s="11" t="n">
        <f aca="false">(EU29/DR29)</f>
        <v>0.0869565217391304</v>
      </c>
      <c r="FA29" s="11" t="n">
        <f aca="false">(EV29/DS29)</f>
        <v>0</v>
      </c>
      <c r="FB29" s="11" t="n">
        <f aca="false">(EW29/DT29)</f>
        <v>0.0769230769230769</v>
      </c>
      <c r="FC29" s="11" t="n">
        <f aca="false">(EX29/DU29)</f>
        <v>0.0909090909090909</v>
      </c>
      <c r="FD29" s="11" t="n">
        <f aca="false">(EY29/DV29)</f>
        <v>0.0655737704918033</v>
      </c>
      <c r="FE29" s="11" t="n">
        <f aca="false">(100*FD29)</f>
        <v>6.55737704918033</v>
      </c>
      <c r="FF29" s="9" t="n">
        <v>1</v>
      </c>
      <c r="FG29" s="9" t="n">
        <v>0</v>
      </c>
      <c r="FH29" s="9" t="n">
        <v>0</v>
      </c>
      <c r="FI29" s="9" t="n">
        <v>0</v>
      </c>
      <c r="FJ29" s="9" t="n">
        <v>0</v>
      </c>
      <c r="FK29" s="11" t="n">
        <f aca="false">(FG29+FH29+FI29+FJ29)/4</f>
        <v>0</v>
      </c>
      <c r="FL29" s="11" t="n">
        <f aca="false">(FG29/DR29)</f>
        <v>0</v>
      </c>
      <c r="FM29" s="11" t="n">
        <f aca="false">(FH29/DS29)</f>
        <v>0</v>
      </c>
      <c r="FN29" s="11" t="n">
        <f aca="false">(FI29/DT29)</f>
        <v>0</v>
      </c>
      <c r="FO29" s="11" t="n">
        <f aca="false">(FJ29/DU29)</f>
        <v>0</v>
      </c>
      <c r="FP29" s="11" t="n">
        <f aca="false">(FK29/DV29)</f>
        <v>0</v>
      </c>
      <c r="FQ29" s="11" t="n">
        <f aca="false">(100*FP29)</f>
        <v>0</v>
      </c>
      <c r="FR29" s="9" t="n">
        <v>0</v>
      </c>
      <c r="FS29" s="9" t="n">
        <v>54</v>
      </c>
      <c r="FT29" s="9" t="n">
        <v>64.8</v>
      </c>
      <c r="FU29" s="9" t="n">
        <v>60.8</v>
      </c>
      <c r="FV29" s="9" t="n">
        <v>64.6</v>
      </c>
      <c r="FW29" s="11" t="n">
        <f aca="false">(FS29+FT29+FU29+FV29)/4</f>
        <v>61.05</v>
      </c>
      <c r="FX29" s="9" t="n">
        <v>0</v>
      </c>
      <c r="FY29" s="9" t="n">
        <v>0</v>
      </c>
      <c r="FZ29" s="9" t="n">
        <v>1</v>
      </c>
      <c r="GA29" s="9" t="n">
        <v>0</v>
      </c>
      <c r="GB29" s="11" t="n">
        <f aca="false">(FX29+FY29+FZ29+GA29)/4</f>
        <v>0.25</v>
      </c>
      <c r="GC29" s="9" t="n">
        <v>1</v>
      </c>
      <c r="GD29" s="9" t="n">
        <v>1</v>
      </c>
      <c r="GE29" s="9" t="n">
        <v>1</v>
      </c>
      <c r="GF29" s="9" t="n">
        <v>1</v>
      </c>
      <c r="GG29" s="11" t="n">
        <f aca="false">(GC29+GD29+GE29+GF29)/4</f>
        <v>1</v>
      </c>
      <c r="GH29" s="9" t="n">
        <v>0</v>
      </c>
      <c r="GI29" s="9" t="n">
        <v>1</v>
      </c>
      <c r="GJ29" s="9" t="n">
        <v>1</v>
      </c>
      <c r="GK29" s="9" t="n">
        <v>1</v>
      </c>
      <c r="GL29" s="11" t="n">
        <f aca="false">(GH29+GI29+GJ29+GK29)/4</f>
        <v>0.75</v>
      </c>
      <c r="GM29" s="9" t="n">
        <v>0</v>
      </c>
      <c r="GN29" s="9" t="n">
        <v>0</v>
      </c>
      <c r="GO29" s="9" t="n">
        <v>0</v>
      </c>
      <c r="GP29" s="9" t="n">
        <v>0</v>
      </c>
      <c r="GQ29" s="11" t="n">
        <f aca="false">(GM29+GN29+GO29+GP29)/4</f>
        <v>0</v>
      </c>
      <c r="GR29" s="9" t="n">
        <v>6</v>
      </c>
      <c r="GS29" s="9" t="n">
        <v>32</v>
      </c>
      <c r="GT29" s="9" t="n">
        <v>7</v>
      </c>
      <c r="GU29" s="9" t="n">
        <v>8</v>
      </c>
      <c r="GV29" s="11" t="n">
        <f aca="false">(GR29+GS29+GT29+GU29)/4</f>
        <v>13.25</v>
      </c>
      <c r="GW29" s="9" t="n">
        <v>0</v>
      </c>
      <c r="GX29" s="9" t="n">
        <v>0</v>
      </c>
      <c r="GY29" s="9" t="n">
        <v>1</v>
      </c>
      <c r="GZ29" s="9" t="n">
        <v>0</v>
      </c>
      <c r="HA29" s="11" t="n">
        <f aca="false">(GW29+GX29+GY29+GZ29)/4</f>
        <v>0.25</v>
      </c>
      <c r="HB29" s="9" t="n">
        <f aca="false">(GW29/GR29)</f>
        <v>0</v>
      </c>
      <c r="HC29" s="9" t="n">
        <f aca="false">(GX29/GS29)</f>
        <v>0</v>
      </c>
      <c r="HD29" s="9" t="n">
        <f aca="false">(GY29/GT29)</f>
        <v>0.142857142857143</v>
      </c>
      <c r="HE29" s="9" t="n">
        <f aca="false">(GZ29/GU29)/4</f>
        <v>0</v>
      </c>
      <c r="HF29" s="9" t="n">
        <f aca="false">(HB29+HC29+HD29+HE29)/4</f>
        <v>0.0357142857142857</v>
      </c>
      <c r="HG29" s="9" t="n">
        <f aca="false">(100*HF29)</f>
        <v>3.57142857142857</v>
      </c>
      <c r="HH29" s="18" t="n">
        <v>2</v>
      </c>
      <c r="HI29" s="9" t="n">
        <v>1</v>
      </c>
      <c r="HJ29" s="9" t="n">
        <v>6</v>
      </c>
      <c r="HK29" s="9" t="n">
        <v>2</v>
      </c>
      <c r="HL29" s="19" t="n">
        <v>1</v>
      </c>
      <c r="HM29" s="9" t="n">
        <f aca="false">(HI29+HJ29+HK29+HL29)/4</f>
        <v>2.5</v>
      </c>
      <c r="HN29" s="9" t="n">
        <f aca="false">(HI29/GR29)</f>
        <v>0.166666666666667</v>
      </c>
      <c r="HO29" s="9" t="n">
        <f aca="false">(HJ29/GS29)</f>
        <v>0.1875</v>
      </c>
      <c r="HP29" s="9" t="n">
        <f aca="false">(HK29/GT29)</f>
        <v>0.285714285714286</v>
      </c>
      <c r="HQ29" s="9" t="n">
        <f aca="false">(HL29/GU29)</f>
        <v>0.125</v>
      </c>
      <c r="HR29" s="9" t="n">
        <f aca="false">(HM29/GV29)</f>
        <v>0.188679245283019</v>
      </c>
      <c r="HS29" s="9" t="n">
        <f aca="false">(100*HR29)</f>
        <v>18.8679245283019</v>
      </c>
      <c r="HT29" s="18" t="n">
        <v>3</v>
      </c>
      <c r="HU29" s="9" t="n">
        <v>0</v>
      </c>
      <c r="HV29" s="9" t="n">
        <v>2</v>
      </c>
      <c r="HW29" s="9" t="n">
        <v>1</v>
      </c>
      <c r="HX29" s="19" t="n">
        <v>2</v>
      </c>
      <c r="HY29" s="9" t="n">
        <f aca="false">(HU29+HV29+HW29+HX29)/4</f>
        <v>1.25</v>
      </c>
      <c r="HZ29" s="9" t="n">
        <f aca="false">(HU29/GR29)</f>
        <v>0</v>
      </c>
      <c r="IA29" s="9" t="n">
        <f aca="false">HV29/GS29</f>
        <v>0.0625</v>
      </c>
      <c r="IB29" s="9" t="n">
        <f aca="false">(HW29/GT29)</f>
        <v>0.142857142857143</v>
      </c>
      <c r="IC29" s="9" t="n">
        <f aca="false">(HX29/GU29)</f>
        <v>0.25</v>
      </c>
      <c r="ID29" s="9" t="n">
        <f aca="false">(HY29/GV29)</f>
        <v>0.0943396226415094</v>
      </c>
      <c r="IE29" s="9" t="n">
        <f aca="false">(100*ID29)</f>
        <v>9.43396226415094</v>
      </c>
      <c r="IF29" s="18" t="n">
        <v>2</v>
      </c>
      <c r="IG29" s="9" t="n">
        <v>0</v>
      </c>
      <c r="IH29" s="9" t="n">
        <v>0</v>
      </c>
      <c r="II29" s="19" t="n">
        <v>0</v>
      </c>
      <c r="IJ29" s="9" t="n">
        <v>0</v>
      </c>
      <c r="IK29" s="9" t="n">
        <f aca="false">(IG29+IH29+II29+IJ29)/4</f>
        <v>0</v>
      </c>
      <c r="IL29" s="9" t="e">
        <f aca="false">(IG29/GM29)</f>
        <v>#DIV/0!</v>
      </c>
      <c r="IM29" s="9" t="e">
        <f aca="false">(IH29/GN29)</f>
        <v>#DIV/0!</v>
      </c>
      <c r="IN29" s="9" t="e">
        <f aca="false">(II29/GO29)</f>
        <v>#DIV/0!</v>
      </c>
      <c r="IO29" s="9" t="e">
        <f aca="false">(IJ29/GP29)</f>
        <v>#DIV/0!</v>
      </c>
      <c r="IP29" s="9" t="e">
        <f aca="false">(IK29/GQ29)</f>
        <v>#DIV/0!</v>
      </c>
      <c r="IQ29" s="9" t="e">
        <f aca="false">(100*IP29)</f>
        <v>#DIV/0!</v>
      </c>
      <c r="IR29" s="18"/>
      <c r="IS29" s="9" t="n">
        <v>75.1</v>
      </c>
      <c r="IT29" s="9" t="n">
        <v>72.6</v>
      </c>
      <c r="IU29" s="19" t="n">
        <v>60</v>
      </c>
      <c r="IV29" s="9" t="n">
        <v>59</v>
      </c>
      <c r="IW29" s="9" t="n">
        <f aca="false">(IS29+IT29+IU29+IV29)/4</f>
        <v>66.675</v>
      </c>
      <c r="IX29" s="16" t="n">
        <v>45241</v>
      </c>
      <c r="IY29" s="10" t="s">
        <v>268</v>
      </c>
    </row>
    <row r="30" customFormat="false" ht="15.75" hidden="false" customHeight="true" outlineLevel="0" collapsed="false">
      <c r="A30" s="9" t="s">
        <v>299</v>
      </c>
      <c r="B30" s="10" t="s">
        <v>336</v>
      </c>
      <c r="C30" s="10" t="s">
        <v>261</v>
      </c>
      <c r="D30" s="9" t="n">
        <v>6</v>
      </c>
      <c r="E30" s="9" t="n">
        <v>10</v>
      </c>
      <c r="F30" s="10" t="s">
        <v>341</v>
      </c>
      <c r="G30" s="11" t="s">
        <v>263</v>
      </c>
      <c r="H30" s="9" t="n">
        <v>21</v>
      </c>
      <c r="I30" s="9" t="n">
        <v>9</v>
      </c>
      <c r="J30" s="12" t="s">
        <v>270</v>
      </c>
      <c r="K30" s="20"/>
      <c r="L30" s="20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 t="n">
        <v>0</v>
      </c>
      <c r="Y30" s="9" t="n">
        <v>0</v>
      </c>
      <c r="Z30" s="9" t="n">
        <v>0</v>
      </c>
      <c r="AA30" s="9" t="n">
        <v>0</v>
      </c>
      <c r="AB30" s="11" t="n">
        <f aca="false">(X30+Y30+Z30+AA30)/4</f>
        <v>0</v>
      </c>
      <c r="AC30" s="9" t="n">
        <v>1</v>
      </c>
      <c r="AD30" s="9" t="n">
        <v>1</v>
      </c>
      <c r="AE30" s="9" t="n">
        <v>1</v>
      </c>
      <c r="AF30" s="9" t="n">
        <v>1</v>
      </c>
      <c r="AG30" s="11" t="n">
        <f aca="false">(AC30+AD30+AE30+AF30)/4</f>
        <v>1</v>
      </c>
      <c r="AH30" s="9" t="n">
        <v>1</v>
      </c>
      <c r="AI30" s="9" t="n">
        <v>1</v>
      </c>
      <c r="AJ30" s="9" t="n">
        <v>1</v>
      </c>
      <c r="AK30" s="9" t="n">
        <v>1</v>
      </c>
      <c r="AL30" s="11" t="n">
        <f aca="false">(AH30+AI30+AJ30+AK30)/4</f>
        <v>1</v>
      </c>
      <c r="AM30" s="9" t="n">
        <v>10</v>
      </c>
      <c r="AN30" s="9" t="n">
        <v>29</v>
      </c>
      <c r="AO30" s="9" t="n">
        <v>15</v>
      </c>
      <c r="AP30" s="9" t="n">
        <v>11</v>
      </c>
      <c r="AQ30" s="11" t="n">
        <f aca="false">(AM30+AN30+AO30+AP30)/4</f>
        <v>16.25</v>
      </c>
      <c r="AR30" s="9" t="n">
        <v>2</v>
      </c>
      <c r="AS30" s="9" t="n">
        <v>9</v>
      </c>
      <c r="AT30" s="9" t="n">
        <v>2</v>
      </c>
      <c r="AU30" s="9" t="n">
        <v>6</v>
      </c>
      <c r="AV30" s="11" t="n">
        <f aca="false">(AR30+AS30+AT30+AU30)/4</f>
        <v>4.75</v>
      </c>
      <c r="AW30" s="9" t="n">
        <v>0</v>
      </c>
      <c r="AX30" s="9" t="n">
        <v>0</v>
      </c>
      <c r="AY30" s="9" t="n">
        <v>0</v>
      </c>
      <c r="AZ30" s="9" t="n">
        <v>0</v>
      </c>
      <c r="BA30" s="11" t="n">
        <f aca="false">(AW30+AX30+AY30+AZ30)/4</f>
        <v>0</v>
      </c>
      <c r="BB30" s="11" t="n">
        <f aca="false">(AW30/AR30)</f>
        <v>0</v>
      </c>
      <c r="BC30" s="11" t="n">
        <f aca="false">(AX30/AS30)</f>
        <v>0</v>
      </c>
      <c r="BD30" s="11" t="n">
        <f aca="false">(AY30/AT30)</f>
        <v>0</v>
      </c>
      <c r="BE30" s="11" t="n">
        <f aca="false">(AZ30/AU30)</f>
        <v>0</v>
      </c>
      <c r="BF30" s="11" t="n">
        <f aca="false">(BA30/AV30)</f>
        <v>0</v>
      </c>
      <c r="BG30" s="11" t="n">
        <f aca="false">(BF30*100)</f>
        <v>0</v>
      </c>
      <c r="BH30" s="9" t="n">
        <v>0</v>
      </c>
      <c r="BI30" s="9" t="n">
        <v>2</v>
      </c>
      <c r="BJ30" s="9" t="n">
        <v>5</v>
      </c>
      <c r="BK30" s="9" t="n">
        <v>2</v>
      </c>
      <c r="BL30" s="9" t="n">
        <v>3</v>
      </c>
      <c r="BM30" s="11" t="n">
        <f aca="false">(BI30+BJ30+BK30+BL30)/4</f>
        <v>3</v>
      </c>
      <c r="BN30" s="11" t="n">
        <f aca="false">(BI30/AR30)</f>
        <v>1</v>
      </c>
      <c r="BO30" s="11" t="n">
        <f aca="false">(BJ30/AS30)</f>
        <v>0.555555555555556</v>
      </c>
      <c r="BP30" s="11" t="n">
        <f aca="false">(BK30/AT30)</f>
        <v>1</v>
      </c>
      <c r="BQ30" s="11" t="n">
        <f aca="false">(BL30/AU30)</f>
        <v>0.5</v>
      </c>
      <c r="BR30" s="11" t="n">
        <f aca="false">(BM30/AV30)</f>
        <v>0.631578947368421</v>
      </c>
      <c r="BS30" s="11" t="n">
        <f aca="false">(100*BR30)</f>
        <v>63.1578947368421</v>
      </c>
      <c r="BT30" s="9" t="n">
        <v>3</v>
      </c>
      <c r="BU30" s="9" t="n">
        <v>0</v>
      </c>
      <c r="BV30" s="9" t="n">
        <v>1</v>
      </c>
      <c r="BW30" s="9" t="n">
        <v>0</v>
      </c>
      <c r="BX30" s="9" t="n">
        <v>1</v>
      </c>
      <c r="BY30" s="11" t="n">
        <f aca="false">(BU30+BV30+BW30+BX30)/4</f>
        <v>0.5</v>
      </c>
      <c r="BZ30" s="11" t="n">
        <f aca="false">(BU30/AR30)</f>
        <v>0</v>
      </c>
      <c r="CA30" s="11" t="n">
        <f aca="false">(BV30/AS30)</f>
        <v>0.111111111111111</v>
      </c>
      <c r="CB30" s="11" t="n">
        <f aca="false">(BW30/AT30)</f>
        <v>0</v>
      </c>
      <c r="CC30" s="11" t="n">
        <f aca="false">(BX30/AU30)</f>
        <v>0.166666666666667</v>
      </c>
      <c r="CD30" s="11" t="n">
        <f aca="false">(BY30/AV30)</f>
        <v>0.105263157894737</v>
      </c>
      <c r="CE30" s="11" t="n">
        <f aca="false">(100*CD30)</f>
        <v>10.5263157894737</v>
      </c>
      <c r="CF30" s="9" t="n">
        <v>2</v>
      </c>
      <c r="CG30" s="9" t="n">
        <v>4</v>
      </c>
      <c r="CH30" s="9" t="n">
        <v>16</v>
      </c>
      <c r="CI30" s="9" t="n">
        <v>4</v>
      </c>
      <c r="CJ30" s="9" t="n">
        <v>3</v>
      </c>
      <c r="CK30" s="11" t="n">
        <f aca="false">(CG30+CH30+CI30+CJ30)/4</f>
        <v>6.75</v>
      </c>
      <c r="CL30" s="11" t="n">
        <f aca="false">(CG30/AM30)</f>
        <v>0.4</v>
      </c>
      <c r="CM30" s="11" t="n">
        <f aca="false">(CH30/AN30)</f>
        <v>0.551724137931035</v>
      </c>
      <c r="CN30" s="11" t="n">
        <f aca="false">(CI30/AO30)</f>
        <v>0.266666666666667</v>
      </c>
      <c r="CO30" s="9" t="n">
        <f aca="false">(CJ30/AP30)</f>
        <v>0.272727272727273</v>
      </c>
      <c r="CP30" s="9" t="n">
        <f aca="false">(CK30/AQ30)</f>
        <v>0.415384615384615</v>
      </c>
      <c r="CQ30" s="9" t="n">
        <f aca="false">(100*CP30)</f>
        <v>41.5384615384615</v>
      </c>
      <c r="CR30" s="18" t="n">
        <v>3</v>
      </c>
      <c r="CS30" s="9" t="n">
        <v>59</v>
      </c>
      <c r="CT30" s="9" t="n">
        <v>40.3</v>
      </c>
      <c r="CU30" s="9" t="n">
        <v>51.3</v>
      </c>
      <c r="CV30" s="9" t="n">
        <v>63.9</v>
      </c>
      <c r="CW30" s="11" t="n">
        <f aca="false">(CS30+CT30+CU30+CV30)/4</f>
        <v>53.625</v>
      </c>
      <c r="CX30" s="9" t="n">
        <v>0</v>
      </c>
      <c r="CY30" s="9" t="n">
        <v>0</v>
      </c>
      <c r="CZ30" s="9" t="n">
        <v>0</v>
      </c>
      <c r="DA30" s="9" t="n">
        <v>0</v>
      </c>
      <c r="DB30" s="11" t="n">
        <f aca="false">(CX30+CY30+CZ30+DA30)/4</f>
        <v>0</v>
      </c>
      <c r="DC30" s="9" t="n">
        <v>1</v>
      </c>
      <c r="DD30" s="9" t="n">
        <v>1</v>
      </c>
      <c r="DE30" s="9" t="n">
        <v>1</v>
      </c>
      <c r="DF30" s="9" t="n">
        <v>1</v>
      </c>
      <c r="DG30" s="11" t="n">
        <f aca="false">(DC30+DD30+DE30+DF30)/4</f>
        <v>1</v>
      </c>
      <c r="DH30" s="9" t="n">
        <v>1</v>
      </c>
      <c r="DI30" s="9" t="n">
        <v>1</v>
      </c>
      <c r="DJ30" s="9" t="n">
        <v>1</v>
      </c>
      <c r="DK30" s="9" t="n">
        <v>1</v>
      </c>
      <c r="DL30" s="11" t="n">
        <f aca="false">(DH30+DI30+DJ30+DK30)/4</f>
        <v>1</v>
      </c>
      <c r="DM30" s="9" t="n">
        <v>10</v>
      </c>
      <c r="DN30" s="9" t="n">
        <v>41</v>
      </c>
      <c r="DO30" s="9" t="n">
        <v>8</v>
      </c>
      <c r="DP30" s="9" t="n">
        <v>20</v>
      </c>
      <c r="DQ30" s="11" t="n">
        <f aca="false">(DM30+DN30+DO30+DP30)/4</f>
        <v>19.75</v>
      </c>
      <c r="DR30" s="9" t="n">
        <v>7</v>
      </c>
      <c r="DS30" s="9" t="n">
        <v>6</v>
      </c>
      <c r="DT30" s="9" t="n">
        <v>13</v>
      </c>
      <c r="DU30" s="9" t="n">
        <v>12</v>
      </c>
      <c r="DV30" s="11" t="n">
        <f aca="false">(DR30+DS30+DT30+DU30)/4</f>
        <v>9.5</v>
      </c>
      <c r="DW30" s="9" t="n">
        <v>0</v>
      </c>
      <c r="DX30" s="9" t="n">
        <v>0</v>
      </c>
      <c r="DY30" s="9" t="n">
        <v>0</v>
      </c>
      <c r="DZ30" s="9" t="n">
        <v>0</v>
      </c>
      <c r="EA30" s="11" t="n">
        <f aca="false">(DW30+DX30+DY30+DZ30)/4</f>
        <v>0</v>
      </c>
      <c r="EB30" s="11" t="n">
        <f aca="false">(DW30/DR30)</f>
        <v>0</v>
      </c>
      <c r="EC30" s="11" t="n">
        <f aca="false">(DX30/DS30)</f>
        <v>0</v>
      </c>
      <c r="ED30" s="11" t="n">
        <f aca="false">(DY30/DT30)</f>
        <v>0</v>
      </c>
      <c r="EE30" s="11" t="n">
        <f aca="false">(DZ30/DU30)</f>
        <v>0</v>
      </c>
      <c r="EF30" s="11" t="n">
        <f aca="false">(EA30/DV30)</f>
        <v>0</v>
      </c>
      <c r="EG30" s="11" t="n">
        <f aca="false">(100*EF30)</f>
        <v>0</v>
      </c>
      <c r="EH30" s="9" t="n">
        <v>0</v>
      </c>
      <c r="EI30" s="9" t="n">
        <v>2</v>
      </c>
      <c r="EJ30" s="9" t="n">
        <v>4</v>
      </c>
      <c r="EK30" s="19" t="n">
        <v>10</v>
      </c>
      <c r="EL30" s="9" t="n">
        <v>8</v>
      </c>
      <c r="EM30" s="9" t="n">
        <f aca="false">(EI30+EJ30+EK30+EL30)/4</f>
        <v>6</v>
      </c>
      <c r="EN30" s="9" t="n">
        <f aca="false">(EI30/DR30)</f>
        <v>0.285714285714286</v>
      </c>
      <c r="EO30" s="9" t="n">
        <f aca="false">(EJ30/DS30)</f>
        <v>0.666666666666667</v>
      </c>
      <c r="EP30" s="9" t="n">
        <f aca="false">(EK30/DT30)</f>
        <v>0.769230769230769</v>
      </c>
      <c r="EQ30" s="9" t="n">
        <f aca="false">(EL30/DU30)</f>
        <v>0.666666666666667</v>
      </c>
      <c r="ER30" s="9" t="n">
        <f aca="false">EM30/DV30</f>
        <v>0.631578947368421</v>
      </c>
      <c r="ES30" s="9" t="n">
        <f aca="false">(100*ER30)</f>
        <v>63.1578947368421</v>
      </c>
      <c r="ET30" s="9" t="n">
        <v>3</v>
      </c>
      <c r="EU30" s="18" t="n">
        <v>1</v>
      </c>
      <c r="EV30" s="9" t="n">
        <v>1</v>
      </c>
      <c r="EW30" s="9" t="n">
        <v>1</v>
      </c>
      <c r="EX30" s="9" t="n">
        <v>1</v>
      </c>
      <c r="EY30" s="11" t="n">
        <f aca="false">(EU30+EV30+EW30+EX30)/4</f>
        <v>1</v>
      </c>
      <c r="EZ30" s="11" t="n">
        <f aca="false">(EU30/DR30)</f>
        <v>0.142857142857143</v>
      </c>
      <c r="FA30" s="11" t="n">
        <f aca="false">(EV30/DS30)</f>
        <v>0.166666666666667</v>
      </c>
      <c r="FB30" s="11" t="n">
        <f aca="false">(EW30/DT30)</f>
        <v>0.0769230769230769</v>
      </c>
      <c r="FC30" s="11" t="n">
        <f aca="false">(EX30/DU30)</f>
        <v>0.0833333333333333</v>
      </c>
      <c r="FD30" s="11" t="n">
        <f aca="false">(EY30/DV30)</f>
        <v>0.105263157894737</v>
      </c>
      <c r="FE30" s="11" t="n">
        <f aca="false">(100*FD30)</f>
        <v>10.5263157894737</v>
      </c>
      <c r="FF30" s="9" t="n">
        <v>2</v>
      </c>
      <c r="FG30" s="9" t="n">
        <v>0</v>
      </c>
      <c r="FH30" s="9" t="n">
        <v>15</v>
      </c>
      <c r="FI30" s="9" t="n">
        <v>6</v>
      </c>
      <c r="FJ30" s="9" t="n">
        <v>10</v>
      </c>
      <c r="FK30" s="11" t="n">
        <f aca="false">(FG30+FH30+FI30+FJ30)/4</f>
        <v>7.75</v>
      </c>
      <c r="FL30" s="11" t="n">
        <f aca="false">(FG30/DR30)</f>
        <v>0</v>
      </c>
      <c r="FM30" s="11" t="n">
        <f aca="false">(FH30/DS30)</f>
        <v>2.5</v>
      </c>
      <c r="FN30" s="11" t="n">
        <f aca="false">(FI30/DT30)</f>
        <v>0.461538461538462</v>
      </c>
      <c r="FO30" s="11" t="n">
        <f aca="false">(FJ30/DU30)</f>
        <v>0.833333333333333</v>
      </c>
      <c r="FP30" s="11" t="n">
        <f aca="false">(FK30/DV30)</f>
        <v>0.815789473684211</v>
      </c>
      <c r="FQ30" s="11" t="n">
        <f aca="false">(100*FP30)</f>
        <v>81.5789473684211</v>
      </c>
      <c r="FR30" s="9" t="n">
        <v>3</v>
      </c>
      <c r="FS30" s="9" t="n">
        <v>61.1</v>
      </c>
      <c r="FT30" s="9" t="n">
        <v>74</v>
      </c>
      <c r="FU30" s="9" t="n">
        <v>62.5</v>
      </c>
      <c r="FV30" s="9" t="n">
        <v>64.2</v>
      </c>
      <c r="FW30" s="11" t="n">
        <f aca="false">(FS30+FT30+FU30+FV30)/4</f>
        <v>65.45</v>
      </c>
      <c r="FX30" s="9" t="n">
        <v>0</v>
      </c>
      <c r="FY30" s="9" t="n">
        <v>0</v>
      </c>
      <c r="FZ30" s="9" t="n">
        <v>0</v>
      </c>
      <c r="GA30" s="9" t="n">
        <v>0</v>
      </c>
      <c r="GB30" s="11" t="n">
        <f aca="false">(FX30+FY30+FZ30+GA30)/4</f>
        <v>0</v>
      </c>
      <c r="GC30" s="9" t="n">
        <v>1</v>
      </c>
      <c r="GD30" s="9" t="n">
        <v>1</v>
      </c>
      <c r="GE30" s="9" t="n">
        <v>1</v>
      </c>
      <c r="GF30" s="9" t="n">
        <v>1</v>
      </c>
      <c r="GG30" s="11" t="n">
        <f aca="false">(GC30+GD30+GE30+GF30)/4</f>
        <v>1</v>
      </c>
      <c r="GH30" s="9" t="n">
        <v>1</v>
      </c>
      <c r="GI30" s="9" t="n">
        <v>1</v>
      </c>
      <c r="GJ30" s="9" t="n">
        <v>1</v>
      </c>
      <c r="GK30" s="9" t="n">
        <v>1</v>
      </c>
      <c r="GL30" s="11" t="n">
        <f aca="false">(GH30+GI30+GJ30+GK30)/4</f>
        <v>1</v>
      </c>
      <c r="GM30" s="9" t="n">
        <v>13</v>
      </c>
      <c r="GN30" s="9" t="n">
        <v>9</v>
      </c>
      <c r="GO30" s="9" t="n">
        <v>5</v>
      </c>
      <c r="GP30" s="9" t="n">
        <v>64</v>
      </c>
      <c r="GQ30" s="11" t="n">
        <f aca="false">(GM30+GN30+GO30+GP30)/4</f>
        <v>22.75</v>
      </c>
      <c r="GR30" s="9" t="n">
        <v>2</v>
      </c>
      <c r="GS30" s="9" t="n">
        <v>10</v>
      </c>
      <c r="GT30" s="9" t="n">
        <v>6</v>
      </c>
      <c r="GU30" s="9" t="n">
        <v>5</v>
      </c>
      <c r="GV30" s="11" t="n">
        <f aca="false">(GR30+GS30+GT30+GU30)/4</f>
        <v>5.75</v>
      </c>
      <c r="GW30" s="9" t="n">
        <v>0</v>
      </c>
      <c r="GX30" s="9" t="n">
        <v>0</v>
      </c>
      <c r="GY30" s="9" t="n">
        <v>0</v>
      </c>
      <c r="GZ30" s="9" t="n">
        <v>0</v>
      </c>
      <c r="HA30" s="11" t="n">
        <f aca="false">(GW30+GX30+GY30+GZ30)/4</f>
        <v>0</v>
      </c>
      <c r="HB30" s="9" t="n">
        <f aca="false">(GW30/GR30)</f>
        <v>0</v>
      </c>
      <c r="HC30" s="9" t="n">
        <f aca="false">(GX30/GS30)</f>
        <v>0</v>
      </c>
      <c r="HD30" s="9" t="n">
        <f aca="false">(GY30/GT30)</f>
        <v>0</v>
      </c>
      <c r="HE30" s="9" t="n">
        <f aca="false">(GZ30/GU30)/4</f>
        <v>0</v>
      </c>
      <c r="HF30" s="9" t="n">
        <f aca="false">(HB30+HC30+HD30+HE30)/4</f>
        <v>0</v>
      </c>
      <c r="HG30" s="9" t="n">
        <f aca="false">(100*HF30)</f>
        <v>0</v>
      </c>
      <c r="HH30" s="18" t="n">
        <v>0</v>
      </c>
      <c r="HI30" s="9" t="n">
        <v>2</v>
      </c>
      <c r="HJ30" s="9" t="n">
        <v>5</v>
      </c>
      <c r="HK30" s="9" t="n">
        <v>4</v>
      </c>
      <c r="HL30" s="19" t="n">
        <v>3</v>
      </c>
      <c r="HM30" s="9" t="n">
        <f aca="false">(HI30+HJ30+HK30+HL30)/4</f>
        <v>3.5</v>
      </c>
      <c r="HN30" s="9" t="n">
        <f aca="false">(HI30/GR30)</f>
        <v>1</v>
      </c>
      <c r="HO30" s="9" t="n">
        <f aca="false">(HJ30/GS30)</f>
        <v>0.5</v>
      </c>
      <c r="HP30" s="9" t="n">
        <f aca="false">(HK30/GT30)</f>
        <v>0.666666666666667</v>
      </c>
      <c r="HQ30" s="9" t="n">
        <f aca="false">(HL30/GU30)</f>
        <v>0.6</v>
      </c>
      <c r="HR30" s="9" t="n">
        <f aca="false">(HM30/GV30)</f>
        <v>0.608695652173913</v>
      </c>
      <c r="HS30" s="9" t="n">
        <f aca="false">(100*HR30)</f>
        <v>60.8695652173913</v>
      </c>
      <c r="HT30" s="18" t="n">
        <v>3</v>
      </c>
      <c r="HU30" s="9" t="n">
        <v>1</v>
      </c>
      <c r="HV30" s="9" t="n">
        <v>0</v>
      </c>
      <c r="HW30" s="9" t="n">
        <v>1</v>
      </c>
      <c r="HX30" s="19" t="n">
        <v>0</v>
      </c>
      <c r="HY30" s="9" t="n">
        <f aca="false">(HU30+HV30+HW30+HX30)/4</f>
        <v>0.5</v>
      </c>
      <c r="HZ30" s="9" t="n">
        <f aca="false">(HU30/GR30)</f>
        <v>0.5</v>
      </c>
      <c r="IA30" s="9" t="n">
        <f aca="false">HV30/GS30</f>
        <v>0</v>
      </c>
      <c r="IB30" s="9" t="n">
        <f aca="false">(HW30/GT30)</f>
        <v>0.166666666666667</v>
      </c>
      <c r="IC30" s="9" t="n">
        <f aca="false">(HX30/GU30)</f>
        <v>0</v>
      </c>
      <c r="ID30" s="9" t="n">
        <f aca="false">(HY30/GV30)</f>
        <v>0.0869565217391304</v>
      </c>
      <c r="IE30" s="9" t="n">
        <f aca="false">(100*ID30)</f>
        <v>8.69565217391304</v>
      </c>
      <c r="IF30" s="18" t="n">
        <v>1</v>
      </c>
      <c r="IG30" s="9" t="n">
        <v>2</v>
      </c>
      <c r="IH30" s="9" t="n">
        <v>6</v>
      </c>
      <c r="II30" s="19" t="n">
        <v>2</v>
      </c>
      <c r="IJ30" s="9" t="n">
        <v>44</v>
      </c>
      <c r="IK30" s="9" t="n">
        <f aca="false">(IG30+IH30+II30+IJ30)/4</f>
        <v>13.5</v>
      </c>
      <c r="IL30" s="9" t="n">
        <f aca="false">(IG30/GM30)</f>
        <v>0.153846153846154</v>
      </c>
      <c r="IM30" s="9" t="n">
        <f aca="false">(IH30/GN30)</f>
        <v>0.666666666666667</v>
      </c>
      <c r="IN30" s="9" t="n">
        <f aca="false">(II30/GO30)</f>
        <v>0.4</v>
      </c>
      <c r="IO30" s="9" t="n">
        <f aca="false">(IJ30/GP30)</f>
        <v>0.6875</v>
      </c>
      <c r="IP30" s="9" t="n">
        <f aca="false">(IK30/GQ30)</f>
        <v>0.593406593406593</v>
      </c>
      <c r="IQ30" s="9" t="n">
        <f aca="false">(100*IP30)</f>
        <v>59.3406593406593</v>
      </c>
      <c r="IR30" s="18" t="n">
        <v>3</v>
      </c>
      <c r="IS30" s="9" t="n">
        <v>68.3</v>
      </c>
      <c r="IT30" s="9" t="n">
        <v>62.3</v>
      </c>
      <c r="IU30" s="19" t="n">
        <v>69.9</v>
      </c>
      <c r="IV30" s="9" t="n">
        <v>41.7</v>
      </c>
      <c r="IW30" s="9" t="n">
        <f aca="false">(IS30+IT30+IU30+IV30)/4</f>
        <v>60.55</v>
      </c>
      <c r="IX30" s="16" t="n">
        <v>45241</v>
      </c>
      <c r="IY30" s="10" t="s">
        <v>268</v>
      </c>
    </row>
    <row r="31" customFormat="false" ht="15.75" hidden="false" customHeight="true" outlineLevel="0" collapsed="false">
      <c r="A31" s="9" t="s">
        <v>299</v>
      </c>
      <c r="B31" s="10" t="s">
        <v>336</v>
      </c>
      <c r="C31" s="10" t="s">
        <v>261</v>
      </c>
      <c r="D31" s="9" t="n">
        <v>6</v>
      </c>
      <c r="E31" s="9" t="n">
        <v>10</v>
      </c>
      <c r="F31" s="10" t="s">
        <v>342</v>
      </c>
      <c r="G31" s="11" t="s">
        <v>263</v>
      </c>
      <c r="H31" s="9" t="n">
        <v>21</v>
      </c>
      <c r="I31" s="9" t="n">
        <v>20</v>
      </c>
      <c r="J31" s="10" t="s">
        <v>272</v>
      </c>
      <c r="K31" s="20"/>
      <c r="L31" s="20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 t="n">
        <v>0</v>
      </c>
      <c r="Y31" s="9" t="n">
        <v>0</v>
      </c>
      <c r="Z31" s="9" t="n">
        <v>0</v>
      </c>
      <c r="AA31" s="9" t="n">
        <v>0</v>
      </c>
      <c r="AB31" s="11" t="n">
        <f aca="false">(X31+Y31+Z31+AA31)/4</f>
        <v>0</v>
      </c>
      <c r="AC31" s="9" t="n">
        <v>1</v>
      </c>
      <c r="AD31" s="9" t="n">
        <v>1</v>
      </c>
      <c r="AE31" s="9" t="n">
        <v>1</v>
      </c>
      <c r="AF31" s="9" t="n">
        <v>1</v>
      </c>
      <c r="AG31" s="11" t="n">
        <f aca="false">(AC31+AD31+AE31+AF31)/4</f>
        <v>1</v>
      </c>
      <c r="AH31" s="9" t="n">
        <v>1</v>
      </c>
      <c r="AI31" s="9" t="n">
        <v>1</v>
      </c>
      <c r="AJ31" s="9" t="n">
        <v>1</v>
      </c>
      <c r="AK31" s="9" t="n">
        <v>1</v>
      </c>
      <c r="AL31" s="11" t="n">
        <f aca="false">(AH31+AI31+AJ31+AK31)/4</f>
        <v>1</v>
      </c>
      <c r="AM31" s="9" t="n">
        <v>16</v>
      </c>
      <c r="AN31" s="9" t="n">
        <v>26</v>
      </c>
      <c r="AO31" s="9" t="n">
        <v>87</v>
      </c>
      <c r="AP31" s="9" t="n">
        <v>54</v>
      </c>
      <c r="AQ31" s="11" t="n">
        <f aca="false">(AM31+AN31+AO31+AP31)/4</f>
        <v>45.75</v>
      </c>
      <c r="AR31" s="9" t="n">
        <v>19</v>
      </c>
      <c r="AS31" s="9" t="n">
        <v>31</v>
      </c>
      <c r="AT31" s="9" t="n">
        <v>19</v>
      </c>
      <c r="AU31" s="9" t="n">
        <v>11</v>
      </c>
      <c r="AV31" s="11" t="n">
        <f aca="false">(AR31+AS31+AT31+AU31)/4</f>
        <v>20</v>
      </c>
      <c r="AW31" s="9" t="n">
        <v>0</v>
      </c>
      <c r="AX31" s="9" t="n">
        <v>0</v>
      </c>
      <c r="AY31" s="9" t="n">
        <v>0</v>
      </c>
      <c r="AZ31" s="9" t="n">
        <v>0</v>
      </c>
      <c r="BA31" s="11" t="n">
        <f aca="false">(AW31+AX31+AY31+AZ31)/4</f>
        <v>0</v>
      </c>
      <c r="BB31" s="11" t="n">
        <f aca="false">(AW31/AR31)</f>
        <v>0</v>
      </c>
      <c r="BC31" s="11" t="n">
        <f aca="false">(AX31/AS31)</f>
        <v>0</v>
      </c>
      <c r="BD31" s="11" t="n">
        <f aca="false">(AY31/AT31)</f>
        <v>0</v>
      </c>
      <c r="BE31" s="11" t="n">
        <f aca="false">(AZ31/AU31)</f>
        <v>0</v>
      </c>
      <c r="BF31" s="11" t="n">
        <f aca="false">(BA31/AV31)</f>
        <v>0</v>
      </c>
      <c r="BG31" s="11" t="n">
        <f aca="false">(BF31*100)</f>
        <v>0</v>
      </c>
      <c r="BH31" s="9" t="n">
        <v>0</v>
      </c>
      <c r="BI31" s="9" t="n">
        <v>5</v>
      </c>
      <c r="BJ31" s="9" t="n">
        <v>8</v>
      </c>
      <c r="BK31" s="9" t="n">
        <v>2</v>
      </c>
      <c r="BL31" s="9" t="n">
        <v>3</v>
      </c>
      <c r="BM31" s="11" t="n">
        <f aca="false">(BI31+BJ31+BK31+BL31)/4</f>
        <v>4.5</v>
      </c>
      <c r="BN31" s="11" t="n">
        <f aca="false">(BI31/AR31)</f>
        <v>0.263157894736842</v>
      </c>
      <c r="BO31" s="11" t="n">
        <f aca="false">(BJ31/AS31)</f>
        <v>0.258064516129032</v>
      </c>
      <c r="BP31" s="11" t="n">
        <f aca="false">(BK31/AT31)</f>
        <v>0.105263157894737</v>
      </c>
      <c r="BQ31" s="11" t="n">
        <f aca="false">(BL31/AU31)</f>
        <v>0.272727272727273</v>
      </c>
      <c r="BR31" s="11" t="n">
        <f aca="false">(BM31/AV31)</f>
        <v>0.225</v>
      </c>
      <c r="BS31" s="11" t="n">
        <f aca="false">(100*BR31)</f>
        <v>22.5</v>
      </c>
      <c r="BT31" s="9" t="n">
        <v>2</v>
      </c>
      <c r="BU31" s="9" t="n">
        <v>0</v>
      </c>
      <c r="BV31" s="9" t="n">
        <v>1</v>
      </c>
      <c r="BW31" s="9" t="n">
        <v>4</v>
      </c>
      <c r="BX31" s="9" t="n">
        <v>0</v>
      </c>
      <c r="BY31" s="11" t="n">
        <f aca="false">(BU31+BV31+BW31+BX31)/4</f>
        <v>1.25</v>
      </c>
      <c r="BZ31" s="11" t="n">
        <f aca="false">(BU31/AR31)</f>
        <v>0</v>
      </c>
      <c r="CA31" s="11" t="n">
        <f aca="false">(BV31/AS31)</f>
        <v>0.032258064516129</v>
      </c>
      <c r="CB31" s="11" t="n">
        <f aca="false">(BW31/AT31)</f>
        <v>0.210526315789474</v>
      </c>
      <c r="CC31" s="11" t="n">
        <f aca="false">(BX31/AU31)</f>
        <v>0</v>
      </c>
      <c r="CD31" s="11" t="n">
        <f aca="false">(BY31/AV31)</f>
        <v>0.0625</v>
      </c>
      <c r="CE31" s="11" t="n">
        <f aca="false">(100*CD31)</f>
        <v>6.25</v>
      </c>
      <c r="CF31" s="9" t="n">
        <v>1</v>
      </c>
      <c r="CG31" s="9" t="n">
        <v>4</v>
      </c>
      <c r="CH31" s="9" t="n">
        <v>4</v>
      </c>
      <c r="CI31" s="9" t="n">
        <v>35</v>
      </c>
      <c r="CJ31" s="9" t="n">
        <v>31</v>
      </c>
      <c r="CK31" s="11" t="n">
        <f aca="false">(CG31+CH31+CI31+CJ31)/4</f>
        <v>18.5</v>
      </c>
      <c r="CL31" s="11" t="n">
        <f aca="false">(CG31/AM31)</f>
        <v>0.25</v>
      </c>
      <c r="CM31" s="11" t="n">
        <f aca="false">(CH31/AN31)</f>
        <v>0.153846153846154</v>
      </c>
      <c r="CN31" s="11" t="n">
        <f aca="false">(CI31/AO31)</f>
        <v>0.402298850574713</v>
      </c>
      <c r="CO31" s="9" t="n">
        <f aca="false">(CJ31/AP31)</f>
        <v>0.574074074074074</v>
      </c>
      <c r="CP31" s="9" t="n">
        <f aca="false">(CK31/AQ31)</f>
        <v>0.404371584699454</v>
      </c>
      <c r="CQ31" s="9" t="n">
        <f aca="false">(100*CP31)</f>
        <v>40.4371584699454</v>
      </c>
      <c r="CR31" s="18" t="n">
        <v>3</v>
      </c>
      <c r="CS31" s="9" t="n">
        <v>55.8</v>
      </c>
      <c r="CT31" s="9" t="n">
        <v>56.9</v>
      </c>
      <c r="CU31" s="9" t="n">
        <v>56.5</v>
      </c>
      <c r="CV31" s="9" t="n">
        <v>72.8</v>
      </c>
      <c r="CW31" s="11" t="n">
        <f aca="false">(CS31+CT31+CU31+CV31)/4</f>
        <v>60.5</v>
      </c>
      <c r="CX31" s="9" t="n">
        <v>0</v>
      </c>
      <c r="CY31" s="9" t="n">
        <v>1</v>
      </c>
      <c r="CZ31" s="9" t="n">
        <v>1</v>
      </c>
      <c r="DA31" s="9" t="n">
        <v>0</v>
      </c>
      <c r="DB31" s="11" t="n">
        <f aca="false">(CX31+CY31+CZ31+DA31)/4</f>
        <v>0.5</v>
      </c>
      <c r="DC31" s="9" t="n">
        <v>1</v>
      </c>
      <c r="DD31" s="9" t="n">
        <v>0</v>
      </c>
      <c r="DE31" s="9" t="n">
        <v>0</v>
      </c>
      <c r="DF31" s="9" t="n">
        <v>0</v>
      </c>
      <c r="DG31" s="11" t="n">
        <f aca="false">(DC31+DD31+DE31+DF31)/4</f>
        <v>0.25</v>
      </c>
      <c r="DH31" s="9" t="n">
        <v>1</v>
      </c>
      <c r="DI31" s="9" t="n">
        <v>1</v>
      </c>
      <c r="DJ31" s="9" t="n">
        <v>1</v>
      </c>
      <c r="DK31" s="9" t="n">
        <v>1</v>
      </c>
      <c r="DL31" s="11" t="n">
        <f aca="false">(DH31+DI31+DJ31+DK31)/4</f>
        <v>1</v>
      </c>
      <c r="DM31" s="9" t="n">
        <v>3</v>
      </c>
      <c r="DN31" s="9" t="n">
        <v>31</v>
      </c>
      <c r="DO31" s="9" t="n">
        <v>2</v>
      </c>
      <c r="DP31" s="9" t="n">
        <v>3</v>
      </c>
      <c r="DQ31" s="11" t="n">
        <f aca="false">(DM31+DN31+DO31+DP31)/4</f>
        <v>9.75</v>
      </c>
      <c r="DR31" s="9" t="n">
        <v>28</v>
      </c>
      <c r="DS31" s="9" t="n">
        <v>3</v>
      </c>
      <c r="DT31" s="9" t="n">
        <v>44</v>
      </c>
      <c r="DU31" s="9" t="n">
        <v>14</v>
      </c>
      <c r="DV31" s="11" t="n">
        <f aca="false">(DR31+DS31+DT31+DU31)/4</f>
        <v>22.25</v>
      </c>
      <c r="DW31" s="9" t="n">
        <v>0</v>
      </c>
      <c r="DX31" s="9" t="n">
        <v>0</v>
      </c>
      <c r="DY31" s="9" t="n">
        <v>0</v>
      </c>
      <c r="DZ31" s="9" t="n">
        <v>0</v>
      </c>
      <c r="EB31" s="11" t="n">
        <f aca="false">(DW31/DR31)</f>
        <v>0</v>
      </c>
      <c r="EC31" s="11" t="n">
        <f aca="false">(DX31/DS31)</f>
        <v>0</v>
      </c>
      <c r="ED31" s="11" t="n">
        <f aca="false">(DY31/DT31)</f>
        <v>0</v>
      </c>
      <c r="EE31" s="11" t="n">
        <f aca="false">(DZ31/DU31)</f>
        <v>0</v>
      </c>
      <c r="EF31" s="11" t="n">
        <f aca="false">(EA20/DV31)</f>
        <v>0</v>
      </c>
      <c r="EG31" s="11" t="n">
        <f aca="false">(100*EF31)</f>
        <v>0</v>
      </c>
      <c r="EH31" s="9" t="n">
        <v>1</v>
      </c>
      <c r="EI31" s="9" t="n">
        <v>5</v>
      </c>
      <c r="EJ31" s="9" t="n">
        <v>0</v>
      </c>
      <c r="EK31" s="19" t="n">
        <v>0</v>
      </c>
      <c r="EL31" s="9" t="n">
        <v>0</v>
      </c>
      <c r="EM31" s="9" t="n">
        <f aca="false">(EI31+EJ31+EK31+EL31)/4</f>
        <v>1.25</v>
      </c>
      <c r="EN31" s="9" t="n">
        <f aca="false">(EI31/DR31)</f>
        <v>0.178571428571429</v>
      </c>
      <c r="EO31" s="9" t="n">
        <f aca="false">(EJ31/DS31)</f>
        <v>0</v>
      </c>
      <c r="EP31" s="9" t="n">
        <f aca="false">(EK31/DT31)</f>
        <v>0</v>
      </c>
      <c r="EQ31" s="9" t="n">
        <f aca="false">(EL31/DU31)</f>
        <v>0</v>
      </c>
      <c r="ER31" s="9" t="n">
        <f aca="false">EM31/DV31</f>
        <v>0.0561797752808989</v>
      </c>
      <c r="ES31" s="9" t="n">
        <f aca="false">(100*ER31)</f>
        <v>5.61797752808989</v>
      </c>
      <c r="ET31" s="9" t="n">
        <v>1</v>
      </c>
      <c r="EU31" s="18" t="n">
        <v>0</v>
      </c>
      <c r="EV31" s="9" t="n">
        <v>0</v>
      </c>
      <c r="EW31" s="9" t="n">
        <v>0</v>
      </c>
      <c r="EX31" s="9" t="n">
        <v>0</v>
      </c>
      <c r="EY31" s="11" t="n">
        <f aca="false">(EU31+EV31+EW31+EX31)/4</f>
        <v>0</v>
      </c>
      <c r="EZ31" s="11" t="n">
        <f aca="false">(EU31/DR31)</f>
        <v>0</v>
      </c>
      <c r="FA31" s="11" t="n">
        <f aca="false">(EV31/DS31)</f>
        <v>0</v>
      </c>
      <c r="FB31" s="11" t="n">
        <f aca="false">(EW31/DT31)</f>
        <v>0</v>
      </c>
      <c r="FC31" s="11" t="n">
        <f aca="false">(EX31/DU31)</f>
        <v>0</v>
      </c>
      <c r="FD31" s="11" t="n">
        <f aca="false">(EY31/DV31)</f>
        <v>0</v>
      </c>
      <c r="FE31" s="11" t="n">
        <f aca="false">(100*FD31)</f>
        <v>0</v>
      </c>
      <c r="FF31" s="9" t="n">
        <v>0</v>
      </c>
      <c r="FG31" s="9" t="n">
        <v>2</v>
      </c>
      <c r="FH31" s="9" t="n">
        <v>6</v>
      </c>
      <c r="FI31" s="9" t="n">
        <v>2</v>
      </c>
      <c r="FJ31" s="9" t="n">
        <v>3</v>
      </c>
      <c r="FK31" s="11" t="n">
        <f aca="false">(FG31+FH31+FI31+FJ31)/4</f>
        <v>3.25</v>
      </c>
      <c r="FL31" s="11" t="n">
        <f aca="false">(FG31/DR31)</f>
        <v>0.0714285714285714</v>
      </c>
      <c r="FM31" s="11" t="n">
        <f aca="false">(FH31/DS31)</f>
        <v>2</v>
      </c>
      <c r="FN31" s="11" t="n">
        <f aca="false">(FI31/DT31)</f>
        <v>0.0454545454545455</v>
      </c>
      <c r="FO31" s="11" t="n">
        <f aca="false">(FJ31/DU31)</f>
        <v>0.214285714285714</v>
      </c>
      <c r="FP31" s="11" t="n">
        <f aca="false">(FK31/DV31)</f>
        <v>0.146067415730337</v>
      </c>
      <c r="FQ31" s="11" t="n">
        <f aca="false">(100*FP31)</f>
        <v>14.6067415730337</v>
      </c>
      <c r="FR31" s="9" t="n">
        <v>2</v>
      </c>
      <c r="FS31" s="9" t="n">
        <v>55.7</v>
      </c>
      <c r="FT31" s="9" t="n">
        <v>71.9</v>
      </c>
      <c r="FU31" s="9" t="n">
        <v>67.8</v>
      </c>
      <c r="FV31" s="9" t="n">
        <v>68</v>
      </c>
      <c r="FW31" s="11" t="n">
        <f aca="false">(FS31+FT31+FU31+FV31)/4</f>
        <v>65.85</v>
      </c>
      <c r="FX31" s="9" t="n">
        <v>0</v>
      </c>
      <c r="FY31" s="9" t="n">
        <v>0</v>
      </c>
      <c r="FZ31" s="9" t="n">
        <v>0</v>
      </c>
      <c r="GA31" s="9" t="n">
        <v>0</v>
      </c>
      <c r="GB31" s="11" t="n">
        <f aca="false">(FX31+FY31+FZ31+GA31)/4</f>
        <v>0</v>
      </c>
      <c r="GC31" s="9" t="n">
        <v>1</v>
      </c>
      <c r="GD31" s="9" t="n">
        <v>1</v>
      </c>
      <c r="GE31" s="9" t="n">
        <v>1</v>
      </c>
      <c r="GF31" s="9" t="n">
        <v>1</v>
      </c>
      <c r="GG31" s="11" t="n">
        <f aca="false">(GC31+GD31+GE31+GF31)/4</f>
        <v>1</v>
      </c>
      <c r="GH31" s="9" t="n">
        <v>0</v>
      </c>
      <c r="GI31" s="9" t="n">
        <v>1</v>
      </c>
      <c r="GJ31" s="9" t="n">
        <v>1</v>
      </c>
      <c r="GK31" s="9" t="n">
        <v>1</v>
      </c>
      <c r="GL31" s="11" t="n">
        <f aca="false">(GH31+GI31+GJ31+GK31)/4</f>
        <v>0.75</v>
      </c>
      <c r="GM31" s="9" t="n">
        <v>0</v>
      </c>
      <c r="GN31" s="9" t="n">
        <v>1</v>
      </c>
      <c r="GO31" s="9" t="n">
        <v>45</v>
      </c>
      <c r="GP31" s="9" t="n">
        <v>8</v>
      </c>
      <c r="GQ31" s="11" t="n">
        <f aca="false">(GM31+GN31+GO31+GP31)/4</f>
        <v>13.5</v>
      </c>
      <c r="GR31" s="9" t="n">
        <v>22</v>
      </c>
      <c r="GS31" s="9" t="n">
        <v>7</v>
      </c>
      <c r="GT31" s="9" t="n">
        <v>6</v>
      </c>
      <c r="GU31" s="9" t="n">
        <v>10</v>
      </c>
      <c r="GV31" s="11" t="n">
        <f aca="false">(GR31+GS31+GT31+GU31)/4</f>
        <v>11.25</v>
      </c>
      <c r="GW31" s="9" t="n">
        <v>0</v>
      </c>
      <c r="GX31" s="9" t="n">
        <v>0</v>
      </c>
      <c r="GY31" s="9" t="n">
        <v>0</v>
      </c>
      <c r="GZ31" s="9" t="n">
        <v>0</v>
      </c>
      <c r="HA31" s="11" t="n">
        <f aca="false">(GW31+GX31+GY31+GZ31)/4</f>
        <v>0</v>
      </c>
      <c r="HB31" s="9" t="n">
        <f aca="false">(GW31/GR31)</f>
        <v>0</v>
      </c>
      <c r="HC31" s="9" t="n">
        <f aca="false">(GX31/GS31)</f>
        <v>0</v>
      </c>
      <c r="HD31" s="9" t="n">
        <f aca="false">(GY31/GT31)</f>
        <v>0</v>
      </c>
      <c r="HE31" s="9" t="n">
        <f aca="false">(GZ31/GU31)/4</f>
        <v>0</v>
      </c>
      <c r="HF31" s="9" t="n">
        <f aca="false">(HB31+HC31+HD31+HE31)/4</f>
        <v>0</v>
      </c>
      <c r="HG31" s="9" t="n">
        <f aca="false">(100*HF31)</f>
        <v>0</v>
      </c>
      <c r="HH31" s="18" t="n">
        <v>0</v>
      </c>
      <c r="HI31" s="9" t="n">
        <v>2</v>
      </c>
      <c r="HJ31" s="9" t="n">
        <v>1</v>
      </c>
      <c r="HK31" s="9" t="n">
        <v>3</v>
      </c>
      <c r="HL31" s="19" t="n">
        <v>4</v>
      </c>
      <c r="HM31" s="9" t="n">
        <f aca="false">(HI31+HJ31+HK31+HL31)/4</f>
        <v>2.5</v>
      </c>
      <c r="HN31" s="9" t="n">
        <f aca="false">(HI31/GR31)</f>
        <v>0.0909090909090909</v>
      </c>
      <c r="HO31" s="9" t="n">
        <f aca="false">(HJ31/GS31)</f>
        <v>0.142857142857143</v>
      </c>
      <c r="HP31" s="9" t="n">
        <f aca="false">(HK31/GT31)</f>
        <v>0.5</v>
      </c>
      <c r="HQ31" s="9" t="n">
        <f aca="false">(HL31/GU31)</f>
        <v>0.4</v>
      </c>
      <c r="HR31" s="9" t="n">
        <f aca="false">(HM31/GV31)</f>
        <v>0.222222222222222</v>
      </c>
      <c r="HS31" s="9" t="n">
        <f aca="false">(100*HR31)</f>
        <v>22.2222222222222</v>
      </c>
      <c r="HT31" s="18" t="n">
        <v>2</v>
      </c>
      <c r="HU31" s="9" t="n">
        <v>0</v>
      </c>
      <c r="HV31" s="9" t="n">
        <v>4</v>
      </c>
      <c r="HW31" s="9" t="n">
        <v>0</v>
      </c>
      <c r="HX31" s="19" t="n">
        <v>0</v>
      </c>
      <c r="HY31" s="9" t="n">
        <f aca="false">(HU31+HV31+HW31+HX31)/4</f>
        <v>1</v>
      </c>
      <c r="HZ31" s="9" t="n">
        <f aca="false">(HU31/GR31)</f>
        <v>0</v>
      </c>
      <c r="IA31" s="9" t="n">
        <f aca="false">HV31/GS31</f>
        <v>0.571428571428571</v>
      </c>
      <c r="IB31" s="9" t="n">
        <f aca="false">(HW31/GT31)</f>
        <v>0</v>
      </c>
      <c r="IC31" s="9" t="n">
        <f aca="false">(HX31/GU31)</f>
        <v>0</v>
      </c>
      <c r="ID31" s="9" t="n">
        <f aca="false">(HY31/GV31)</f>
        <v>0.0888888888888889</v>
      </c>
      <c r="IE31" s="9" t="n">
        <f aca="false">(100*ID31)</f>
        <v>8.88888888888889</v>
      </c>
      <c r="IF31" s="18" t="n">
        <v>1</v>
      </c>
      <c r="IG31" s="9" t="n">
        <v>0</v>
      </c>
      <c r="IH31" s="9" t="n">
        <v>0</v>
      </c>
      <c r="II31" s="19" t="n">
        <v>28</v>
      </c>
      <c r="IJ31" s="9" t="n">
        <v>5</v>
      </c>
      <c r="IK31" s="9" t="n">
        <f aca="false">(IG31+IH31+II31+IJ31)/4</f>
        <v>8.25</v>
      </c>
      <c r="IL31" s="9" t="e">
        <f aca="false">(IG31/GM31)</f>
        <v>#DIV/0!</v>
      </c>
      <c r="IM31" s="9" t="n">
        <f aca="false">(IH31/GN31)</f>
        <v>0</v>
      </c>
      <c r="IN31" s="9" t="n">
        <f aca="false">(II31/GO31)</f>
        <v>0.622222222222222</v>
      </c>
      <c r="IO31" s="9" t="n">
        <f aca="false">(IJ31/GP31)</f>
        <v>0.625</v>
      </c>
      <c r="IP31" s="9" t="n">
        <f aca="false">(IK31/GQ31)</f>
        <v>0.611111111111111</v>
      </c>
      <c r="IQ31" s="9" t="n">
        <f aca="false">(100*IP31)</f>
        <v>61.1111111111111</v>
      </c>
      <c r="IR31" s="18" t="n">
        <v>3</v>
      </c>
      <c r="IS31" s="9" t="n">
        <v>69</v>
      </c>
      <c r="IT31" s="9" t="n">
        <v>57</v>
      </c>
      <c r="IU31" s="19" t="n">
        <v>68.4</v>
      </c>
      <c r="IV31" s="9" t="n">
        <v>65.3</v>
      </c>
      <c r="IW31" s="9" t="n">
        <f aca="false">(IS31+IT31+IU31+IV31)/4</f>
        <v>64.925</v>
      </c>
      <c r="IX31" s="16" t="n">
        <v>45241</v>
      </c>
      <c r="IY31" s="10" t="s">
        <v>268</v>
      </c>
    </row>
    <row r="32" customFormat="false" ht="15.75" hidden="false" customHeight="true" outlineLevel="0" collapsed="false">
      <c r="A32" s="9" t="s">
        <v>343</v>
      </c>
      <c r="B32" s="10" t="s">
        <v>344</v>
      </c>
      <c r="C32" s="10" t="s">
        <v>261</v>
      </c>
      <c r="D32" s="9" t="n">
        <v>1</v>
      </c>
      <c r="E32" s="9" t="n">
        <v>11</v>
      </c>
      <c r="F32" s="10" t="s">
        <v>345</v>
      </c>
      <c r="G32" s="10" t="s">
        <v>320</v>
      </c>
      <c r="H32" s="9" t="n">
        <v>21</v>
      </c>
      <c r="I32" s="9" t="n">
        <v>5</v>
      </c>
      <c r="J32" s="12" t="s">
        <v>264</v>
      </c>
      <c r="K32" s="13" t="s">
        <v>346</v>
      </c>
      <c r="L32" s="13" t="s">
        <v>347</v>
      </c>
      <c r="M32" s="14" t="n">
        <v>1288</v>
      </c>
      <c r="N32" s="15" t="n">
        <v>45134</v>
      </c>
      <c r="O32" s="10" t="s">
        <v>267</v>
      </c>
      <c r="P32" s="9"/>
      <c r="Q32" s="9" t="n">
        <v>21.62</v>
      </c>
      <c r="R32" s="9" t="n">
        <v>12</v>
      </c>
      <c r="S32" s="9" t="n">
        <v>-11</v>
      </c>
      <c r="T32" s="9" t="n">
        <v>110</v>
      </c>
      <c r="U32" s="9"/>
      <c r="V32" s="9" t="n">
        <f aca="false">(28.475/100)</f>
        <v>0.28475</v>
      </c>
      <c r="W32" s="9" t="s">
        <v>348</v>
      </c>
      <c r="X32" s="9" t="n">
        <v>0</v>
      </c>
      <c r="Y32" s="9" t="n">
        <v>0</v>
      </c>
      <c r="Z32" s="9" t="n">
        <v>0</v>
      </c>
      <c r="AA32" s="9" t="n">
        <v>0</v>
      </c>
      <c r="AB32" s="11" t="n">
        <f aca="false">(X32+Y32+Z32+AA32)/4</f>
        <v>0</v>
      </c>
      <c r="AC32" s="9" t="n">
        <v>1</v>
      </c>
      <c r="AD32" s="9" t="n">
        <v>0</v>
      </c>
      <c r="AE32" s="9" t="n">
        <v>1</v>
      </c>
      <c r="AF32" s="9" t="n">
        <v>0</v>
      </c>
      <c r="AG32" s="11" t="n">
        <f aca="false">(AC32+AD32+AE32+AF32)/4</f>
        <v>0.5</v>
      </c>
      <c r="AH32" s="9" t="n">
        <v>1</v>
      </c>
      <c r="AI32" s="9" t="n">
        <v>0</v>
      </c>
      <c r="AJ32" s="9" t="n">
        <v>1</v>
      </c>
      <c r="AK32" s="9" t="n">
        <v>1</v>
      </c>
      <c r="AL32" s="11" t="n">
        <f aca="false">(AH32+AI32+AJ32+AK32)/4</f>
        <v>0.75</v>
      </c>
      <c r="AM32" s="9" t="n">
        <v>30</v>
      </c>
      <c r="AN32" s="9" t="n">
        <v>49</v>
      </c>
      <c r="AO32" s="9" t="n">
        <v>23</v>
      </c>
      <c r="AP32" s="9" t="n">
        <v>79</v>
      </c>
      <c r="AQ32" s="11" t="n">
        <f aca="false">(AM32+AN32+AO32+AP32)/4</f>
        <v>45.25</v>
      </c>
      <c r="AR32" s="9" t="n">
        <v>32</v>
      </c>
      <c r="AS32" s="9" t="n">
        <v>35</v>
      </c>
      <c r="AT32" s="9" t="n">
        <v>44</v>
      </c>
      <c r="AU32" s="9" t="n">
        <v>19</v>
      </c>
      <c r="AV32" s="11" t="n">
        <f aca="false">(AR32+AS32+AT32+AU32)/4</f>
        <v>32.5</v>
      </c>
      <c r="AW32" s="9" t="n">
        <v>0</v>
      </c>
      <c r="AX32" s="9" t="n">
        <v>0</v>
      </c>
      <c r="AY32" s="9" t="n">
        <v>0</v>
      </c>
      <c r="AZ32" s="9" t="n">
        <v>0</v>
      </c>
      <c r="BA32" s="11" t="n">
        <f aca="false">(AW32+AX32+AY32+AZ32)/4</f>
        <v>0</v>
      </c>
      <c r="BB32" s="11" t="n">
        <f aca="false">(AW32/AR32)</f>
        <v>0</v>
      </c>
      <c r="BC32" s="11" t="n">
        <f aca="false">(AX32/AS32)</f>
        <v>0</v>
      </c>
      <c r="BD32" s="11" t="n">
        <f aca="false">(AY32/AT32)</f>
        <v>0</v>
      </c>
      <c r="BE32" s="11" t="n">
        <f aca="false">(AZ32/AU32)</f>
        <v>0</v>
      </c>
      <c r="BF32" s="11" t="n">
        <f aca="false">(BA32/AV32)</f>
        <v>0</v>
      </c>
      <c r="BG32" s="11" t="n">
        <f aca="false">(BF32*100)</f>
        <v>0</v>
      </c>
      <c r="BH32" s="9" t="n">
        <v>0</v>
      </c>
      <c r="BI32" s="9" t="n">
        <v>2</v>
      </c>
      <c r="BJ32" s="9" t="n">
        <v>0</v>
      </c>
      <c r="BK32" s="9" t="n">
        <v>3</v>
      </c>
      <c r="BL32" s="9" t="n">
        <v>0</v>
      </c>
      <c r="BM32" s="11" t="n">
        <f aca="false">(BI32+BJ32+BK32+BL32)/4</f>
        <v>1.25</v>
      </c>
      <c r="BN32" s="11" t="n">
        <f aca="false">(BI32/AR32)</f>
        <v>0.0625</v>
      </c>
      <c r="BO32" s="11" t="n">
        <f aca="false">(BJ32/AS32)</f>
        <v>0</v>
      </c>
      <c r="BP32" s="11" t="n">
        <f aca="false">(BK32/AT32)</f>
        <v>0.0681818181818182</v>
      </c>
      <c r="BQ32" s="11" t="n">
        <f aca="false">(BL32/AU32)</f>
        <v>0</v>
      </c>
      <c r="BR32" s="11" t="n">
        <f aca="false">(BM32/AV32)</f>
        <v>0.0384615384615385</v>
      </c>
      <c r="BS32" s="11" t="n">
        <f aca="false">(100*BR32)</f>
        <v>3.84615384615385</v>
      </c>
      <c r="BT32" s="9" t="n">
        <v>1</v>
      </c>
      <c r="BU32" s="9" t="n">
        <v>0</v>
      </c>
      <c r="BV32" s="9" t="n">
        <v>0</v>
      </c>
      <c r="BW32" s="9" t="n">
        <v>1</v>
      </c>
      <c r="BX32" s="9" t="n">
        <v>2</v>
      </c>
      <c r="BY32" s="11" t="n">
        <f aca="false">(BU32+BV32+BW32+BX32)/4</f>
        <v>0.75</v>
      </c>
      <c r="BZ32" s="11" t="n">
        <f aca="false">(BU32/AR32)</f>
        <v>0</v>
      </c>
      <c r="CA32" s="11" t="n">
        <f aca="false">(BV32/AS32)</f>
        <v>0</v>
      </c>
      <c r="CB32" s="11" t="n">
        <f aca="false">(BW32/AT32)</f>
        <v>0.0227272727272727</v>
      </c>
      <c r="CC32" s="11" t="n">
        <f aca="false">(BX32/AU32)</f>
        <v>0.105263157894737</v>
      </c>
      <c r="CD32" s="11" t="n">
        <f aca="false">(BY32/AV32)</f>
        <v>0.0230769230769231</v>
      </c>
      <c r="CE32" s="11" t="n">
        <f aca="false">(100*CD32)</f>
        <v>2.30769230769231</v>
      </c>
      <c r="CF32" s="9" t="n">
        <v>1</v>
      </c>
      <c r="CG32" s="9" t="n">
        <v>8</v>
      </c>
      <c r="CH32" s="9" t="n">
        <v>0</v>
      </c>
      <c r="CI32" s="9" t="n">
        <v>6</v>
      </c>
      <c r="CJ32" s="9" t="n">
        <v>20</v>
      </c>
      <c r="CK32" s="11" t="n">
        <f aca="false">(CG32+CH32+CI32+CJ32)/4</f>
        <v>8.5</v>
      </c>
      <c r="CL32" s="11" t="n">
        <f aca="false">(CG32/AM32)</f>
        <v>0.266666666666667</v>
      </c>
      <c r="CM32" s="11" t="n">
        <f aca="false">(CH32/AN32)</f>
        <v>0</v>
      </c>
      <c r="CN32" s="11" t="n">
        <f aca="false">(CI32/AO32)</f>
        <v>0.260869565217391</v>
      </c>
      <c r="CO32" s="9" t="n">
        <f aca="false">(CJ32/AP32)</f>
        <v>0.253164556962025</v>
      </c>
      <c r="CP32" s="9" t="n">
        <f aca="false">(CK32/AQ32)</f>
        <v>0.187845303867403</v>
      </c>
      <c r="CQ32" s="9" t="n">
        <f aca="false">(100*CP32)</f>
        <v>18.7845303867403</v>
      </c>
      <c r="CR32" s="18" t="n">
        <v>2</v>
      </c>
      <c r="CS32" s="9" t="n">
        <v>60.5</v>
      </c>
      <c r="CT32" s="9" t="n">
        <v>66.6</v>
      </c>
      <c r="CU32" s="9" t="n">
        <v>63.5</v>
      </c>
      <c r="CV32" s="9" t="n">
        <v>60</v>
      </c>
      <c r="CW32" s="11" t="n">
        <f aca="false">(CS32+CT32+CU32+CV32)/4</f>
        <v>62.65</v>
      </c>
      <c r="CX32" s="9" t="n">
        <v>0</v>
      </c>
      <c r="CY32" s="9" t="n">
        <v>0</v>
      </c>
      <c r="CZ32" s="9" t="n">
        <v>0</v>
      </c>
      <c r="DA32" s="9" t="n">
        <v>0</v>
      </c>
      <c r="DB32" s="11" t="n">
        <f aca="false">(CX32+CY32+CZ32+DA32)/4</f>
        <v>0</v>
      </c>
      <c r="DC32" s="9" t="n">
        <v>0</v>
      </c>
      <c r="DD32" s="9" t="n">
        <v>0</v>
      </c>
      <c r="DE32" s="9" t="n">
        <v>0</v>
      </c>
      <c r="DF32" s="9" t="n">
        <v>1</v>
      </c>
      <c r="DG32" s="11" t="n">
        <f aca="false">(DC32+DD32+DE32+DF32)/4</f>
        <v>0.25</v>
      </c>
      <c r="DH32" s="9" t="n">
        <v>1</v>
      </c>
      <c r="DI32" s="9" t="n">
        <v>0</v>
      </c>
      <c r="DJ32" s="9" t="n">
        <v>1</v>
      </c>
      <c r="DK32" s="9" t="n">
        <v>1</v>
      </c>
      <c r="DL32" s="11" t="n">
        <f aca="false">(DH32+DI32+DJ32+DK32)/4</f>
        <v>0.75</v>
      </c>
      <c r="DM32" s="9" t="n">
        <v>151</v>
      </c>
      <c r="DN32" s="9" t="n">
        <v>87</v>
      </c>
      <c r="DO32" s="9" t="n">
        <v>240</v>
      </c>
      <c r="DP32" s="9" t="n">
        <v>221</v>
      </c>
      <c r="DQ32" s="11" t="n">
        <f aca="false">(DM32+DN32+DO32+DP32)/4</f>
        <v>174.75</v>
      </c>
      <c r="DR32" s="9" t="n">
        <v>8</v>
      </c>
      <c r="DS32" s="9" t="n">
        <v>11</v>
      </c>
      <c r="DT32" s="9" t="n">
        <v>22</v>
      </c>
      <c r="DU32" s="9" t="n">
        <v>21</v>
      </c>
      <c r="DV32" s="11" t="n">
        <f aca="false">(DR32+DS32+DT32+DU32)/4</f>
        <v>15.5</v>
      </c>
      <c r="DW32" s="9" t="n">
        <v>0</v>
      </c>
      <c r="DX32" s="9" t="n">
        <v>0</v>
      </c>
      <c r="DY32" s="9" t="n">
        <v>0</v>
      </c>
      <c r="DZ32" s="9" t="n">
        <v>0</v>
      </c>
      <c r="EA32" s="11" t="n">
        <f aca="false">(DW32+DX32+DY32+DZ32)/4</f>
        <v>0</v>
      </c>
      <c r="EB32" s="11" t="n">
        <f aca="false">(DW32/DR32)</f>
        <v>0</v>
      </c>
      <c r="EC32" s="11" t="n">
        <f aca="false">(DX32/DS32)</f>
        <v>0</v>
      </c>
      <c r="ED32" s="11" t="n">
        <f aca="false">(DY32/DT32)</f>
        <v>0</v>
      </c>
      <c r="EE32" s="11" t="n">
        <f aca="false">(DZ32/DU32)</f>
        <v>0</v>
      </c>
      <c r="EF32" s="11" t="n">
        <f aca="false">(EA32/DV32)</f>
        <v>0</v>
      </c>
      <c r="EG32" s="11" t="n">
        <f aca="false">(100*EF32)</f>
        <v>0</v>
      </c>
      <c r="EH32" s="9" t="n">
        <v>0</v>
      </c>
      <c r="EI32" s="9" t="n">
        <v>0</v>
      </c>
      <c r="EJ32" s="9" t="n">
        <v>0</v>
      </c>
      <c r="EK32" s="19" t="n">
        <v>0</v>
      </c>
      <c r="EL32" s="9" t="n">
        <v>4</v>
      </c>
      <c r="EM32" s="9" t="n">
        <f aca="false">(EI32+EJ32+EK32+EL32)/4</f>
        <v>1</v>
      </c>
      <c r="EN32" s="9" t="n">
        <f aca="false">(EI32/DR32)</f>
        <v>0</v>
      </c>
      <c r="EO32" s="9" t="n">
        <f aca="false">(EJ32/DS32)</f>
        <v>0</v>
      </c>
      <c r="EP32" s="9" t="n">
        <f aca="false">(EK32/DT32)</f>
        <v>0</v>
      </c>
      <c r="EQ32" s="9" t="n">
        <f aca="false">(EL32/DU32)</f>
        <v>0.19047619047619</v>
      </c>
      <c r="ER32" s="9" t="n">
        <f aca="false">EM32/DV32</f>
        <v>0.0645161290322581</v>
      </c>
      <c r="ES32" s="9" t="n">
        <f aca="false">(100*ER32)</f>
        <v>6.45161290322581</v>
      </c>
      <c r="ET32" s="9" t="n">
        <v>1</v>
      </c>
      <c r="EU32" s="18" t="n">
        <v>3</v>
      </c>
      <c r="EV32" s="9" t="n">
        <v>0</v>
      </c>
      <c r="EW32" s="9" t="n">
        <v>3</v>
      </c>
      <c r="EX32" s="9" t="n">
        <v>4</v>
      </c>
      <c r="EY32" s="11" t="n">
        <f aca="false">(EU32+EV32+EW32+EX32)/4</f>
        <v>2.5</v>
      </c>
      <c r="EZ32" s="11" t="n">
        <f aca="false">(EU32/DR32)</f>
        <v>0.375</v>
      </c>
      <c r="FA32" s="11" t="n">
        <f aca="false">(EV32/DS32)</f>
        <v>0</v>
      </c>
      <c r="FB32" s="11" t="n">
        <f aca="false">(EW32/DT32)</f>
        <v>0.136363636363636</v>
      </c>
      <c r="FC32" s="11" t="n">
        <f aca="false">(EX32/DU32)</f>
        <v>0.19047619047619</v>
      </c>
      <c r="FD32" s="11" t="n">
        <f aca="false">(EY32/DV32)</f>
        <v>0.161290322580645</v>
      </c>
      <c r="FE32" s="11" t="n">
        <f aca="false">(100*FD32)</f>
        <v>16.1290322580645</v>
      </c>
      <c r="FF32" s="9" t="n">
        <v>2</v>
      </c>
      <c r="FG32" s="9" t="n">
        <v>6</v>
      </c>
      <c r="FH32" s="9" t="n">
        <v>0</v>
      </c>
      <c r="FI32" s="9" t="n">
        <v>12</v>
      </c>
      <c r="FJ32" s="9" t="n">
        <v>5</v>
      </c>
      <c r="FK32" s="11" t="n">
        <f aca="false">(FG32+FH32+FI32+FJ32)/4</f>
        <v>5.75</v>
      </c>
      <c r="FL32" s="11" t="n">
        <f aca="false">(FG32/DR32)</f>
        <v>0.75</v>
      </c>
      <c r="FM32" s="11" t="n">
        <f aca="false">(FH32/DS32)</f>
        <v>0</v>
      </c>
      <c r="FN32" s="11" t="n">
        <f aca="false">(FI32/DT32)</f>
        <v>0.545454545454545</v>
      </c>
      <c r="FO32" s="11" t="n">
        <f aca="false">(FJ32/DU32)</f>
        <v>0.238095238095238</v>
      </c>
      <c r="FP32" s="11" t="n">
        <f aca="false">(FK32/DV32)</f>
        <v>0.370967741935484</v>
      </c>
      <c r="FQ32" s="11" t="n">
        <f aca="false">(100*FP32)</f>
        <v>37.0967741935484</v>
      </c>
      <c r="FR32" s="9" t="n">
        <v>3</v>
      </c>
      <c r="FS32" s="9" t="n">
        <v>58.2</v>
      </c>
      <c r="FT32" s="9" t="n">
        <v>62.1</v>
      </c>
      <c r="FU32" s="9" t="n">
        <v>60.5</v>
      </c>
      <c r="FV32" s="9" t="n">
        <v>71</v>
      </c>
      <c r="FW32" s="11" t="n">
        <f aca="false">(FS32+FT32+FU32+FV32)/4</f>
        <v>62.95</v>
      </c>
      <c r="FX32" s="9" t="n">
        <v>0</v>
      </c>
      <c r="FY32" s="9" t="n">
        <v>0</v>
      </c>
      <c r="FZ32" s="9" t="n">
        <v>0</v>
      </c>
      <c r="GA32" s="9" t="n">
        <v>0</v>
      </c>
      <c r="GB32" s="11" t="n">
        <f aca="false">(FX32+FY32+FZ32+GA32)/4</f>
        <v>0</v>
      </c>
      <c r="GC32" s="9" t="n">
        <v>1</v>
      </c>
      <c r="GD32" s="9" t="n">
        <v>1</v>
      </c>
      <c r="GE32" s="9" t="n">
        <v>0</v>
      </c>
      <c r="GF32" s="9" t="n">
        <v>0</v>
      </c>
      <c r="GG32" s="11" t="n">
        <f aca="false">(GC32+GD32+GE32+GF32)/4</f>
        <v>0.5</v>
      </c>
      <c r="GH32" s="9" t="n">
        <v>1</v>
      </c>
      <c r="GI32" s="9" t="n">
        <v>1</v>
      </c>
      <c r="GJ32" s="9" t="n">
        <v>1</v>
      </c>
      <c r="GK32" s="9" t="n">
        <v>1</v>
      </c>
      <c r="GL32" s="11" t="n">
        <f aca="false">(GH32+GI32+GJ32+GK32)/4</f>
        <v>1</v>
      </c>
      <c r="GM32" s="9" t="n">
        <v>221</v>
      </c>
      <c r="GN32" s="9" t="n">
        <v>166</v>
      </c>
      <c r="GO32" s="9" t="n">
        <v>197</v>
      </c>
      <c r="GP32" s="9" t="n">
        <v>54</v>
      </c>
      <c r="GQ32" s="11" t="n">
        <f aca="false">(GM32+GN32+GO32+GP32)/4</f>
        <v>159.5</v>
      </c>
      <c r="GR32" s="9" t="n">
        <v>25</v>
      </c>
      <c r="GS32" s="9" t="n">
        <v>19</v>
      </c>
      <c r="GT32" s="9" t="n">
        <v>18</v>
      </c>
      <c r="GU32" s="9" t="n">
        <v>30</v>
      </c>
      <c r="GV32" s="11" t="n">
        <f aca="false">(GR32+GS32+GT32+GU32)/4</f>
        <v>23</v>
      </c>
      <c r="GW32" s="9" t="n">
        <v>0</v>
      </c>
      <c r="GX32" s="9" t="n">
        <v>0</v>
      </c>
      <c r="GY32" s="9" t="n">
        <v>0</v>
      </c>
      <c r="GZ32" s="9" t="n">
        <v>0</v>
      </c>
      <c r="HA32" s="11" t="n">
        <f aca="false">(GW32+GX32+GY32+GZ32)/4</f>
        <v>0</v>
      </c>
      <c r="HB32" s="9" t="n">
        <f aca="false">(GW32/GR32)</f>
        <v>0</v>
      </c>
      <c r="HC32" s="9" t="n">
        <f aca="false">(GX32/GS32)</f>
        <v>0</v>
      </c>
      <c r="HD32" s="9" t="n">
        <f aca="false">(GY32/GT32)</f>
        <v>0</v>
      </c>
      <c r="HE32" s="9" t="n">
        <f aca="false">(GZ32/GU32)/4</f>
        <v>0</v>
      </c>
      <c r="HF32" s="9" t="n">
        <f aca="false">(HB32+HC32+HD32+HE32)/4</f>
        <v>0</v>
      </c>
      <c r="HG32" s="9" t="n">
        <f aca="false">(100*HF32)</f>
        <v>0</v>
      </c>
      <c r="HH32" s="18" t="n">
        <v>0</v>
      </c>
      <c r="HI32" s="9" t="n">
        <v>5</v>
      </c>
      <c r="HJ32" s="9" t="n">
        <v>1</v>
      </c>
      <c r="HK32" s="9" t="n">
        <v>0</v>
      </c>
      <c r="HL32" s="19" t="n">
        <v>0</v>
      </c>
      <c r="HM32" s="9" t="n">
        <f aca="false">(HI32+HJ32+HK32+HL32)/4</f>
        <v>1.5</v>
      </c>
      <c r="HN32" s="9" t="n">
        <f aca="false">(HI32/GR32)</f>
        <v>0.2</v>
      </c>
      <c r="HO32" s="9" t="n">
        <f aca="false">(HJ32/GS32)</f>
        <v>0.0526315789473684</v>
      </c>
      <c r="HP32" s="9" t="n">
        <f aca="false">(HK32/GT32)</f>
        <v>0</v>
      </c>
      <c r="HQ32" s="9" t="n">
        <f aca="false">(HL32/GU32)</f>
        <v>0</v>
      </c>
      <c r="HR32" s="9" t="n">
        <f aca="false">(HM32/GV32)</f>
        <v>0.0652173913043478</v>
      </c>
      <c r="HS32" s="9" t="n">
        <f aca="false">(100*HR32)</f>
        <v>6.52173913043478</v>
      </c>
      <c r="HT32" s="18" t="n">
        <v>1</v>
      </c>
      <c r="HU32" s="9" t="n">
        <v>0</v>
      </c>
      <c r="HV32" s="9" t="n">
        <v>0</v>
      </c>
      <c r="HW32" s="9" t="n">
        <v>4</v>
      </c>
      <c r="HX32" s="19" t="n">
        <v>4</v>
      </c>
      <c r="HY32" s="9" t="n">
        <f aca="false">(HU32+HV32+HW32+HX32)/4</f>
        <v>2</v>
      </c>
      <c r="HZ32" s="9" t="n">
        <f aca="false">(HU32/GR32)</f>
        <v>0</v>
      </c>
      <c r="IA32" s="9" t="n">
        <f aca="false">HV32/GS32</f>
        <v>0</v>
      </c>
      <c r="IB32" s="9" t="n">
        <f aca="false">(HW32/GT32)</f>
        <v>0.222222222222222</v>
      </c>
      <c r="IC32" s="9" t="n">
        <f aca="false">(HX32/GU32)</f>
        <v>0.133333333333333</v>
      </c>
      <c r="ID32" s="9" t="n">
        <f aca="false">(HY32/GV32)</f>
        <v>0.0869565217391304</v>
      </c>
      <c r="IE32" s="9" t="n">
        <f aca="false">(100*ID32)</f>
        <v>8.69565217391304</v>
      </c>
      <c r="IF32" s="18" t="n">
        <v>1</v>
      </c>
      <c r="IG32" s="9" t="n">
        <v>1</v>
      </c>
      <c r="IH32" s="9" t="n">
        <v>1</v>
      </c>
      <c r="II32" s="19" t="n">
        <v>15</v>
      </c>
      <c r="IJ32" s="9" t="n">
        <v>1</v>
      </c>
      <c r="IK32" s="9" t="n">
        <f aca="false">(IG32+IH32+II32+IJ32)/4</f>
        <v>4.5</v>
      </c>
      <c r="IL32" s="9" t="n">
        <f aca="false">(IG32/GM32)</f>
        <v>0.00452488687782806</v>
      </c>
      <c r="IM32" s="9" t="n">
        <f aca="false">(IH32/GN32)</f>
        <v>0.00602409638554217</v>
      </c>
      <c r="IN32" s="9" t="n">
        <f aca="false">(II32/GO32)</f>
        <v>0.0761421319796954</v>
      </c>
      <c r="IO32" s="9" t="n">
        <f aca="false">(IJ32/GP32)</f>
        <v>0.0185185185185185</v>
      </c>
      <c r="IP32" s="9" t="n">
        <f aca="false">(IK32/GQ32)</f>
        <v>0.0282131661442006</v>
      </c>
      <c r="IQ32" s="9" t="n">
        <f aca="false">(100*IP32)</f>
        <v>2.82131661442006</v>
      </c>
      <c r="IR32" s="18" t="n">
        <v>1</v>
      </c>
      <c r="IS32" s="9" t="n">
        <v>70.8</v>
      </c>
      <c r="IT32" s="9" t="n">
        <v>65.5</v>
      </c>
      <c r="IU32" s="19" t="n">
        <v>71.4</v>
      </c>
      <c r="IV32" s="9" t="n">
        <v>76.1</v>
      </c>
      <c r="IW32" s="9" t="n">
        <f aca="false">(IS32+IT32+IU32+IV32)/4</f>
        <v>70.95</v>
      </c>
      <c r="IX32" s="16" t="n">
        <v>45206</v>
      </c>
      <c r="IY32" s="10" t="s">
        <v>268</v>
      </c>
    </row>
    <row r="33" customFormat="false" ht="15.75" hidden="false" customHeight="true" outlineLevel="0" collapsed="false">
      <c r="A33" s="9" t="s">
        <v>343</v>
      </c>
      <c r="B33" s="10" t="s">
        <v>344</v>
      </c>
      <c r="C33" s="10" t="s">
        <v>261</v>
      </c>
      <c r="D33" s="9" t="n">
        <v>1</v>
      </c>
      <c r="E33" s="9" t="n">
        <v>11</v>
      </c>
      <c r="F33" s="10" t="s">
        <v>349</v>
      </c>
      <c r="G33" s="10" t="s">
        <v>275</v>
      </c>
      <c r="H33" s="9" t="n">
        <v>21</v>
      </c>
      <c r="I33" s="9" t="n">
        <v>10</v>
      </c>
      <c r="J33" s="12" t="s">
        <v>270</v>
      </c>
      <c r="K33" s="20"/>
      <c r="L33" s="20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 t="n">
        <v>0</v>
      </c>
      <c r="Y33" s="9" t="n">
        <v>0</v>
      </c>
      <c r="Z33" s="9" t="n">
        <v>0</v>
      </c>
      <c r="AA33" s="9" t="n">
        <v>0</v>
      </c>
      <c r="AB33" s="11" t="n">
        <f aca="false">(X33+Y33+Z33+AA33)/4</f>
        <v>0</v>
      </c>
      <c r="AC33" s="9" t="n">
        <v>1</v>
      </c>
      <c r="AD33" s="9" t="n">
        <v>1</v>
      </c>
      <c r="AE33" s="9" t="n">
        <v>1</v>
      </c>
      <c r="AF33" s="9" t="n">
        <v>1</v>
      </c>
      <c r="AG33" s="11" t="n">
        <f aca="false">(AC33+AD33+AE33+AF33)/4</f>
        <v>1</v>
      </c>
      <c r="AH33" s="9" t="n">
        <v>1</v>
      </c>
      <c r="AI33" s="9" t="n">
        <v>1</v>
      </c>
      <c r="AJ33" s="9" t="n">
        <v>1</v>
      </c>
      <c r="AK33" s="9" t="n">
        <v>1</v>
      </c>
      <c r="AL33" s="11" t="n">
        <f aca="false">(AH33+AI33+AJ33+AK33)/4</f>
        <v>1</v>
      </c>
      <c r="AM33" s="9" t="n">
        <v>43</v>
      </c>
      <c r="AN33" s="9" t="n">
        <v>66</v>
      </c>
      <c r="AO33" s="9" t="n">
        <v>38</v>
      </c>
      <c r="AP33" s="9" t="n">
        <v>91</v>
      </c>
      <c r="AQ33" s="11" t="n">
        <f aca="false">(AM33+AN33+AO33+AP33)/4</f>
        <v>59.5</v>
      </c>
      <c r="AR33" s="9" t="n">
        <v>7</v>
      </c>
      <c r="AS33" s="9" t="n">
        <v>7</v>
      </c>
      <c r="AT33" s="9" t="n">
        <v>7</v>
      </c>
      <c r="AU33" s="9" t="n">
        <v>4</v>
      </c>
      <c r="AV33" s="11" t="n">
        <f aca="false">(AR33+AS33+AT33+AU33)/4</f>
        <v>6.25</v>
      </c>
      <c r="AW33" s="9" t="n">
        <v>0</v>
      </c>
      <c r="AX33" s="9" t="n">
        <v>0</v>
      </c>
      <c r="AY33" s="9" t="n">
        <v>0</v>
      </c>
      <c r="AZ33" s="9" t="n">
        <v>0</v>
      </c>
      <c r="BA33" s="11" t="n">
        <f aca="false">(AW33+AX33+AY33+AZ33)/4</f>
        <v>0</v>
      </c>
      <c r="BB33" s="11" t="n">
        <f aca="false">(AW33/AR33)</f>
        <v>0</v>
      </c>
      <c r="BC33" s="11" t="n">
        <f aca="false">(AX33/AS33)</f>
        <v>0</v>
      </c>
      <c r="BD33" s="11" t="n">
        <f aca="false">(AY33/AT33)</f>
        <v>0</v>
      </c>
      <c r="BE33" s="11" t="n">
        <f aca="false">(AZ33/AU33)</f>
        <v>0</v>
      </c>
      <c r="BF33" s="11" t="n">
        <f aca="false">(BA33/AV33)</f>
        <v>0</v>
      </c>
      <c r="BG33" s="11" t="n">
        <f aca="false">(BF33*100)</f>
        <v>0</v>
      </c>
      <c r="BH33" s="9" t="n">
        <v>0</v>
      </c>
      <c r="BI33" s="9" t="n">
        <v>3</v>
      </c>
      <c r="BJ33" s="9" t="n">
        <v>5</v>
      </c>
      <c r="BK33" s="9" t="n">
        <v>2</v>
      </c>
      <c r="BL33" s="9" t="n">
        <v>4</v>
      </c>
      <c r="BM33" s="11" t="n">
        <f aca="false">(BI33+BJ33+BK33+BL33)/4</f>
        <v>3.5</v>
      </c>
      <c r="BN33" s="11" t="n">
        <f aca="false">(BI33/AR33)</f>
        <v>0.428571428571429</v>
      </c>
      <c r="BO33" s="11" t="n">
        <f aca="false">(BJ33/AS33)</f>
        <v>0.714285714285714</v>
      </c>
      <c r="BP33" s="11" t="n">
        <f aca="false">(BK33/AT33)</f>
        <v>0.285714285714286</v>
      </c>
      <c r="BQ33" s="11" t="n">
        <f aca="false">(BL33/AU33)</f>
        <v>1</v>
      </c>
      <c r="BR33" s="11" t="n">
        <f aca="false">(BM33/AV33)</f>
        <v>0.56</v>
      </c>
      <c r="BS33" s="11" t="n">
        <f aca="false">(100*BR33)</f>
        <v>56</v>
      </c>
      <c r="BT33" s="9" t="n">
        <v>3</v>
      </c>
      <c r="BU33" s="9" t="n">
        <v>2</v>
      </c>
      <c r="BV33" s="9" t="n">
        <v>0</v>
      </c>
      <c r="BW33" s="9" t="n">
        <v>0</v>
      </c>
      <c r="BX33" s="9" t="n">
        <v>0</v>
      </c>
      <c r="BY33" s="11" t="n">
        <f aca="false">(BU33+BV33+BW33+BX33)/4</f>
        <v>0.5</v>
      </c>
      <c r="BZ33" s="11" t="n">
        <f aca="false">(BU33/AR33)</f>
        <v>0.285714285714286</v>
      </c>
      <c r="CA33" s="11" t="n">
        <f aca="false">(BV33/AS33)</f>
        <v>0</v>
      </c>
      <c r="CB33" s="11" t="n">
        <f aca="false">(BW33/AT33)</f>
        <v>0</v>
      </c>
      <c r="CC33" s="11" t="n">
        <f aca="false">(BX33/AU33)</f>
        <v>0</v>
      </c>
      <c r="CD33" s="11" t="n">
        <f aca="false">(BY33/AV33)</f>
        <v>0.08</v>
      </c>
      <c r="CE33" s="11" t="n">
        <f aca="false">(100*CD33)</f>
        <v>8</v>
      </c>
      <c r="CF33" s="9" t="n">
        <v>1</v>
      </c>
      <c r="CG33" s="9" t="n">
        <v>36</v>
      </c>
      <c r="CH33" s="9" t="n">
        <v>20</v>
      </c>
      <c r="CI33" s="9" t="n">
        <v>23</v>
      </c>
      <c r="CJ33" s="9" t="n">
        <v>21</v>
      </c>
      <c r="CK33" s="11" t="n">
        <f aca="false">(CG33+CH33+CI33+CJ33)/4</f>
        <v>25</v>
      </c>
      <c r="CL33" s="11" t="n">
        <f aca="false">(CG33/AM33)</f>
        <v>0.837209302325581</v>
      </c>
      <c r="CM33" s="11" t="n">
        <f aca="false">(CH33/AN33)</f>
        <v>0.303030303030303</v>
      </c>
      <c r="CN33" s="11" t="n">
        <f aca="false">(CI33/AO33)</f>
        <v>0.605263157894737</v>
      </c>
      <c r="CO33" s="9" t="n">
        <f aca="false">(CJ33/AP33)</f>
        <v>0.230769230769231</v>
      </c>
      <c r="CP33" s="9" t="n">
        <f aca="false">(CK33/AQ33)</f>
        <v>0.420168067226891</v>
      </c>
      <c r="CQ33" s="9" t="n">
        <f aca="false">(100*CP33)</f>
        <v>42.0168067226891</v>
      </c>
      <c r="CR33" s="18" t="n">
        <v>3</v>
      </c>
      <c r="CS33" s="9" t="n">
        <v>52.6</v>
      </c>
      <c r="CT33" s="9" t="n">
        <v>62.4</v>
      </c>
      <c r="CU33" s="9" t="n">
        <v>42.3</v>
      </c>
      <c r="CV33" s="9" t="n">
        <v>63.6</v>
      </c>
      <c r="CW33" s="11" t="n">
        <f aca="false">(CS33+CT33+CU33+CV33)/4</f>
        <v>55.225</v>
      </c>
      <c r="CX33" s="9" t="n">
        <v>0</v>
      </c>
      <c r="CY33" s="9" t="n">
        <v>0</v>
      </c>
      <c r="CZ33" s="9" t="n">
        <v>0</v>
      </c>
      <c r="DA33" s="9" t="n">
        <v>0</v>
      </c>
      <c r="DB33" s="11" t="n">
        <f aca="false">(CX33+CY33+CZ33+DA33)/4</f>
        <v>0</v>
      </c>
      <c r="DC33" s="9" t="n">
        <v>1</v>
      </c>
      <c r="DD33" s="9" t="n">
        <v>1</v>
      </c>
      <c r="DE33" s="9" t="n">
        <v>1</v>
      </c>
      <c r="DF33" s="9" t="n">
        <v>1</v>
      </c>
      <c r="DG33" s="11" t="n">
        <f aca="false">(DC33+DD33+DE33+DF33)/4</f>
        <v>1</v>
      </c>
      <c r="DH33" s="9" t="n">
        <v>1</v>
      </c>
      <c r="DI33" s="9" t="n">
        <v>1</v>
      </c>
      <c r="DJ33" s="9" t="n">
        <v>0</v>
      </c>
      <c r="DK33" s="9" t="n">
        <v>0</v>
      </c>
      <c r="DL33" s="11" t="n">
        <f aca="false">(DH33+DI33+DJ33+DK33)/4</f>
        <v>0.5</v>
      </c>
      <c r="DM33" s="9" t="n">
        <v>66</v>
      </c>
      <c r="DN33" s="9" t="n">
        <v>33</v>
      </c>
      <c r="DO33" s="9" t="n">
        <v>16</v>
      </c>
      <c r="DP33" s="9" t="n">
        <v>39</v>
      </c>
      <c r="DQ33" s="11" t="n">
        <f aca="false">(DM33+DN33+DO33+DP33)/4</f>
        <v>38.5</v>
      </c>
      <c r="DR33" s="9" t="n">
        <v>4</v>
      </c>
      <c r="DS33" s="9" t="n">
        <v>8</v>
      </c>
      <c r="DT33" s="9" t="n">
        <v>4</v>
      </c>
      <c r="DU33" s="9" t="n">
        <v>8</v>
      </c>
      <c r="DV33" s="11" t="n">
        <f aca="false">(DR33+DS33+DT33+DU33)/4</f>
        <v>6</v>
      </c>
      <c r="DW33" s="9" t="n">
        <v>0</v>
      </c>
      <c r="DX33" s="9" t="n">
        <v>0</v>
      </c>
      <c r="DY33" s="9" t="n">
        <v>0</v>
      </c>
      <c r="DZ33" s="9" t="n">
        <v>0</v>
      </c>
      <c r="EA33" s="11" t="n">
        <f aca="false">(DW33+DX33+DY33+DZ33)/4</f>
        <v>0</v>
      </c>
      <c r="EB33" s="11" t="n">
        <f aca="false">(DW33/DR33)</f>
        <v>0</v>
      </c>
      <c r="EC33" s="11" t="n">
        <f aca="false">(DX33/DS33)</f>
        <v>0</v>
      </c>
      <c r="ED33" s="11" t="n">
        <f aca="false">(DY33/DT33)</f>
        <v>0</v>
      </c>
      <c r="EE33" s="11" t="n">
        <f aca="false">(DZ33/DU33)</f>
        <v>0</v>
      </c>
      <c r="EF33" s="11" t="n">
        <f aca="false">(EA33/DV33)</f>
        <v>0</v>
      </c>
      <c r="EG33" s="11" t="n">
        <f aca="false">(100*EF33)</f>
        <v>0</v>
      </c>
      <c r="EH33" s="9" t="n">
        <v>0</v>
      </c>
      <c r="EI33" s="9" t="n">
        <v>2</v>
      </c>
      <c r="EJ33" s="9" t="n">
        <v>4</v>
      </c>
      <c r="EK33" s="19" t="n">
        <v>3</v>
      </c>
      <c r="EL33" s="9" t="n">
        <v>3</v>
      </c>
      <c r="EM33" s="9" t="n">
        <f aca="false">(EI33+EJ33+EK33+EL33)/4</f>
        <v>3</v>
      </c>
      <c r="EN33" s="9" t="n">
        <f aca="false">(EI33/DR33)</f>
        <v>0.5</v>
      </c>
      <c r="EO33" s="9" t="n">
        <f aca="false">(EJ33/DS33)</f>
        <v>0.5</v>
      </c>
      <c r="EP33" s="9" t="n">
        <f aca="false">(EK33/DT33)</f>
        <v>0.75</v>
      </c>
      <c r="EQ33" s="9" t="n">
        <f aca="false">(EL33/DU33)</f>
        <v>0.375</v>
      </c>
      <c r="ER33" s="9" t="n">
        <f aca="false">EM33/DV33</f>
        <v>0.5</v>
      </c>
      <c r="ES33" s="9" t="n">
        <f aca="false">(100*ER33)</f>
        <v>50</v>
      </c>
      <c r="ET33" s="9" t="n">
        <v>3</v>
      </c>
      <c r="EU33" s="18" t="n">
        <v>0</v>
      </c>
      <c r="EV33" s="9" t="n">
        <v>0</v>
      </c>
      <c r="EW33" s="9" t="n">
        <v>0</v>
      </c>
      <c r="EX33" s="9" t="n">
        <v>0</v>
      </c>
      <c r="EY33" s="11" t="n">
        <f aca="false">(EU33+EV33+EW33+EX33)/4</f>
        <v>0</v>
      </c>
      <c r="EZ33" s="11" t="n">
        <f aca="false">(EU33/DR33)</f>
        <v>0</v>
      </c>
      <c r="FA33" s="11" t="n">
        <f aca="false">(EV33/DS33)</f>
        <v>0</v>
      </c>
      <c r="FB33" s="11" t="n">
        <f aca="false">(EW33/DT33)</f>
        <v>0</v>
      </c>
      <c r="FC33" s="11" t="n">
        <f aca="false">(EX33/DU33)</f>
        <v>0</v>
      </c>
      <c r="FD33" s="11" t="n">
        <f aca="false">(EY33/DV33)</f>
        <v>0</v>
      </c>
      <c r="FE33" s="11" t="n">
        <f aca="false">(100*FD33)</f>
        <v>0</v>
      </c>
      <c r="FF33" s="9" t="n">
        <v>0</v>
      </c>
      <c r="FG33" s="9" t="n">
        <v>14</v>
      </c>
      <c r="FH33" s="9" t="n">
        <v>7</v>
      </c>
      <c r="FI33" s="9" t="n">
        <v>0</v>
      </c>
      <c r="FJ33" s="9" t="n">
        <v>0</v>
      </c>
      <c r="FK33" s="11" t="n">
        <f aca="false">(FG33+FH33+FI33+FJ33)/4</f>
        <v>5.25</v>
      </c>
      <c r="FL33" s="11" t="n">
        <f aca="false">(FG33/DR33)</f>
        <v>3.5</v>
      </c>
      <c r="FM33" s="11" t="n">
        <f aca="false">(FH33/DS33)</f>
        <v>0.875</v>
      </c>
      <c r="FN33" s="11" t="n">
        <f aca="false">(FI33/DT33)</f>
        <v>0</v>
      </c>
      <c r="FO33" s="11" t="n">
        <f aca="false">(FJ33/DU33)</f>
        <v>0</v>
      </c>
      <c r="FP33" s="11" t="n">
        <f aca="false">(FK33/DV33)</f>
        <v>0.875</v>
      </c>
      <c r="FQ33" s="11" t="n">
        <f aca="false">(100*FP33)</f>
        <v>87.5</v>
      </c>
      <c r="FR33" s="9" t="n">
        <v>3</v>
      </c>
      <c r="FS33" s="9" t="n">
        <v>47</v>
      </c>
      <c r="FT33" s="9" t="n">
        <v>47.8</v>
      </c>
      <c r="FU33" s="9" t="n">
        <v>74.4</v>
      </c>
      <c r="FV33" s="9" t="n">
        <v>71.3</v>
      </c>
      <c r="FW33" s="11" t="n">
        <f aca="false">(FS33+FT33+FU33+FV33)/4</f>
        <v>60.125</v>
      </c>
      <c r="FX33" s="9" t="n">
        <v>0</v>
      </c>
      <c r="FY33" s="9" t="n">
        <v>0</v>
      </c>
      <c r="FZ33" s="9" t="n">
        <v>0</v>
      </c>
      <c r="GA33" s="9" t="n">
        <v>0</v>
      </c>
      <c r="GB33" s="11" t="n">
        <f aca="false">(FX33+FY33+FZ33+GA33)/4</f>
        <v>0</v>
      </c>
      <c r="GC33" s="9" t="n">
        <v>0</v>
      </c>
      <c r="GD33" s="9" t="n">
        <v>1</v>
      </c>
      <c r="GE33" s="9" t="n">
        <v>1</v>
      </c>
      <c r="GF33" s="9" t="n">
        <v>1</v>
      </c>
      <c r="GG33" s="11" t="n">
        <f aca="false">(GC33+GD33+GE33+GF33)/4</f>
        <v>0.75</v>
      </c>
      <c r="GH33" s="9" t="n">
        <v>1</v>
      </c>
      <c r="GI33" s="9" t="n">
        <v>0</v>
      </c>
      <c r="GJ33" s="9" t="n">
        <v>1</v>
      </c>
      <c r="GK33" s="9" t="n">
        <v>0</v>
      </c>
      <c r="GL33" s="11" t="n">
        <f aca="false">(GH33+GI33+GJ33+GK33)/4</f>
        <v>0.5</v>
      </c>
      <c r="GM33" s="9" t="n">
        <v>8</v>
      </c>
      <c r="GN33" s="9" t="n">
        <v>13</v>
      </c>
      <c r="GO33" s="9" t="n">
        <v>3</v>
      </c>
      <c r="GP33" s="9" t="n">
        <v>15</v>
      </c>
      <c r="GQ33" s="11" t="n">
        <f aca="false">(GM33+GN33+GO33+GP33)/4</f>
        <v>9.75</v>
      </c>
      <c r="GR33" s="9" t="n">
        <v>6</v>
      </c>
      <c r="GS33" s="9" t="n">
        <v>8</v>
      </c>
      <c r="GT33" s="9" t="n">
        <v>8</v>
      </c>
      <c r="GU33" s="9" t="n">
        <v>12</v>
      </c>
      <c r="GV33" s="11" t="n">
        <f aca="false">(GR33+GS33+GT33+GU33)/4</f>
        <v>8.5</v>
      </c>
      <c r="GW33" s="9" t="n">
        <v>0</v>
      </c>
      <c r="GX33" s="9" t="n">
        <v>0</v>
      </c>
      <c r="GY33" s="9" t="n">
        <v>0</v>
      </c>
      <c r="GZ33" s="9" t="n">
        <v>0</v>
      </c>
      <c r="HA33" s="11" t="n">
        <f aca="false">(GW33+GX33+GY33+GZ33)/4</f>
        <v>0</v>
      </c>
      <c r="HB33" s="9" t="n">
        <f aca="false">(GW33/GR33)</f>
        <v>0</v>
      </c>
      <c r="HC33" s="9" t="n">
        <f aca="false">(GX33/GS33)</f>
        <v>0</v>
      </c>
      <c r="HD33" s="9" t="n">
        <f aca="false">(GY33/GT33)</f>
        <v>0</v>
      </c>
      <c r="HE33" s="9" t="n">
        <f aca="false">(GZ33/GU33)/4</f>
        <v>0</v>
      </c>
      <c r="HF33" s="9" t="n">
        <f aca="false">(HB33+HC33+HD33+HE33)/4</f>
        <v>0</v>
      </c>
      <c r="HG33" s="9" t="n">
        <f aca="false">(100*HF33)</f>
        <v>0</v>
      </c>
      <c r="HH33" s="18" t="n">
        <v>0</v>
      </c>
      <c r="HI33" s="9" t="n">
        <v>0</v>
      </c>
      <c r="HJ33" s="9" t="n">
        <v>5</v>
      </c>
      <c r="HK33" s="9" t="n">
        <v>4</v>
      </c>
      <c r="HL33" s="19" t="n">
        <v>4</v>
      </c>
      <c r="HM33" s="9" t="n">
        <f aca="false">(HI33+HJ33+HK33+HL33)/4</f>
        <v>3.25</v>
      </c>
      <c r="HN33" s="9" t="n">
        <f aca="false">(HI33/GR33)</f>
        <v>0</v>
      </c>
      <c r="HO33" s="9" t="n">
        <f aca="false">(HJ33/GS33)</f>
        <v>0.625</v>
      </c>
      <c r="HP33" s="9" t="n">
        <f aca="false">(HK33/GT33)</f>
        <v>0.5</v>
      </c>
      <c r="HQ33" s="9" t="n">
        <f aca="false">(HL33/GU33)</f>
        <v>0.333333333333333</v>
      </c>
      <c r="HR33" s="9" t="n">
        <f aca="false">(HM33/GV33)</f>
        <v>0.382352941176471</v>
      </c>
      <c r="HS33" s="9" t="n">
        <f aca="false">(100*HR33)</f>
        <v>38.2352941176471</v>
      </c>
      <c r="HT33" s="18" t="n">
        <v>3</v>
      </c>
      <c r="HU33" s="9" t="n">
        <v>0</v>
      </c>
      <c r="HV33" s="9" t="n">
        <v>0</v>
      </c>
      <c r="HW33" s="9" t="n">
        <v>0</v>
      </c>
      <c r="HX33" s="19" t="n">
        <v>0</v>
      </c>
      <c r="HY33" s="9" t="n">
        <f aca="false">(HU33+HV33+HW33+HX33)/4</f>
        <v>0</v>
      </c>
      <c r="HZ33" s="9" t="n">
        <f aca="false">(HU33/GR33)</f>
        <v>0</v>
      </c>
      <c r="IA33" s="9" t="n">
        <f aca="false">HV33/GS33</f>
        <v>0</v>
      </c>
      <c r="IB33" s="9" t="n">
        <f aca="false">(HW33/GT33)</f>
        <v>0</v>
      </c>
      <c r="IC33" s="9" t="n">
        <f aca="false">(HX33/GU33)</f>
        <v>0</v>
      </c>
      <c r="ID33" s="9" t="n">
        <f aca="false">(HY33/GV33)</f>
        <v>0</v>
      </c>
      <c r="IE33" s="9" t="n">
        <f aca="false">(100*ID33)</f>
        <v>0</v>
      </c>
      <c r="IF33" s="18" t="n">
        <v>0</v>
      </c>
      <c r="IG33" s="9" t="n">
        <v>6</v>
      </c>
      <c r="IH33" s="9" t="n">
        <v>0</v>
      </c>
      <c r="II33" s="19" t="n">
        <v>2</v>
      </c>
      <c r="IJ33" s="9" t="n">
        <v>0</v>
      </c>
      <c r="IK33" s="9" t="n">
        <f aca="false">(IG33+IH33+II33+IJ33)/4</f>
        <v>2</v>
      </c>
      <c r="IL33" s="9" t="n">
        <f aca="false">(IG33/GM33)</f>
        <v>0.75</v>
      </c>
      <c r="IM33" s="9" t="n">
        <f aca="false">(IH33/GN33)</f>
        <v>0</v>
      </c>
      <c r="IN33" s="9" t="n">
        <f aca="false">(II33/GO33)</f>
        <v>0.666666666666667</v>
      </c>
      <c r="IO33" s="9" t="n">
        <f aca="false">(IJ33/GP33)</f>
        <v>0</v>
      </c>
      <c r="IP33" s="9" t="n">
        <f aca="false">(IK33/GQ33)</f>
        <v>0.205128205128205</v>
      </c>
      <c r="IQ33" s="9" t="n">
        <f aca="false">(100*IP33)</f>
        <v>20.5128205128205</v>
      </c>
      <c r="IR33" s="18" t="n">
        <v>2</v>
      </c>
      <c r="IS33" s="9" t="n">
        <v>53.3</v>
      </c>
      <c r="IT33" s="9" t="n">
        <v>62.4</v>
      </c>
      <c r="IU33" s="19" t="n">
        <v>58.9</v>
      </c>
      <c r="IV33" s="9" t="n">
        <v>57.1</v>
      </c>
      <c r="IW33" s="9" t="n">
        <f aca="false">(IS33+IT33+IU33+IV33)/4</f>
        <v>57.925</v>
      </c>
      <c r="IX33" s="16" t="n">
        <v>45206</v>
      </c>
      <c r="IY33" s="10" t="s">
        <v>268</v>
      </c>
    </row>
    <row r="34" customFormat="false" ht="15.75" hidden="false" customHeight="true" outlineLevel="0" collapsed="false">
      <c r="A34" s="9" t="s">
        <v>343</v>
      </c>
      <c r="B34" s="10" t="s">
        <v>344</v>
      </c>
      <c r="C34" s="10" t="s">
        <v>261</v>
      </c>
      <c r="D34" s="9" t="n">
        <v>1</v>
      </c>
      <c r="E34" s="9" t="n">
        <v>11</v>
      </c>
      <c r="F34" s="10" t="s">
        <v>350</v>
      </c>
      <c r="G34" s="10" t="s">
        <v>297</v>
      </c>
      <c r="H34" s="9" t="n">
        <v>21</v>
      </c>
      <c r="I34" s="9" t="n">
        <v>21</v>
      </c>
      <c r="J34" s="10" t="s">
        <v>272</v>
      </c>
      <c r="K34" s="20"/>
      <c r="L34" s="20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 t="n">
        <v>0</v>
      </c>
      <c r="Y34" s="9" t="n">
        <v>0</v>
      </c>
      <c r="Z34" s="9" t="n">
        <v>0</v>
      </c>
      <c r="AA34" s="9" t="n">
        <v>0</v>
      </c>
      <c r="AB34" s="11" t="n">
        <f aca="false">(X34+Y34+Z34+AA34)/4</f>
        <v>0</v>
      </c>
      <c r="AC34" s="9" t="n">
        <v>0</v>
      </c>
      <c r="AD34" s="9" t="n">
        <v>1</v>
      </c>
      <c r="AE34" s="9" t="n">
        <v>1</v>
      </c>
      <c r="AF34" s="9" t="n">
        <v>1</v>
      </c>
      <c r="AG34" s="11" t="n">
        <f aca="false">(AC34+AD34+AE34+AF34)/4</f>
        <v>0.75</v>
      </c>
      <c r="AH34" s="9" t="n">
        <v>1</v>
      </c>
      <c r="AI34" s="9" t="n">
        <v>1</v>
      </c>
      <c r="AJ34" s="9" t="n">
        <v>0</v>
      </c>
      <c r="AK34" s="9" t="n">
        <v>1</v>
      </c>
      <c r="AL34" s="11" t="n">
        <f aca="false">(AH34+AI34+AJ34+AK34)/4</f>
        <v>0.75</v>
      </c>
      <c r="AM34" s="9" t="n">
        <v>30</v>
      </c>
      <c r="AN34" s="9" t="n">
        <v>39</v>
      </c>
      <c r="AO34" s="9" t="n">
        <v>36</v>
      </c>
      <c r="AP34" s="9" t="n">
        <v>63</v>
      </c>
      <c r="AQ34" s="11" t="n">
        <f aca="false">(AM34+AN34+AO34+AP34)/4</f>
        <v>42</v>
      </c>
      <c r="AR34" s="9" t="n">
        <v>2</v>
      </c>
      <c r="AS34" s="9" t="n">
        <v>15</v>
      </c>
      <c r="AT34" s="9" t="n">
        <v>14</v>
      </c>
      <c r="AU34" s="9" t="n">
        <v>36</v>
      </c>
      <c r="AV34" s="11" t="n">
        <f aca="false">(AR34+AS34+AT34+AU34)/4</f>
        <v>16.75</v>
      </c>
      <c r="AW34" s="9" t="n">
        <v>0</v>
      </c>
      <c r="AX34" s="9" t="n">
        <v>0</v>
      </c>
      <c r="AY34" s="9" t="n">
        <v>0</v>
      </c>
      <c r="AZ34" s="9" t="n">
        <v>0</v>
      </c>
      <c r="BA34" s="11" t="n">
        <f aca="false">(AW34+AX34+AY34+AZ34)/4</f>
        <v>0</v>
      </c>
      <c r="BB34" s="11" t="n">
        <f aca="false">(AW34/AR34)</f>
        <v>0</v>
      </c>
      <c r="BC34" s="11" t="n">
        <f aca="false">(AX34/AS34)</f>
        <v>0</v>
      </c>
      <c r="BD34" s="11" t="n">
        <f aca="false">(AY34/AT34)</f>
        <v>0</v>
      </c>
      <c r="BE34" s="11" t="n">
        <f aca="false">(AZ34/AU34)</f>
        <v>0</v>
      </c>
      <c r="BF34" s="11" t="n">
        <f aca="false">(BA34/AV34)</f>
        <v>0</v>
      </c>
      <c r="BG34" s="11" t="n">
        <f aca="false">(BF34*100)</f>
        <v>0</v>
      </c>
      <c r="BH34" s="9" t="n">
        <v>0</v>
      </c>
      <c r="BI34" s="9" t="n">
        <v>0</v>
      </c>
      <c r="BJ34" s="9" t="n">
        <v>5</v>
      </c>
      <c r="BK34" s="9" t="n">
        <v>4</v>
      </c>
      <c r="BL34" s="9" t="n">
        <v>5</v>
      </c>
      <c r="BM34" s="11" t="n">
        <f aca="false">(BI34+BJ34+BK34+BL34)/4</f>
        <v>3.5</v>
      </c>
      <c r="BN34" s="11" t="n">
        <f aca="false">(BI34/AR34)</f>
        <v>0</v>
      </c>
      <c r="BO34" s="11" t="n">
        <f aca="false">(BJ34/AS34)</f>
        <v>0.333333333333333</v>
      </c>
      <c r="BP34" s="11" t="n">
        <f aca="false">(BK34/AT34)</f>
        <v>0.285714285714286</v>
      </c>
      <c r="BQ34" s="11" t="n">
        <f aca="false">(BL34/AU34)</f>
        <v>0.138888888888889</v>
      </c>
      <c r="BR34" s="11" t="n">
        <f aca="false">(BM34/AV34)</f>
        <v>0.208955223880597</v>
      </c>
      <c r="BS34" s="11" t="n">
        <f aca="false">(100*BR34)</f>
        <v>20.8955223880597</v>
      </c>
      <c r="BT34" s="9" t="n">
        <v>2</v>
      </c>
      <c r="BU34" s="9" t="n">
        <v>2</v>
      </c>
      <c r="BV34" s="9" t="n">
        <v>0</v>
      </c>
      <c r="BW34" s="9" t="n">
        <v>0</v>
      </c>
      <c r="BX34" s="9" t="n">
        <v>1</v>
      </c>
      <c r="BY34" s="11" t="n">
        <f aca="false">(BU34+BV34+BW34+BX34)/4</f>
        <v>0.75</v>
      </c>
      <c r="BZ34" s="11" t="n">
        <f aca="false">(BU34/AR34)</f>
        <v>1</v>
      </c>
      <c r="CA34" s="11" t="n">
        <f aca="false">(BV34/AS34)</f>
        <v>0</v>
      </c>
      <c r="CB34" s="11" t="n">
        <f aca="false">(BW34/AT34)</f>
        <v>0</v>
      </c>
      <c r="CC34" s="11" t="n">
        <f aca="false">(BX34/AU34)</f>
        <v>0.0277777777777778</v>
      </c>
      <c r="CD34" s="11" t="n">
        <f aca="false">(BY34/AV34)</f>
        <v>0.0447761194029851</v>
      </c>
      <c r="CE34" s="11" t="n">
        <f aca="false">(100*CD34)</f>
        <v>4.47761194029851</v>
      </c>
      <c r="CF34" s="9" t="n">
        <v>1</v>
      </c>
      <c r="CG34" s="9" t="n">
        <v>12</v>
      </c>
      <c r="CH34" s="9" t="n">
        <v>4</v>
      </c>
      <c r="CI34" s="9" t="n">
        <v>0</v>
      </c>
      <c r="CJ34" s="9" t="n">
        <v>2</v>
      </c>
      <c r="CK34" s="11" t="n">
        <f aca="false">(CG34+CH34+CI34+CJ34)/4</f>
        <v>4.5</v>
      </c>
      <c r="CL34" s="11" t="n">
        <f aca="false">(CG34/AM34)</f>
        <v>0.4</v>
      </c>
      <c r="CM34" s="11" t="n">
        <f aca="false">(CH34/AN34)</f>
        <v>0.102564102564103</v>
      </c>
      <c r="CN34" s="11" t="n">
        <f aca="false">(CI34/AO34)</f>
        <v>0</v>
      </c>
      <c r="CO34" s="9" t="n">
        <f aca="false">(CJ34/AP34)</f>
        <v>0.0317460317460317</v>
      </c>
      <c r="CP34" s="9" t="n">
        <f aca="false">(CK34/AQ34)</f>
        <v>0.107142857142857</v>
      </c>
      <c r="CQ34" s="9" t="n">
        <f aca="false">(100*CP34)</f>
        <v>10.7142857142857</v>
      </c>
      <c r="CR34" s="18" t="n">
        <v>2</v>
      </c>
      <c r="CS34" s="9" t="n">
        <v>58.1</v>
      </c>
      <c r="CT34" s="9" t="n">
        <v>51.5</v>
      </c>
      <c r="CU34" s="9" t="n">
        <v>56.5</v>
      </c>
      <c r="CV34" s="9" t="n">
        <v>69</v>
      </c>
      <c r="CW34" s="11" t="n">
        <f aca="false">(CS34+CT34+CU34+CV34)/4</f>
        <v>58.775</v>
      </c>
      <c r="CX34" s="9" t="n">
        <v>0</v>
      </c>
      <c r="CY34" s="9" t="n">
        <v>0</v>
      </c>
      <c r="CZ34" s="9" t="n">
        <v>0</v>
      </c>
      <c r="DA34" s="9" t="n">
        <v>0</v>
      </c>
      <c r="DB34" s="11" t="n">
        <f aca="false">(CX34+CY34+CZ34+DA34)/4</f>
        <v>0</v>
      </c>
      <c r="DC34" s="9" t="n">
        <v>1</v>
      </c>
      <c r="DD34" s="9" t="n">
        <v>1</v>
      </c>
      <c r="DE34" s="9" t="n">
        <v>1</v>
      </c>
      <c r="DF34" s="9" t="n">
        <v>1</v>
      </c>
      <c r="DG34" s="11" t="n">
        <f aca="false">(DC34+DD34+DE34+DF34)/4</f>
        <v>1</v>
      </c>
      <c r="DH34" s="9" t="n">
        <v>0</v>
      </c>
      <c r="DI34" s="9" t="n">
        <v>0</v>
      </c>
      <c r="DJ34" s="9"/>
      <c r="DK34" s="9" t="n">
        <v>1</v>
      </c>
      <c r="DL34" s="11" t="n">
        <f aca="false">(DH34+DI34+DJ34+DK34)/4</f>
        <v>0.25</v>
      </c>
      <c r="DM34" s="9" t="n">
        <v>101</v>
      </c>
      <c r="DN34" s="9" t="n">
        <v>144</v>
      </c>
      <c r="DO34" s="9" t="n">
        <v>12</v>
      </c>
      <c r="DP34" s="9" t="n">
        <v>146</v>
      </c>
      <c r="DQ34" s="11" t="n">
        <f aca="false">(DM34+DN34+DO34+DP34)/4</f>
        <v>100.75</v>
      </c>
      <c r="DR34" s="9" t="n">
        <v>7</v>
      </c>
      <c r="DS34" s="9" t="n">
        <v>10</v>
      </c>
      <c r="DT34" s="9" t="n">
        <v>10</v>
      </c>
      <c r="DU34" s="9" t="n">
        <v>13</v>
      </c>
      <c r="DV34" s="11" t="n">
        <f aca="false">(DR34+DS34+DT34+DU34)/4</f>
        <v>10</v>
      </c>
      <c r="DW34" s="9" t="n">
        <v>0</v>
      </c>
      <c r="DX34" s="9" t="n">
        <v>0</v>
      </c>
      <c r="DY34" s="9" t="n">
        <v>0</v>
      </c>
      <c r="DZ34" s="9" t="n">
        <v>0</v>
      </c>
      <c r="EA34" s="11" t="n">
        <f aca="false">(DW34+DX34+DY34+DZ34)/4</f>
        <v>0</v>
      </c>
      <c r="EB34" s="11" t="n">
        <f aca="false">(DW34/DR34)</f>
        <v>0</v>
      </c>
      <c r="EC34" s="11" t="n">
        <f aca="false">(DX34/DS34)</f>
        <v>0</v>
      </c>
      <c r="ED34" s="11" t="n">
        <f aca="false">(DY34/DT34)</f>
        <v>0</v>
      </c>
      <c r="EE34" s="11" t="n">
        <f aca="false">(DZ34/DU34)</f>
        <v>0</v>
      </c>
      <c r="EF34" s="11" t="n">
        <f aca="false">(EA34/DV34)</f>
        <v>0</v>
      </c>
      <c r="EG34" s="11" t="n">
        <f aca="false">(100*EF34)</f>
        <v>0</v>
      </c>
      <c r="EH34" s="9" t="n">
        <v>0</v>
      </c>
      <c r="EI34" s="9" t="n">
        <v>3</v>
      </c>
      <c r="EJ34" s="9" t="n">
        <v>4</v>
      </c>
      <c r="EK34" s="19" t="n">
        <v>4</v>
      </c>
      <c r="EL34" s="9" t="n">
        <v>6</v>
      </c>
      <c r="EM34" s="9" t="n">
        <f aca="false">(EI34+EJ34+EK34+EL34)/4</f>
        <v>4.25</v>
      </c>
      <c r="EN34" s="9" t="n">
        <f aca="false">(EI34/DR34)</f>
        <v>0.428571428571429</v>
      </c>
      <c r="EO34" s="9" t="n">
        <f aca="false">(EJ34/DS34)</f>
        <v>0.4</v>
      </c>
      <c r="EP34" s="9" t="n">
        <f aca="false">(EK34/DT34)</f>
        <v>0.4</v>
      </c>
      <c r="EQ34" s="9" t="n">
        <f aca="false">(EL34/DU34)</f>
        <v>0.461538461538462</v>
      </c>
      <c r="ER34" s="9" t="n">
        <f aca="false">EM34/DV34</f>
        <v>0.425</v>
      </c>
      <c r="ES34" s="9" t="n">
        <f aca="false">(100*ER34)</f>
        <v>42.5</v>
      </c>
      <c r="ET34" s="9" t="n">
        <v>3</v>
      </c>
      <c r="EU34" s="18" t="n">
        <v>0</v>
      </c>
      <c r="EV34" s="9" t="n">
        <v>0</v>
      </c>
      <c r="EW34" s="9"/>
      <c r="EX34" s="9" t="n">
        <v>0</v>
      </c>
      <c r="EY34" s="11" t="n">
        <f aca="false">(EU34+EV34+EW34+EX34)/4</f>
        <v>0</v>
      </c>
      <c r="EZ34" s="11" t="n">
        <f aca="false">(EU34/DR34)</f>
        <v>0</v>
      </c>
      <c r="FA34" s="11" t="n">
        <f aca="false">(EV34/DS34)</f>
        <v>0</v>
      </c>
      <c r="FB34" s="11" t="n">
        <f aca="false">(EW34/DT34)</f>
        <v>0</v>
      </c>
      <c r="FC34" s="11" t="n">
        <f aca="false">(EX34/DU34)</f>
        <v>0</v>
      </c>
      <c r="FD34" s="11" t="n">
        <f aca="false">(EY34/DV34)</f>
        <v>0</v>
      </c>
      <c r="FE34" s="11" t="n">
        <f aca="false">(100*FD34)</f>
        <v>0</v>
      </c>
      <c r="FF34" s="9" t="n">
        <v>0</v>
      </c>
      <c r="FG34" s="9" t="n">
        <v>0</v>
      </c>
      <c r="FH34" s="9" t="n">
        <v>0</v>
      </c>
      <c r="FI34" s="9"/>
      <c r="FJ34" s="9" t="n">
        <v>6</v>
      </c>
      <c r="FK34" s="11" t="n">
        <f aca="false">(FG34+FH34+FI34+FJ34)/4</f>
        <v>1.5</v>
      </c>
      <c r="FL34" s="11" t="n">
        <f aca="false">(FG34/DR34)</f>
        <v>0</v>
      </c>
      <c r="FM34" s="11" t="n">
        <f aca="false">(FH34/DS34)</f>
        <v>0</v>
      </c>
      <c r="FN34" s="11" t="n">
        <f aca="false">(FI34/DT34)</f>
        <v>0</v>
      </c>
      <c r="FO34" s="11" t="n">
        <f aca="false">(FJ34/DU34)</f>
        <v>0.461538461538462</v>
      </c>
      <c r="FP34" s="11" t="n">
        <f aca="false">(FK34/DV34)</f>
        <v>0.15</v>
      </c>
      <c r="FQ34" s="11" t="n">
        <f aca="false">(100*FP34)</f>
        <v>15</v>
      </c>
      <c r="FR34" s="9" t="n">
        <v>2</v>
      </c>
      <c r="FS34" s="9" t="n">
        <v>54.5</v>
      </c>
      <c r="FT34" s="9" t="n">
        <v>61.1</v>
      </c>
      <c r="FU34" s="9" t="n">
        <v>50.1</v>
      </c>
      <c r="FV34" s="9" t="n">
        <v>66.6</v>
      </c>
      <c r="FW34" s="11" t="n">
        <f aca="false">(FS34+FT34+FU34+FV34)/4</f>
        <v>58.075</v>
      </c>
      <c r="FX34" s="9" t="n">
        <v>0</v>
      </c>
      <c r="FY34" s="9" t="n">
        <v>0</v>
      </c>
      <c r="FZ34" s="9" t="n">
        <v>0</v>
      </c>
      <c r="GA34" s="9" t="n">
        <v>0</v>
      </c>
      <c r="GB34" s="11" t="n">
        <f aca="false">(FX34+FY34+FZ34+GA34)/4</f>
        <v>0</v>
      </c>
      <c r="GC34" s="9" t="n">
        <v>1</v>
      </c>
      <c r="GD34" s="9" t="n">
        <v>1</v>
      </c>
      <c r="GE34" s="9" t="n">
        <v>1</v>
      </c>
      <c r="GF34" s="9" t="n">
        <v>1</v>
      </c>
      <c r="GG34" s="11" t="n">
        <f aca="false">(GC34+GD34+GE34+GF34)/4</f>
        <v>1</v>
      </c>
      <c r="GH34" s="9" t="n">
        <v>1</v>
      </c>
      <c r="GI34" s="9" t="n">
        <v>1</v>
      </c>
      <c r="GJ34" s="9" t="n">
        <v>1</v>
      </c>
      <c r="GK34" s="9" t="n">
        <v>0</v>
      </c>
      <c r="GL34" s="11" t="n">
        <f aca="false">(GH34+GI34+GJ34+GK34)/4</f>
        <v>0.75</v>
      </c>
      <c r="GM34" s="9" t="n">
        <v>83</v>
      </c>
      <c r="GN34" s="9" t="n">
        <v>121</v>
      </c>
      <c r="GO34" s="9" t="n">
        <v>104</v>
      </c>
      <c r="GP34" s="9" t="n">
        <v>57</v>
      </c>
      <c r="GQ34" s="11" t="n">
        <f aca="false">(GM34+GN34+GO34+GP34)/4</f>
        <v>91.25</v>
      </c>
      <c r="GR34" s="9" t="n">
        <v>10</v>
      </c>
      <c r="GS34" s="9" t="n">
        <v>12</v>
      </c>
      <c r="GT34" s="9" t="n">
        <v>15</v>
      </c>
      <c r="GU34" s="9" t="n">
        <v>17</v>
      </c>
      <c r="GV34" s="11" t="n">
        <f aca="false">(GR34+GS34+GT34+GU34)/4</f>
        <v>13.5</v>
      </c>
      <c r="GW34" s="9" t="n">
        <v>0</v>
      </c>
      <c r="GX34" s="9" t="n">
        <v>0</v>
      </c>
      <c r="GY34" s="9" t="n">
        <v>0</v>
      </c>
      <c r="GZ34" s="9" t="n">
        <v>0</v>
      </c>
      <c r="HA34" s="11" t="n">
        <f aca="false">(GW34+GX34+GY34+GZ34)/4</f>
        <v>0</v>
      </c>
      <c r="HB34" s="9" t="n">
        <f aca="false">(GW34/GR34)</f>
        <v>0</v>
      </c>
      <c r="HC34" s="9" t="n">
        <f aca="false">(GX34/GS34)</f>
        <v>0</v>
      </c>
      <c r="HD34" s="9" t="n">
        <f aca="false">(GY34/GT34)</f>
        <v>0</v>
      </c>
      <c r="HE34" s="9" t="n">
        <f aca="false">(GZ34/GU34)/4</f>
        <v>0</v>
      </c>
      <c r="HF34" s="9" t="n">
        <f aca="false">(HB34+HC34+HD34+HE34)/4</f>
        <v>0</v>
      </c>
      <c r="HG34" s="9" t="n">
        <f aca="false">(100*HF34)</f>
        <v>0</v>
      </c>
      <c r="HH34" s="18" t="n">
        <v>0</v>
      </c>
      <c r="HI34" s="9" t="n">
        <v>2</v>
      </c>
      <c r="HJ34" s="9" t="n">
        <v>5</v>
      </c>
      <c r="HK34" s="9" t="n">
        <v>6</v>
      </c>
      <c r="HL34" s="19" t="n">
        <v>3</v>
      </c>
      <c r="HM34" s="9" t="n">
        <f aca="false">(HI34+HJ34+HK34+HL34)/4</f>
        <v>4</v>
      </c>
      <c r="HN34" s="9" t="n">
        <f aca="false">(HI34/GR34)</f>
        <v>0.2</v>
      </c>
      <c r="HO34" s="9" t="n">
        <f aca="false">(HJ34/GS34)</f>
        <v>0.416666666666667</v>
      </c>
      <c r="HP34" s="9" t="n">
        <f aca="false">(HK34/GT34)</f>
        <v>0.4</v>
      </c>
      <c r="HQ34" s="9" t="n">
        <f aca="false">(HL34/GU34)</f>
        <v>0.176470588235294</v>
      </c>
      <c r="HR34" s="9" t="n">
        <f aca="false">(HM34/GV34)</f>
        <v>0.296296296296296</v>
      </c>
      <c r="HS34" s="9" t="n">
        <f aca="false">(100*HR34)</f>
        <v>29.6296296296296</v>
      </c>
      <c r="HT34" s="18" t="n">
        <v>2</v>
      </c>
      <c r="HU34" s="9" t="n">
        <v>0</v>
      </c>
      <c r="HV34" s="9" t="n">
        <v>0</v>
      </c>
      <c r="HW34" s="9" t="n">
        <v>0</v>
      </c>
      <c r="HX34" s="19" t="n">
        <v>0</v>
      </c>
      <c r="HY34" s="9" t="n">
        <f aca="false">(HU34+HV34+HW34+HX34)/4</f>
        <v>0</v>
      </c>
      <c r="HZ34" s="9" t="n">
        <f aca="false">(HU34/GR34)</f>
        <v>0</v>
      </c>
      <c r="IA34" s="9" t="n">
        <f aca="false">HV34/GS34</f>
        <v>0</v>
      </c>
      <c r="IB34" s="9" t="n">
        <f aca="false">(HW34/GT34)</f>
        <v>0</v>
      </c>
      <c r="IC34" s="9" t="n">
        <f aca="false">(HX34/GU34)</f>
        <v>0</v>
      </c>
      <c r="ID34" s="9" t="n">
        <f aca="false">(HY34/GV34)</f>
        <v>0</v>
      </c>
      <c r="IE34" s="9" t="n">
        <f aca="false">(100*ID34)</f>
        <v>0</v>
      </c>
      <c r="IF34" s="18" t="n">
        <v>0</v>
      </c>
      <c r="IG34" s="9" t="n">
        <v>20</v>
      </c>
      <c r="IH34" s="9" t="n">
        <v>3</v>
      </c>
      <c r="II34" s="19" t="n">
        <v>5</v>
      </c>
      <c r="IJ34" s="9" t="n">
        <v>0</v>
      </c>
      <c r="IK34" s="9" t="n">
        <f aca="false">(IG34+IH34+II34+IJ34)/4</f>
        <v>7</v>
      </c>
      <c r="IL34" s="9" t="n">
        <f aca="false">(IG34/GM34)</f>
        <v>0.240963855421687</v>
      </c>
      <c r="IM34" s="9" t="n">
        <f aca="false">(IH34/GN34)</f>
        <v>0.0247933884297521</v>
      </c>
      <c r="IN34" s="9" t="n">
        <f aca="false">(II34/GO34)</f>
        <v>0.0480769230769231</v>
      </c>
      <c r="IO34" s="9" t="n">
        <f aca="false">(IJ34/GP34)</f>
        <v>0</v>
      </c>
      <c r="IP34" s="9" t="n">
        <f aca="false">(IK34/GQ34)</f>
        <v>0.0767123287671233</v>
      </c>
      <c r="IQ34" s="9" t="n">
        <f aca="false">(100*IP34)</f>
        <v>7.67123287671233</v>
      </c>
      <c r="IR34" s="18" t="n">
        <v>1</v>
      </c>
      <c r="IS34" s="9" t="n">
        <v>64.7</v>
      </c>
      <c r="IT34" s="9" t="n">
        <v>67.7</v>
      </c>
      <c r="IU34" s="19" t="n">
        <v>55.8</v>
      </c>
      <c r="IV34" s="9" t="n">
        <v>67.5</v>
      </c>
      <c r="IW34" s="9" t="n">
        <f aca="false">(IS34+IT34+IU34+IV34)/4</f>
        <v>63.925</v>
      </c>
      <c r="IX34" s="16" t="n">
        <v>45206</v>
      </c>
      <c r="IY34" s="10" t="s">
        <v>268</v>
      </c>
    </row>
    <row r="35" customFormat="false" ht="15.75" hidden="false" customHeight="true" outlineLevel="0" collapsed="false">
      <c r="A35" s="9" t="s">
        <v>343</v>
      </c>
      <c r="B35" s="10" t="s">
        <v>351</v>
      </c>
      <c r="C35" s="10" t="s">
        <v>261</v>
      </c>
      <c r="D35" s="9" t="n">
        <v>2</v>
      </c>
      <c r="E35" s="9" t="n">
        <v>12</v>
      </c>
      <c r="F35" s="10" t="s">
        <v>352</v>
      </c>
      <c r="G35" s="10" t="s">
        <v>275</v>
      </c>
      <c r="H35" s="9" t="n">
        <v>21</v>
      </c>
      <c r="I35" s="9" t="n">
        <v>3</v>
      </c>
      <c r="J35" s="12" t="s">
        <v>264</v>
      </c>
      <c r="K35" s="13" t="s">
        <v>324</v>
      </c>
      <c r="L35" s="13" t="s">
        <v>317</v>
      </c>
      <c r="M35" s="14" t="n">
        <v>1313</v>
      </c>
      <c r="N35" s="15" t="n">
        <v>45134</v>
      </c>
      <c r="O35" s="10" t="s">
        <v>267</v>
      </c>
      <c r="P35" s="9"/>
      <c r="Q35" s="9" t="n">
        <v>51.46</v>
      </c>
      <c r="R35" s="9" t="n">
        <v>13</v>
      </c>
      <c r="S35" s="9" t="n">
        <v>-11</v>
      </c>
      <c r="T35" s="9" t="n">
        <v>70</v>
      </c>
      <c r="U35" s="9"/>
      <c r="V35" s="9" t="n">
        <f aca="false">(35.5/100)</f>
        <v>0.355</v>
      </c>
      <c r="W35" s="9" t="s">
        <v>353</v>
      </c>
      <c r="X35" s="9" t="n">
        <v>0</v>
      </c>
      <c r="Y35" s="9" t="n">
        <v>0</v>
      </c>
      <c r="Z35" s="9" t="n">
        <v>1</v>
      </c>
      <c r="AA35" s="9" t="n">
        <v>0</v>
      </c>
      <c r="AB35" s="11" t="n">
        <f aca="false">(X35+Y35+Z35+AA35)/4</f>
        <v>0.25</v>
      </c>
      <c r="AC35" s="9" t="n">
        <v>1</v>
      </c>
      <c r="AD35" s="9" t="n">
        <v>1</v>
      </c>
      <c r="AE35" s="9" t="n">
        <v>1</v>
      </c>
      <c r="AF35" s="9" t="n">
        <v>0</v>
      </c>
      <c r="AG35" s="11" t="n">
        <f aca="false">(AC35+AD35+AE35+AF35)/4</f>
        <v>0.75</v>
      </c>
      <c r="AH35" s="9" t="n">
        <v>1</v>
      </c>
      <c r="AI35" s="9" t="n">
        <v>1</v>
      </c>
      <c r="AJ35" s="9" t="n">
        <v>1</v>
      </c>
      <c r="AK35" s="9" t="n">
        <v>1</v>
      </c>
      <c r="AL35" s="11" t="n">
        <f aca="false">(AH35+AI35+AJ35+AK35)/4</f>
        <v>1</v>
      </c>
      <c r="AM35" s="9" t="n">
        <v>113</v>
      </c>
      <c r="AN35" s="9" t="n">
        <v>18</v>
      </c>
      <c r="AO35" s="9" t="n">
        <v>33</v>
      </c>
      <c r="AP35" s="9" t="n">
        <v>9</v>
      </c>
      <c r="AQ35" s="11" t="n">
        <f aca="false">(AM35+AN35+AO35+AP35)/4</f>
        <v>43.25</v>
      </c>
      <c r="AR35" s="9" t="n">
        <v>24</v>
      </c>
      <c r="AS35" s="9" t="n">
        <v>12</v>
      </c>
      <c r="AT35" s="9" t="n">
        <v>9</v>
      </c>
      <c r="AU35" s="9" t="n">
        <v>5</v>
      </c>
      <c r="AV35" s="11" t="n">
        <f aca="false">(AR35+AS35+AT35+AU35)/4</f>
        <v>12.5</v>
      </c>
      <c r="AW35" s="9" t="n">
        <v>0</v>
      </c>
      <c r="AX35" s="9" t="n">
        <v>0</v>
      </c>
      <c r="AY35" s="9" t="n">
        <v>1</v>
      </c>
      <c r="AZ35" s="9" t="n">
        <v>0</v>
      </c>
      <c r="BA35" s="11" t="n">
        <f aca="false">(AW35+AX35+AY35+AZ35)/4</f>
        <v>0.25</v>
      </c>
      <c r="BB35" s="11" t="n">
        <f aca="false">(AW35/AR35)</f>
        <v>0</v>
      </c>
      <c r="BC35" s="11" t="n">
        <f aca="false">(AX35/AS35)</f>
        <v>0</v>
      </c>
      <c r="BD35" s="11" t="n">
        <f aca="false">(AY35/AT35)</f>
        <v>0.111111111111111</v>
      </c>
      <c r="BE35" s="11" t="n">
        <f aca="false">(AZ35/AU35)</f>
        <v>0</v>
      </c>
      <c r="BF35" s="11" t="n">
        <f aca="false">(BA35/AV35)</f>
        <v>0.02</v>
      </c>
      <c r="BG35" s="11" t="n">
        <f aca="false">(BF35*100)</f>
        <v>2</v>
      </c>
      <c r="BH35" s="9" t="n">
        <v>1</v>
      </c>
      <c r="BI35" s="9" t="n">
        <v>4</v>
      </c>
      <c r="BJ35" s="9" t="n">
        <v>2</v>
      </c>
      <c r="BK35" s="9" t="n">
        <v>4</v>
      </c>
      <c r="BL35" s="9" t="n">
        <v>0</v>
      </c>
      <c r="BM35" s="11" t="n">
        <f aca="false">(BI35+BJ35+BK35+BL35)/4</f>
        <v>2.5</v>
      </c>
      <c r="BN35" s="11" t="n">
        <f aca="false">(BI35/AR35)</f>
        <v>0.166666666666667</v>
      </c>
      <c r="BO35" s="11" t="n">
        <f aca="false">(BJ35/AS35)</f>
        <v>0.166666666666667</v>
      </c>
      <c r="BP35" s="11" t="n">
        <f aca="false">(BK35/AT35)</f>
        <v>0.444444444444444</v>
      </c>
      <c r="BQ35" s="11" t="n">
        <f aca="false">(BL35/AU35)</f>
        <v>0</v>
      </c>
      <c r="BR35" s="11" t="n">
        <f aca="false">(BM35/AV35)</f>
        <v>0.2</v>
      </c>
      <c r="BS35" s="11" t="n">
        <f aca="false">(100*BR35)</f>
        <v>20</v>
      </c>
      <c r="BT35" s="9" t="n">
        <v>2</v>
      </c>
      <c r="BU35" s="9" t="n">
        <v>0</v>
      </c>
      <c r="BV35" s="9" t="n">
        <v>0</v>
      </c>
      <c r="BW35" s="9" t="n">
        <v>0</v>
      </c>
      <c r="BX35" s="9" t="n">
        <v>0</v>
      </c>
      <c r="BY35" s="11" t="n">
        <f aca="false">(BU35+BV35+BW35+BX35)/4</f>
        <v>0</v>
      </c>
      <c r="BZ35" s="11" t="n">
        <f aca="false">(BU35/AR35)</f>
        <v>0</v>
      </c>
      <c r="CA35" s="11" t="n">
        <f aca="false">(BV35/AS35)</f>
        <v>0</v>
      </c>
      <c r="CB35" s="11" t="n">
        <f aca="false">(BW35/AT35)</f>
        <v>0</v>
      </c>
      <c r="CC35" s="11" t="n">
        <f aca="false">(BX35/AU35)</f>
        <v>0</v>
      </c>
      <c r="CD35" s="11" t="n">
        <f aca="false">(BY35/AV35)</f>
        <v>0</v>
      </c>
      <c r="CE35" s="11" t="n">
        <f aca="false">(100*CD35)</f>
        <v>0</v>
      </c>
      <c r="CF35" s="9" t="n">
        <v>0</v>
      </c>
      <c r="CG35" s="9" t="n">
        <v>10</v>
      </c>
      <c r="CH35" s="9" t="n">
        <v>5</v>
      </c>
      <c r="CI35" s="9" t="n">
        <v>14</v>
      </c>
      <c r="CJ35" s="9" t="n">
        <v>9</v>
      </c>
      <c r="CK35" s="11" t="n">
        <f aca="false">(CG35+CH35+CI35+CJ35)/4</f>
        <v>9.5</v>
      </c>
      <c r="CL35" s="11" t="n">
        <f aca="false">(CG35/AM35)</f>
        <v>0.0884955752212389</v>
      </c>
      <c r="CM35" s="11" t="n">
        <f aca="false">(CH35/AN35)</f>
        <v>0.277777777777778</v>
      </c>
      <c r="CN35" s="11" t="n">
        <f aca="false">(CI35/AO35)</f>
        <v>0.424242424242424</v>
      </c>
      <c r="CO35" s="9" t="n">
        <f aca="false">(CJ35/AP35)</f>
        <v>1</v>
      </c>
      <c r="CP35" s="9" t="n">
        <f aca="false">(CK35/AQ35)</f>
        <v>0.219653179190751</v>
      </c>
      <c r="CQ35" s="9" t="n">
        <f aca="false">(100*CP35)</f>
        <v>21.9653179190751</v>
      </c>
      <c r="CR35" s="18" t="n">
        <v>2</v>
      </c>
      <c r="CS35" s="9" t="n">
        <v>54</v>
      </c>
      <c r="CT35" s="9" t="n">
        <v>61.7</v>
      </c>
      <c r="CU35" s="9" t="n">
        <v>51</v>
      </c>
      <c r="CV35" s="9" t="n">
        <v>43.6</v>
      </c>
      <c r="CW35" s="11" t="n">
        <f aca="false">(CS35+CT35+CU35+CV35)/4</f>
        <v>52.575</v>
      </c>
      <c r="CX35" s="9" t="n">
        <v>1</v>
      </c>
      <c r="CY35" s="9" t="n">
        <v>0</v>
      </c>
      <c r="CZ35" s="9" t="n">
        <v>0</v>
      </c>
      <c r="DA35" s="9" t="n">
        <v>0</v>
      </c>
      <c r="DB35" s="11" t="n">
        <f aca="false">(CX35+CY35+CZ35+DA35)/4</f>
        <v>0.25</v>
      </c>
      <c r="DC35" s="9" t="n">
        <v>1</v>
      </c>
      <c r="DD35" s="9" t="n">
        <v>1</v>
      </c>
      <c r="DE35" s="9" t="n">
        <v>1</v>
      </c>
      <c r="DF35" s="9" t="n">
        <v>1</v>
      </c>
      <c r="DG35" s="11" t="n">
        <f aca="false">(DC35+DD35+DE35+DF35)/4</f>
        <v>1</v>
      </c>
      <c r="DH35" s="9" t="n">
        <v>1</v>
      </c>
      <c r="DI35" s="9" t="n">
        <v>1</v>
      </c>
      <c r="DJ35" s="9" t="n">
        <v>1</v>
      </c>
      <c r="DK35" s="9" t="n">
        <v>1</v>
      </c>
      <c r="DL35" s="11" t="n">
        <f aca="false">(DH35+DI35+DJ35+DK35)/4</f>
        <v>1</v>
      </c>
      <c r="DM35" s="9" t="n">
        <v>77</v>
      </c>
      <c r="DN35" s="9" t="n">
        <v>23</v>
      </c>
      <c r="DO35" s="9" t="n">
        <v>106</v>
      </c>
      <c r="DP35" s="9" t="n">
        <v>29</v>
      </c>
      <c r="DQ35" s="11" t="n">
        <f aca="false">(DM35+DN35+DO35+DP35)/4</f>
        <v>58.75</v>
      </c>
      <c r="DR35" s="9" t="n">
        <v>8</v>
      </c>
      <c r="DS35" s="9" t="n">
        <v>11</v>
      </c>
      <c r="DT35" s="9" t="n">
        <v>5</v>
      </c>
      <c r="DU35" s="9" t="n">
        <v>13</v>
      </c>
      <c r="DV35" s="11" t="n">
        <f aca="false">(DR35+DS35+DT35+DU35)/4</f>
        <v>9.25</v>
      </c>
      <c r="DW35" s="9" t="n">
        <v>1</v>
      </c>
      <c r="DX35" s="9" t="n">
        <v>0</v>
      </c>
      <c r="DY35" s="9" t="n">
        <v>0</v>
      </c>
      <c r="DZ35" s="9" t="n">
        <v>0</v>
      </c>
      <c r="EA35" s="11" t="n">
        <f aca="false">(DW35+DX35+DY35+DZ35)/4</f>
        <v>0.25</v>
      </c>
      <c r="EB35" s="11" t="n">
        <f aca="false">(DW35/DR35)</f>
        <v>0.125</v>
      </c>
      <c r="EC35" s="11" t="n">
        <f aca="false">(DX35/DS35)</f>
        <v>0</v>
      </c>
      <c r="ED35" s="11" t="n">
        <f aca="false">(DY35/DT35)</f>
        <v>0</v>
      </c>
      <c r="EE35" s="11" t="n">
        <f aca="false">(DZ35/DU35)</f>
        <v>0</v>
      </c>
      <c r="EF35" s="11" t="n">
        <f aca="false">(EA35/DV35)</f>
        <v>0.027027027027027</v>
      </c>
      <c r="EG35" s="11" t="n">
        <f aca="false">(100*EF35)</f>
        <v>2.7027027027027</v>
      </c>
      <c r="EH35" s="9" t="n">
        <v>1</v>
      </c>
      <c r="EI35" s="9" t="n">
        <v>3</v>
      </c>
      <c r="EJ35" s="9" t="n">
        <v>2</v>
      </c>
      <c r="EK35" s="19" t="n">
        <v>2</v>
      </c>
      <c r="EL35" s="9" t="n">
        <v>4</v>
      </c>
      <c r="EM35" s="9" t="n">
        <f aca="false">(EI35+EJ35+EK35+EL35)/4</f>
        <v>2.75</v>
      </c>
      <c r="EN35" s="9" t="n">
        <f aca="false">(EI35/DR35)</f>
        <v>0.375</v>
      </c>
      <c r="EO35" s="9" t="n">
        <f aca="false">(EJ35/DS35)</f>
        <v>0.181818181818182</v>
      </c>
      <c r="EP35" s="9" t="n">
        <f aca="false">(EK35/DT35)</f>
        <v>0.4</v>
      </c>
      <c r="EQ35" s="9" t="n">
        <f aca="false">(EL35/DU35)</f>
        <v>0.307692307692308</v>
      </c>
      <c r="ER35" s="9" t="n">
        <f aca="false">EM35/DV35</f>
        <v>0.297297297297297</v>
      </c>
      <c r="ES35" s="9" t="n">
        <f aca="false">(100*ER35)</f>
        <v>29.7297297297297</v>
      </c>
      <c r="ET35" s="9" t="n">
        <v>2</v>
      </c>
      <c r="EU35" s="18" t="n">
        <v>0</v>
      </c>
      <c r="EV35" s="9" t="n">
        <v>0</v>
      </c>
      <c r="EW35" s="9" t="n">
        <v>0</v>
      </c>
      <c r="EX35" s="9" t="n">
        <v>0</v>
      </c>
      <c r="EY35" s="11" t="n">
        <f aca="false">(EU35+EV35+EW35+EX35)/4</f>
        <v>0</v>
      </c>
      <c r="EZ35" s="11" t="n">
        <f aca="false">(EU35/DR35)</f>
        <v>0</v>
      </c>
      <c r="FA35" s="11" t="n">
        <f aca="false">(EV35/DS35)</f>
        <v>0</v>
      </c>
      <c r="FB35" s="11" t="n">
        <f aca="false">(EW35/DT35)</f>
        <v>0</v>
      </c>
      <c r="FC35" s="11" t="n">
        <f aca="false">(EX35/DU35)</f>
        <v>0</v>
      </c>
      <c r="FD35" s="11" t="n">
        <f aca="false">(EY35/DV35)</f>
        <v>0</v>
      </c>
      <c r="FE35" s="11" t="n">
        <f aca="false">(100*FD35)</f>
        <v>0</v>
      </c>
      <c r="FF35" s="9" t="n">
        <v>0</v>
      </c>
      <c r="FG35" s="9" t="n">
        <v>15</v>
      </c>
      <c r="FH35" s="9" t="n">
        <v>9</v>
      </c>
      <c r="FI35" s="9" t="n">
        <v>18</v>
      </c>
      <c r="FJ35" s="9" t="n">
        <v>2</v>
      </c>
      <c r="FK35" s="11" t="n">
        <f aca="false">(FG35+FH35+FI35+FJ35)/4</f>
        <v>11</v>
      </c>
      <c r="FL35" s="11" t="n">
        <f aca="false">(FG35/DR35)</f>
        <v>1.875</v>
      </c>
      <c r="FM35" s="11" t="n">
        <f aca="false">(FH35/DS35)</f>
        <v>0.818181818181818</v>
      </c>
      <c r="FN35" s="11" t="n">
        <f aca="false">(FI35/DT35)</f>
        <v>3.6</v>
      </c>
      <c r="FO35" s="11" t="n">
        <f aca="false">(FJ35/DU35)</f>
        <v>0.153846153846154</v>
      </c>
      <c r="FP35" s="11" t="n">
        <f aca="false">(FK35/DV35)</f>
        <v>1.18918918918919</v>
      </c>
      <c r="FQ35" s="11" t="n">
        <f aca="false">(100*FP35)</f>
        <v>118.918918918919</v>
      </c>
      <c r="FR35" s="9" t="n">
        <v>3</v>
      </c>
      <c r="FS35" s="9" t="n">
        <v>58.7</v>
      </c>
      <c r="FT35" s="9" t="n">
        <v>56.1</v>
      </c>
      <c r="FU35" s="9" t="n">
        <v>48.7</v>
      </c>
      <c r="FV35" s="9" t="n">
        <v>68.3</v>
      </c>
      <c r="FW35" s="11" t="n">
        <f aca="false">(FS35+FT35+FU35+FV35)/4</f>
        <v>57.95</v>
      </c>
      <c r="FX35" s="9" t="n">
        <v>0</v>
      </c>
      <c r="FY35" s="9" t="n">
        <v>0</v>
      </c>
      <c r="FZ35" s="9" t="n">
        <v>0</v>
      </c>
      <c r="GA35" s="9" t="n">
        <v>0</v>
      </c>
      <c r="GB35" s="11" t="n">
        <f aca="false">(FX35+FY35+FZ35+GA35)/4</f>
        <v>0</v>
      </c>
      <c r="GC35" s="9" t="n">
        <v>1</v>
      </c>
      <c r="GD35" s="9" t="n">
        <v>1</v>
      </c>
      <c r="GE35" s="9" t="n">
        <v>0</v>
      </c>
      <c r="GF35" s="9" t="n">
        <v>1</v>
      </c>
      <c r="GG35" s="11" t="n">
        <f aca="false">(GC35+GD35+GE35+GF35)/4</f>
        <v>0.75</v>
      </c>
      <c r="GH35" s="9" t="n">
        <v>1</v>
      </c>
      <c r="GI35" s="9" t="n">
        <v>0</v>
      </c>
      <c r="GJ35" s="9" t="n">
        <v>0</v>
      </c>
      <c r="GK35" s="9" t="n">
        <v>1</v>
      </c>
      <c r="GL35" s="11" t="n">
        <f aca="false">(GH35+GI35+GJ35+GK35)/4</f>
        <v>0.5</v>
      </c>
      <c r="GM35" s="9" t="n">
        <v>63</v>
      </c>
      <c r="GN35" s="9" t="n">
        <v>14</v>
      </c>
      <c r="GO35" s="9" t="n">
        <v>47</v>
      </c>
      <c r="GP35" s="9" t="n">
        <v>18</v>
      </c>
      <c r="GQ35" s="11" t="n">
        <f aca="false">(GM35+GN35+GO35+GP35)/4</f>
        <v>35.5</v>
      </c>
      <c r="GR35" s="9" t="n">
        <v>10</v>
      </c>
      <c r="GS35" s="9" t="n">
        <v>12</v>
      </c>
      <c r="GT35" s="9" t="n">
        <v>8</v>
      </c>
      <c r="GU35" s="9" t="n">
        <v>9</v>
      </c>
      <c r="GV35" s="11" t="n">
        <f aca="false">(GR35+GS35+GT35+GU35)/4</f>
        <v>9.75</v>
      </c>
      <c r="GW35" s="9" t="n">
        <v>0</v>
      </c>
      <c r="GX35" s="9" t="n">
        <v>0</v>
      </c>
      <c r="GY35" s="9" t="n">
        <v>0</v>
      </c>
      <c r="GZ35" s="9" t="n">
        <v>0</v>
      </c>
      <c r="HA35" s="11" t="n">
        <f aca="false">(GW35+GX35+GY35+GZ35)/4</f>
        <v>0</v>
      </c>
      <c r="HB35" s="9" t="n">
        <f aca="false">(GW35/GR35)</f>
        <v>0</v>
      </c>
      <c r="HC35" s="9" t="n">
        <f aca="false">(GX35/GS35)</f>
        <v>0</v>
      </c>
      <c r="HD35" s="9" t="n">
        <f aca="false">(GY35/GT35)</f>
        <v>0</v>
      </c>
      <c r="HE35" s="9" t="n">
        <f aca="false">(GZ35/GU35)/4</f>
        <v>0</v>
      </c>
      <c r="HF35" s="9" t="n">
        <f aca="false">(HB35+HC35+HD35+HE35)/4</f>
        <v>0</v>
      </c>
      <c r="HG35" s="9" t="n">
        <f aca="false">(100*HF35)</f>
        <v>0</v>
      </c>
      <c r="HH35" s="18" t="n">
        <v>0</v>
      </c>
      <c r="HI35" s="9" t="n">
        <v>2</v>
      </c>
      <c r="HJ35" s="9" t="n">
        <v>3</v>
      </c>
      <c r="HK35" s="9" t="n">
        <v>0</v>
      </c>
      <c r="HL35" s="19" t="n">
        <v>2</v>
      </c>
      <c r="HM35" s="9" t="n">
        <f aca="false">(HI35+HJ35+HK35+HL35)/4</f>
        <v>1.75</v>
      </c>
      <c r="HN35" s="9" t="n">
        <f aca="false">(HI35/GR35)</f>
        <v>0.2</v>
      </c>
      <c r="HO35" s="9" t="n">
        <f aca="false">(HJ35/GS35)</f>
        <v>0.25</v>
      </c>
      <c r="HP35" s="9" t="n">
        <f aca="false">(HK35/GT35)</f>
        <v>0</v>
      </c>
      <c r="HQ35" s="9" t="n">
        <f aca="false">(HL35/GU35)</f>
        <v>0.222222222222222</v>
      </c>
      <c r="HR35" s="9" t="n">
        <f aca="false">(HM35/GV35)</f>
        <v>0.17948717948718</v>
      </c>
      <c r="HS35" s="9" t="n">
        <f aca="false">(100*HR35)</f>
        <v>17.948717948718</v>
      </c>
      <c r="HT35" s="18" t="n">
        <v>2</v>
      </c>
      <c r="HU35" s="9" t="n">
        <v>0</v>
      </c>
      <c r="HV35" s="9" t="n">
        <v>0</v>
      </c>
      <c r="HW35" s="9" t="n">
        <v>0</v>
      </c>
      <c r="HX35" s="19" t="n">
        <v>0</v>
      </c>
      <c r="HY35" s="9" t="n">
        <f aca="false">(HU35+HV35+HW35+HX35)/4</f>
        <v>0</v>
      </c>
      <c r="HZ35" s="9" t="n">
        <f aca="false">(HU35/GR35)</f>
        <v>0</v>
      </c>
      <c r="IA35" s="9" t="n">
        <f aca="false">HV35/GS35</f>
        <v>0</v>
      </c>
      <c r="IB35" s="9" t="n">
        <f aca="false">(HW35/GT35)</f>
        <v>0</v>
      </c>
      <c r="IC35" s="9" t="n">
        <f aca="false">(HX35/GU35)</f>
        <v>0</v>
      </c>
      <c r="ID35" s="9" t="n">
        <f aca="false">(HY35/GV35)</f>
        <v>0</v>
      </c>
      <c r="IE35" s="9" t="n">
        <f aca="false">(100*ID35)</f>
        <v>0</v>
      </c>
      <c r="IF35" s="18" t="n">
        <v>0</v>
      </c>
      <c r="IG35" s="9" t="n">
        <v>1</v>
      </c>
      <c r="IH35" s="9" t="n">
        <v>0</v>
      </c>
      <c r="II35" s="19" t="n">
        <v>0</v>
      </c>
      <c r="IJ35" s="9" t="n">
        <v>8</v>
      </c>
      <c r="IK35" s="9" t="n">
        <f aca="false">(IG35+IH35+II35+IJ35)/4</f>
        <v>2.25</v>
      </c>
      <c r="IL35" s="9" t="n">
        <f aca="false">(IG35/GM35)</f>
        <v>0.0158730158730159</v>
      </c>
      <c r="IM35" s="9" t="n">
        <f aca="false">(IH35/GN35)</f>
        <v>0</v>
      </c>
      <c r="IN35" s="9" t="n">
        <f aca="false">(II35/GO35)</f>
        <v>0</v>
      </c>
      <c r="IO35" s="9" t="n">
        <f aca="false">(IJ35/GP35)</f>
        <v>0.444444444444444</v>
      </c>
      <c r="IP35" s="9" t="n">
        <f aca="false">(IK35/GQ35)</f>
        <v>0.0633802816901408</v>
      </c>
      <c r="IQ35" s="9" t="n">
        <f aca="false">(100*IP35)</f>
        <v>6.33802816901408</v>
      </c>
      <c r="IR35" s="18" t="n">
        <v>1</v>
      </c>
      <c r="IS35" s="9" t="n">
        <v>59.1</v>
      </c>
      <c r="IT35" s="9" t="n">
        <v>57.5</v>
      </c>
      <c r="IU35" s="19" t="n">
        <v>60.8</v>
      </c>
      <c r="IV35" s="9" t="n">
        <v>56</v>
      </c>
      <c r="IW35" s="9" t="n">
        <f aca="false">(IS35+IT35+IU35+IV35)/4</f>
        <v>58.35</v>
      </c>
      <c r="IX35" s="16" t="n">
        <v>45206</v>
      </c>
      <c r="IY35" s="10" t="s">
        <v>268</v>
      </c>
    </row>
    <row r="36" customFormat="false" ht="15.75" hidden="false" customHeight="true" outlineLevel="0" collapsed="false">
      <c r="A36" s="9" t="s">
        <v>343</v>
      </c>
      <c r="B36" s="10" t="s">
        <v>351</v>
      </c>
      <c r="C36" s="10" t="s">
        <v>261</v>
      </c>
      <c r="D36" s="9" t="n">
        <v>2</v>
      </c>
      <c r="E36" s="9" t="n">
        <v>12</v>
      </c>
      <c r="F36" s="10" t="s">
        <v>354</v>
      </c>
      <c r="G36" s="10" t="s">
        <v>320</v>
      </c>
      <c r="H36" s="9" t="n">
        <v>21</v>
      </c>
      <c r="I36" s="9" t="n">
        <v>10</v>
      </c>
      <c r="J36" s="12" t="s">
        <v>270</v>
      </c>
      <c r="K36" s="20"/>
      <c r="L36" s="20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 t="n">
        <v>0</v>
      </c>
      <c r="Y36" s="9" t="n">
        <v>0</v>
      </c>
      <c r="Z36" s="9" t="n">
        <v>0</v>
      </c>
      <c r="AA36" s="9" t="n">
        <v>0</v>
      </c>
      <c r="AB36" s="11" t="n">
        <f aca="false">(X36+Y36+Z36+AA36)/4</f>
        <v>0</v>
      </c>
      <c r="AC36" s="9" t="n">
        <v>0</v>
      </c>
      <c r="AD36" s="9" t="n">
        <v>0</v>
      </c>
      <c r="AE36" s="9" t="n">
        <v>0</v>
      </c>
      <c r="AF36" s="9" t="n">
        <v>0</v>
      </c>
      <c r="AG36" s="11" t="n">
        <f aca="false">(AC36+AD36+AE36+AF36)/4</f>
        <v>0</v>
      </c>
      <c r="AH36" s="9" t="n">
        <v>1</v>
      </c>
      <c r="AI36" s="9" t="n">
        <v>1</v>
      </c>
      <c r="AJ36" s="9" t="n">
        <v>1</v>
      </c>
      <c r="AK36" s="9" t="n">
        <v>1</v>
      </c>
      <c r="AL36" s="11" t="n">
        <f aca="false">(AH36+AI36+AJ36+AK36)/4</f>
        <v>1</v>
      </c>
      <c r="AM36" s="9" t="n">
        <v>23</v>
      </c>
      <c r="AN36" s="9" t="n">
        <v>13</v>
      </c>
      <c r="AO36" s="9" t="n">
        <v>35</v>
      </c>
      <c r="AP36" s="9" t="n">
        <v>28</v>
      </c>
      <c r="AQ36" s="11" t="n">
        <f aca="false">(AM36+AN36+AO36+AP36)/4</f>
        <v>24.75</v>
      </c>
      <c r="AR36" s="9" t="n">
        <v>35</v>
      </c>
      <c r="AS36" s="9" t="n">
        <v>10</v>
      </c>
      <c r="AT36" s="9" t="n">
        <v>10</v>
      </c>
      <c r="AU36" s="9" t="n">
        <v>15</v>
      </c>
      <c r="AV36" s="11" t="n">
        <f aca="false">(AR36+AS36+AT36+AU36)/4</f>
        <v>17.5</v>
      </c>
      <c r="AW36" s="9" t="n">
        <v>0</v>
      </c>
      <c r="AX36" s="9" t="n">
        <v>0</v>
      </c>
      <c r="AY36" s="9" t="n">
        <v>0</v>
      </c>
      <c r="AZ36" s="9" t="n">
        <v>0</v>
      </c>
      <c r="BA36" s="11" t="n">
        <f aca="false">(AW36+AX36+AY36+AZ36)/4</f>
        <v>0</v>
      </c>
      <c r="BB36" s="11" t="n">
        <f aca="false">(AW36/AR36)</f>
        <v>0</v>
      </c>
      <c r="BC36" s="11" t="n">
        <f aca="false">(AX36/AS36)</f>
        <v>0</v>
      </c>
      <c r="BD36" s="11" t="n">
        <f aca="false">(AY36/AT36)</f>
        <v>0</v>
      </c>
      <c r="BE36" s="11" t="n">
        <f aca="false">(AZ36/AU36)</f>
        <v>0</v>
      </c>
      <c r="BF36" s="11" t="n">
        <f aca="false">(BA36/AV36)</f>
        <v>0</v>
      </c>
      <c r="BG36" s="11" t="n">
        <f aca="false">(BF36*100)</f>
        <v>0</v>
      </c>
      <c r="BH36" s="9" t="n">
        <v>0</v>
      </c>
      <c r="BI36" s="9" t="n">
        <v>0</v>
      </c>
      <c r="BJ36" s="9" t="n">
        <v>0</v>
      </c>
      <c r="BK36" s="9" t="n">
        <v>0</v>
      </c>
      <c r="BL36" s="9" t="n">
        <v>0</v>
      </c>
      <c r="BM36" s="11" t="n">
        <f aca="false">(BI36+BJ36+BK36+BL36)/4</f>
        <v>0</v>
      </c>
      <c r="BN36" s="11" t="n">
        <f aca="false">(BI36/AR36)</f>
        <v>0</v>
      </c>
      <c r="BO36" s="11" t="n">
        <f aca="false">(BJ36/AS36)</f>
        <v>0</v>
      </c>
      <c r="BP36" s="11" t="n">
        <f aca="false">(BK36/AT36)</f>
        <v>0</v>
      </c>
      <c r="BQ36" s="11" t="n">
        <f aca="false">(BL36/AU36)</f>
        <v>0</v>
      </c>
      <c r="BR36" s="11" t="n">
        <f aca="false">(BM36/AV36)</f>
        <v>0</v>
      </c>
      <c r="BS36" s="11" t="n">
        <f aca="false">(100*BR36)</f>
        <v>0</v>
      </c>
      <c r="BT36" s="9" t="n">
        <v>0</v>
      </c>
      <c r="BU36" s="9" t="n">
        <v>0</v>
      </c>
      <c r="BV36" s="9" t="n">
        <v>4</v>
      </c>
      <c r="BW36" s="9" t="n">
        <v>0</v>
      </c>
      <c r="BX36" s="9" t="n">
        <v>4</v>
      </c>
      <c r="BY36" s="11" t="n">
        <f aca="false">(BU36+BV36+BW36+BX36)/4</f>
        <v>2</v>
      </c>
      <c r="BZ36" s="11" t="n">
        <f aca="false">(BU36/AR36)</f>
        <v>0</v>
      </c>
      <c r="CA36" s="11" t="n">
        <f aca="false">(BV36/AS36)</f>
        <v>0.4</v>
      </c>
      <c r="CB36" s="11" t="n">
        <f aca="false">(BW36/AT36)</f>
        <v>0</v>
      </c>
      <c r="CC36" s="11" t="n">
        <f aca="false">(BX36/AU36)</f>
        <v>0.266666666666667</v>
      </c>
      <c r="CD36" s="11" t="n">
        <f aca="false">(BY36/AV36)</f>
        <v>0.114285714285714</v>
      </c>
      <c r="CE36" s="11" t="n">
        <f aca="false">(100*CD36)</f>
        <v>11.4285714285714</v>
      </c>
      <c r="CF36" s="9" t="n">
        <v>2</v>
      </c>
      <c r="CG36" s="9" t="n">
        <v>7</v>
      </c>
      <c r="CH36" s="9" t="n">
        <v>0</v>
      </c>
      <c r="CI36" s="9" t="n">
        <v>9</v>
      </c>
      <c r="CJ36" s="9" t="n">
        <v>15</v>
      </c>
      <c r="CK36" s="11" t="n">
        <f aca="false">(CG36+CH36+CI36+CJ36)/4</f>
        <v>7.75</v>
      </c>
      <c r="CL36" s="11" t="n">
        <f aca="false">(CG36/AM36)</f>
        <v>0.304347826086957</v>
      </c>
      <c r="CM36" s="11" t="n">
        <f aca="false">(CH36/AN36)</f>
        <v>0</v>
      </c>
      <c r="CN36" s="11" t="n">
        <f aca="false">(CI36/AO36)</f>
        <v>0.257142857142857</v>
      </c>
      <c r="CO36" s="9" t="n">
        <f aca="false">(CJ36/AP36)</f>
        <v>0.535714285714286</v>
      </c>
      <c r="CP36" s="9" t="n">
        <f aca="false">(CK36/AQ36)</f>
        <v>0.313131313131313</v>
      </c>
      <c r="CQ36" s="9" t="n">
        <f aca="false">(100*CP36)</f>
        <v>31.3131313131313</v>
      </c>
      <c r="CR36" s="18" t="n">
        <v>3</v>
      </c>
      <c r="CS36" s="9" t="n">
        <v>49.1</v>
      </c>
      <c r="CT36" s="9" t="n">
        <v>49.2</v>
      </c>
      <c r="CU36" s="9" t="n">
        <v>63.3</v>
      </c>
      <c r="CV36" s="9" t="n">
        <v>64.8</v>
      </c>
      <c r="CW36" s="11" t="n">
        <f aca="false">(CS36+CT36+CU36+CV36)/4</f>
        <v>56.6</v>
      </c>
      <c r="CX36" s="9" t="n">
        <v>1</v>
      </c>
      <c r="CY36" s="9" t="n">
        <v>0</v>
      </c>
      <c r="CZ36" s="9" t="n">
        <v>0</v>
      </c>
      <c r="DA36" s="9" t="n">
        <v>0</v>
      </c>
      <c r="DB36" s="11" t="n">
        <f aca="false">(CX36+CY36+CZ36+DA36)/4</f>
        <v>0.25</v>
      </c>
      <c r="DC36" s="9" t="n">
        <v>0</v>
      </c>
      <c r="DD36" s="9" t="n">
        <v>0</v>
      </c>
      <c r="DE36" s="9" t="n">
        <v>0</v>
      </c>
      <c r="DF36" s="9" t="n">
        <v>0</v>
      </c>
      <c r="DG36" s="11" t="n">
        <f aca="false">(DC36+DD36+DE36+DF36)/4</f>
        <v>0</v>
      </c>
      <c r="DH36" s="9" t="n">
        <v>1</v>
      </c>
      <c r="DI36" s="9" t="n">
        <v>1</v>
      </c>
      <c r="DJ36" s="9" t="n">
        <v>1</v>
      </c>
      <c r="DK36" s="9" t="n">
        <v>1</v>
      </c>
      <c r="DL36" s="11" t="n">
        <f aca="false">(DH36+DI36+DJ36+DK36)/4</f>
        <v>1</v>
      </c>
      <c r="DM36" s="9" t="n">
        <v>10</v>
      </c>
      <c r="DN36" s="9" t="n">
        <v>14</v>
      </c>
      <c r="DO36" s="9" t="n">
        <v>48</v>
      </c>
      <c r="DP36" s="9" t="n">
        <v>58</v>
      </c>
      <c r="DQ36" s="11" t="n">
        <f aca="false">(DM36+DN36+DO36+DP36)/4</f>
        <v>32.5</v>
      </c>
      <c r="DR36" s="9" t="n">
        <v>7</v>
      </c>
      <c r="DS36" s="9" t="n">
        <v>13</v>
      </c>
      <c r="DT36" s="9" t="n">
        <v>6</v>
      </c>
      <c r="DU36" s="9" t="n">
        <v>14</v>
      </c>
      <c r="DV36" s="11" t="n">
        <f aca="false">(DR36+DS36+DT36+DU36)/4</f>
        <v>10</v>
      </c>
      <c r="DW36" s="9" t="n">
        <v>1</v>
      </c>
      <c r="DX36" s="9" t="n">
        <v>0</v>
      </c>
      <c r="DY36" s="9" t="n">
        <v>0</v>
      </c>
      <c r="DZ36" s="9" t="n">
        <v>0</v>
      </c>
      <c r="EA36" s="11" t="n">
        <f aca="false">(DW36+DX36+DY36+DZ36)/4</f>
        <v>0.25</v>
      </c>
      <c r="EB36" s="11" t="n">
        <f aca="false">(DW36/DR36)</f>
        <v>0.142857142857143</v>
      </c>
      <c r="EC36" s="11" t="n">
        <f aca="false">(DX36/DS36)</f>
        <v>0</v>
      </c>
      <c r="ED36" s="11" t="n">
        <f aca="false">(DY36/DT36)</f>
        <v>0</v>
      </c>
      <c r="EE36" s="11" t="n">
        <f aca="false">(DZ36/DU36)</f>
        <v>0</v>
      </c>
      <c r="EF36" s="11" t="n">
        <f aca="false">(EA36/DV36)</f>
        <v>0.025</v>
      </c>
      <c r="EG36" s="11" t="n">
        <f aca="false">(100*EF36)</f>
        <v>2.5</v>
      </c>
      <c r="EH36" s="9" t="n">
        <v>1</v>
      </c>
      <c r="EI36" s="9" t="n">
        <v>0</v>
      </c>
      <c r="EJ36" s="9" t="n">
        <v>0</v>
      </c>
      <c r="EK36" s="19" t="n">
        <v>0</v>
      </c>
      <c r="EL36" s="9" t="n">
        <v>0</v>
      </c>
      <c r="EM36" s="9" t="n">
        <f aca="false">(EI36+EJ36+EK36+EL36)/4</f>
        <v>0</v>
      </c>
      <c r="EN36" s="9" t="n">
        <f aca="false">(EI36/DR36)</f>
        <v>0</v>
      </c>
      <c r="EO36" s="9" t="n">
        <f aca="false">(EJ36/DS36)</f>
        <v>0</v>
      </c>
      <c r="EP36" s="9" t="n">
        <f aca="false">(EK36/DT36)</f>
        <v>0</v>
      </c>
      <c r="EQ36" s="9" t="n">
        <f aca="false">(EL36/DU36)</f>
        <v>0</v>
      </c>
      <c r="ER36" s="9" t="n">
        <f aca="false">EM36/DV36</f>
        <v>0</v>
      </c>
      <c r="ES36" s="9" t="n">
        <f aca="false">(100*ER36)</f>
        <v>0</v>
      </c>
      <c r="ET36" s="9" t="n">
        <v>0</v>
      </c>
      <c r="EU36" s="18" t="n">
        <v>1</v>
      </c>
      <c r="EV36" s="9" t="n">
        <v>5</v>
      </c>
      <c r="EW36" s="9" t="n">
        <v>0</v>
      </c>
      <c r="EX36" s="9" t="n">
        <v>0</v>
      </c>
      <c r="EY36" s="11" t="n">
        <f aca="false">(EU36+EV36+EW36+EX36)/4</f>
        <v>1.5</v>
      </c>
      <c r="EZ36" s="11" t="n">
        <f aca="false">(EU36/DR36)</f>
        <v>0.142857142857143</v>
      </c>
      <c r="FA36" s="11" t="n">
        <f aca="false">(EV36/DS36)</f>
        <v>0.384615384615385</v>
      </c>
      <c r="FB36" s="11" t="n">
        <f aca="false">(EW36/DT36)</f>
        <v>0</v>
      </c>
      <c r="FC36" s="11" t="n">
        <f aca="false">(EX36/DU36)</f>
        <v>0</v>
      </c>
      <c r="FD36" s="11" t="n">
        <f aca="false">(EY36/DV36)</f>
        <v>0.15</v>
      </c>
      <c r="FE36" s="11" t="n">
        <f aca="false">(100*FD36)</f>
        <v>15</v>
      </c>
      <c r="FF36" s="9" t="n">
        <v>2</v>
      </c>
      <c r="FG36" s="9" t="n">
        <v>0</v>
      </c>
      <c r="FH36" s="9" t="n">
        <v>5</v>
      </c>
      <c r="FI36" s="9" t="n">
        <v>8</v>
      </c>
      <c r="FJ36" s="9" t="n">
        <v>7</v>
      </c>
      <c r="FK36" s="11" t="n">
        <f aca="false">(FG36+FH36+FI36+FJ36)/4</f>
        <v>5</v>
      </c>
      <c r="FL36" s="11" t="n">
        <f aca="false">(FG36/DR36)</f>
        <v>0</v>
      </c>
      <c r="FM36" s="11" t="n">
        <f aca="false">(FH36/DS36)</f>
        <v>0.384615384615385</v>
      </c>
      <c r="FN36" s="11" t="n">
        <f aca="false">(FI36/DT36)</f>
        <v>1.33333333333333</v>
      </c>
      <c r="FO36" s="11" t="n">
        <f aca="false">(FJ36/DU36)</f>
        <v>0.5</v>
      </c>
      <c r="FP36" s="11" t="n">
        <f aca="false">(FK36/DV36)</f>
        <v>0.5</v>
      </c>
      <c r="FQ36" s="11" t="n">
        <f aca="false">(100*FP36)</f>
        <v>50</v>
      </c>
      <c r="FR36" s="9" t="n">
        <v>3</v>
      </c>
      <c r="FS36" s="9" t="n">
        <v>42.3</v>
      </c>
      <c r="FT36" s="9" t="n">
        <v>57.6</v>
      </c>
      <c r="FU36" s="9" t="n">
        <v>32.5</v>
      </c>
      <c r="FV36" s="9" t="n">
        <v>67.2</v>
      </c>
      <c r="FW36" s="11" t="n">
        <f aca="false">(FS36+FT36+FU36+FV36)/4</f>
        <v>49.9</v>
      </c>
      <c r="FX36" s="9" t="n">
        <v>0</v>
      </c>
      <c r="FY36" s="9" t="n">
        <v>1</v>
      </c>
      <c r="FZ36" s="9" t="n">
        <v>0</v>
      </c>
      <c r="GA36" s="9" t="n">
        <v>0</v>
      </c>
      <c r="GB36" s="11" t="n">
        <f aca="false">(FX36+FY36+FZ36+GA36)/4</f>
        <v>0.25</v>
      </c>
      <c r="GC36" s="9" t="n">
        <v>0</v>
      </c>
      <c r="GD36" s="9" t="n">
        <v>0</v>
      </c>
      <c r="GE36" s="9" t="n">
        <v>0</v>
      </c>
      <c r="GF36" s="9" t="n">
        <v>0</v>
      </c>
      <c r="GG36" s="11" t="n">
        <f aca="false">(GC36+GD36+GE36+GF36)/4</f>
        <v>0</v>
      </c>
      <c r="GH36" s="9" t="n">
        <v>1</v>
      </c>
      <c r="GI36" s="9" t="n">
        <v>1</v>
      </c>
      <c r="GJ36" s="9" t="n">
        <v>1</v>
      </c>
      <c r="GK36" s="9" t="n">
        <v>1</v>
      </c>
      <c r="GL36" s="11" t="n">
        <f aca="false">(GH36+GI36+GJ36+GK36)/4</f>
        <v>1</v>
      </c>
      <c r="GM36" s="9" t="n">
        <v>55</v>
      </c>
      <c r="GN36" s="9" t="n">
        <v>24</v>
      </c>
      <c r="GO36" s="9" t="n">
        <v>16</v>
      </c>
      <c r="GP36" s="9" t="n">
        <v>60</v>
      </c>
      <c r="GQ36" s="11" t="n">
        <f aca="false">(GM36+GN36+GO36+GP36)/4</f>
        <v>38.75</v>
      </c>
      <c r="GR36" s="9" t="n">
        <v>18</v>
      </c>
      <c r="GS36" s="9" t="n">
        <v>14</v>
      </c>
      <c r="GT36" s="9" t="n">
        <v>5</v>
      </c>
      <c r="GU36" s="9" t="n">
        <v>6</v>
      </c>
      <c r="GV36" s="11" t="n">
        <f aca="false">(GR36+GS36+GT36+GU36)/4</f>
        <v>10.75</v>
      </c>
      <c r="GW36" s="9" t="n">
        <v>0</v>
      </c>
      <c r="GX36" s="9" t="n">
        <v>2</v>
      </c>
      <c r="GY36" s="9" t="n">
        <v>0</v>
      </c>
      <c r="GZ36" s="9" t="n">
        <v>0</v>
      </c>
      <c r="HA36" s="11" t="n">
        <f aca="false">(GW36+GX36+GY36+GZ36)/4</f>
        <v>0.5</v>
      </c>
      <c r="HB36" s="9" t="n">
        <f aca="false">(GW36/GR36)</f>
        <v>0</v>
      </c>
      <c r="HC36" s="9" t="n">
        <f aca="false">(GX36/GS36)</f>
        <v>0.142857142857143</v>
      </c>
      <c r="HD36" s="9" t="n">
        <f aca="false">(GY36/GT36)</f>
        <v>0</v>
      </c>
      <c r="HE36" s="9" t="n">
        <f aca="false">(GZ36/GU36)/4</f>
        <v>0</v>
      </c>
      <c r="HF36" s="9" t="n">
        <f aca="false">(HB36+HC36+HD36+HE36)/4</f>
        <v>0.0357142857142857</v>
      </c>
      <c r="HG36" s="9" t="n">
        <f aca="false">(100*HF36)</f>
        <v>3.57142857142857</v>
      </c>
      <c r="HH36" s="18" t="n">
        <v>1</v>
      </c>
      <c r="HI36" s="9" t="n">
        <v>0</v>
      </c>
      <c r="HJ36" s="9" t="n">
        <v>0</v>
      </c>
      <c r="HK36" s="9" t="n">
        <v>0</v>
      </c>
      <c r="HL36" s="19" t="n">
        <v>0</v>
      </c>
      <c r="HM36" s="9" t="n">
        <f aca="false">(HI36+HJ36+HK36+HL36)/4</f>
        <v>0</v>
      </c>
      <c r="HN36" s="9" t="n">
        <f aca="false">(HI36/GR36)</f>
        <v>0</v>
      </c>
      <c r="HO36" s="9" t="n">
        <f aca="false">(HJ36/GS36)</f>
        <v>0</v>
      </c>
      <c r="HP36" s="9" t="n">
        <f aca="false">(HK36/GT36)</f>
        <v>0</v>
      </c>
      <c r="HQ36" s="9" t="n">
        <f aca="false">(HL36/GU36)</f>
        <v>0</v>
      </c>
      <c r="HR36" s="9" t="n">
        <f aca="false">(HM36/GV36)</f>
        <v>0</v>
      </c>
      <c r="HS36" s="9" t="n">
        <f aca="false">(100*HR36)</f>
        <v>0</v>
      </c>
      <c r="HT36" s="18" t="n">
        <v>0</v>
      </c>
      <c r="HU36" s="9" t="n">
        <v>6</v>
      </c>
      <c r="HV36" s="9" t="n">
        <v>5</v>
      </c>
      <c r="HW36" s="9" t="n">
        <v>0</v>
      </c>
      <c r="HX36" s="19" t="n">
        <v>1</v>
      </c>
      <c r="HY36" s="9" t="n">
        <f aca="false">(HU36+HV36+HW36+HX36)/4</f>
        <v>3</v>
      </c>
      <c r="HZ36" s="9" t="n">
        <f aca="false">(HU36/GR36)</f>
        <v>0.333333333333333</v>
      </c>
      <c r="IA36" s="9" t="n">
        <f aca="false">HV36/GS36</f>
        <v>0.357142857142857</v>
      </c>
      <c r="IB36" s="9" t="n">
        <f aca="false">(HW36/GT36)</f>
        <v>0</v>
      </c>
      <c r="IC36" s="9" t="n">
        <f aca="false">(HX36/GU36)</f>
        <v>0.166666666666667</v>
      </c>
      <c r="ID36" s="9" t="n">
        <f aca="false">(HY36/GV36)</f>
        <v>0.27906976744186</v>
      </c>
      <c r="IE36" s="9" t="n">
        <f aca="false">(100*ID36)</f>
        <v>27.906976744186</v>
      </c>
      <c r="IF36" s="18" t="n">
        <v>2</v>
      </c>
      <c r="IG36" s="9" t="n">
        <v>16</v>
      </c>
      <c r="IH36" s="9" t="n">
        <v>12</v>
      </c>
      <c r="II36" s="19" t="n">
        <v>10</v>
      </c>
      <c r="IJ36" s="9" t="n">
        <v>1</v>
      </c>
      <c r="IK36" s="9" t="n">
        <f aca="false">(IG36+IH36+II36+IJ36)/4</f>
        <v>9.75</v>
      </c>
      <c r="IL36" s="9" t="n">
        <f aca="false">(IG36/GM36)</f>
        <v>0.290909090909091</v>
      </c>
      <c r="IM36" s="9" t="n">
        <f aca="false">(IH36/GN36)</f>
        <v>0.5</v>
      </c>
      <c r="IN36" s="9" t="n">
        <f aca="false">(II36/GO36)</f>
        <v>0.625</v>
      </c>
      <c r="IO36" s="9" t="n">
        <f aca="false">(IJ36/GP36)</f>
        <v>0.0166666666666667</v>
      </c>
      <c r="IP36" s="9" t="n">
        <f aca="false">(IK36/GQ36)</f>
        <v>0.251612903225806</v>
      </c>
      <c r="IQ36" s="9" t="n">
        <f aca="false">(100*IP36)</f>
        <v>25.1612903225806</v>
      </c>
      <c r="IR36" s="18" t="n">
        <v>2</v>
      </c>
      <c r="IS36" s="9" t="n">
        <v>58.7</v>
      </c>
      <c r="IT36" s="9" t="n">
        <v>59.2</v>
      </c>
      <c r="IU36" s="19" t="n">
        <v>30.9</v>
      </c>
      <c r="IV36" s="9" t="n">
        <v>32.7</v>
      </c>
      <c r="IW36" s="9" t="n">
        <f aca="false">(IS36+IT36+IU36+IV36)/4</f>
        <v>45.375</v>
      </c>
      <c r="IX36" s="16" t="n">
        <v>45206</v>
      </c>
      <c r="IY36" s="10" t="s">
        <v>268</v>
      </c>
    </row>
    <row r="37" customFormat="false" ht="15.75" hidden="false" customHeight="true" outlineLevel="0" collapsed="false">
      <c r="A37" s="9" t="s">
        <v>343</v>
      </c>
      <c r="B37" s="10" t="s">
        <v>351</v>
      </c>
      <c r="C37" s="10" t="s">
        <v>261</v>
      </c>
      <c r="D37" s="9" t="n">
        <v>2</v>
      </c>
      <c r="E37" s="9" t="n">
        <v>12</v>
      </c>
      <c r="F37" s="10" t="s">
        <v>355</v>
      </c>
      <c r="G37" s="10" t="s">
        <v>320</v>
      </c>
      <c r="H37" s="9" t="n">
        <v>21</v>
      </c>
      <c r="I37" s="9" t="n">
        <v>20</v>
      </c>
      <c r="J37" s="10" t="s">
        <v>272</v>
      </c>
      <c r="K37" s="20"/>
      <c r="L37" s="20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 t="n">
        <v>1</v>
      </c>
      <c r="Y37" s="9" t="n">
        <v>1</v>
      </c>
      <c r="Z37" s="9" t="n">
        <v>0</v>
      </c>
      <c r="AA37" s="9" t="n">
        <v>0</v>
      </c>
      <c r="AB37" s="11" t="n">
        <f aca="false">(X37+Y37+Z37+AA37)/4</f>
        <v>0.5</v>
      </c>
      <c r="AC37" s="9" t="n">
        <v>1</v>
      </c>
      <c r="AD37" s="9" t="n">
        <v>1</v>
      </c>
      <c r="AE37" s="9" t="n">
        <v>1</v>
      </c>
      <c r="AF37" s="9" t="n">
        <v>1</v>
      </c>
      <c r="AG37" s="11" t="n">
        <f aca="false">(AC37+AD37+AE37+AF37)/4</f>
        <v>1</v>
      </c>
      <c r="AH37" s="9" t="n">
        <v>1</v>
      </c>
      <c r="AI37" s="9" t="n">
        <v>1</v>
      </c>
      <c r="AJ37" s="9" t="n">
        <v>1</v>
      </c>
      <c r="AK37" s="9" t="n">
        <v>1</v>
      </c>
      <c r="AL37" s="11" t="n">
        <f aca="false">(AH37+AI37+AJ37+AK37)/4</f>
        <v>1</v>
      </c>
      <c r="AM37" s="9" t="n">
        <v>16</v>
      </c>
      <c r="AN37" s="9" t="n">
        <v>51</v>
      </c>
      <c r="AO37" s="9" t="n">
        <v>16</v>
      </c>
      <c r="AP37" s="9" t="n">
        <v>77</v>
      </c>
      <c r="AQ37" s="11" t="n">
        <f aca="false">(AM37+AN37+AO37+AP37)/4</f>
        <v>40</v>
      </c>
      <c r="AR37" s="9" t="n">
        <v>26</v>
      </c>
      <c r="AS37" s="9" t="n">
        <v>23</v>
      </c>
      <c r="AT37" s="9" t="n">
        <v>11</v>
      </c>
      <c r="AU37" s="9" t="n">
        <v>30</v>
      </c>
      <c r="AV37" s="11" t="n">
        <f aca="false">(AR37+AS37+AT37+AU37)/4</f>
        <v>22.5</v>
      </c>
      <c r="AW37" s="9" t="n">
        <v>3</v>
      </c>
      <c r="AX37" s="9" t="n">
        <v>3</v>
      </c>
      <c r="AY37" s="9" t="n">
        <v>0</v>
      </c>
      <c r="AZ37" s="9" t="n">
        <v>0</v>
      </c>
      <c r="BA37" s="11" t="n">
        <f aca="false">(AW37+AX37+AY37+AZ37)/4</f>
        <v>1.5</v>
      </c>
      <c r="BB37" s="11" t="n">
        <f aca="false">(AW37/AR37)</f>
        <v>0.115384615384615</v>
      </c>
      <c r="BC37" s="11" t="n">
        <f aca="false">(AX37/AS37)</f>
        <v>0.130434782608696</v>
      </c>
      <c r="BD37" s="11" t="n">
        <f aca="false">(AY37/AT37)</f>
        <v>0</v>
      </c>
      <c r="BE37" s="11" t="n">
        <f aca="false">(AZ37/AU37)</f>
        <v>0</v>
      </c>
      <c r="BF37" s="11" t="n">
        <f aca="false">(BA37/AV37)</f>
        <v>0.0666666666666667</v>
      </c>
      <c r="BG37" s="11" t="n">
        <f aca="false">(BF37*100)</f>
        <v>6.66666666666667</v>
      </c>
      <c r="BH37" s="9" t="n">
        <v>1</v>
      </c>
      <c r="BI37" s="9" t="n">
        <v>3</v>
      </c>
      <c r="BJ37" s="9" t="n">
        <v>2</v>
      </c>
      <c r="BK37" s="9" t="n">
        <v>3</v>
      </c>
      <c r="BL37" s="9" t="n">
        <v>3</v>
      </c>
      <c r="BM37" s="11" t="n">
        <f aca="false">(BI37+BJ37+BK37+BL37)/4</f>
        <v>2.75</v>
      </c>
      <c r="BN37" s="11" t="n">
        <f aca="false">(BI37/AR37)</f>
        <v>0.115384615384615</v>
      </c>
      <c r="BO37" s="11" t="n">
        <f aca="false">(BJ37/AS37)</f>
        <v>0.0869565217391304</v>
      </c>
      <c r="BP37" s="11" t="n">
        <f aca="false">(BK37/AT37)</f>
        <v>0.272727272727273</v>
      </c>
      <c r="BQ37" s="11" t="n">
        <f aca="false">(BL37/AU37)</f>
        <v>0.1</v>
      </c>
      <c r="BR37" s="11" t="n">
        <f aca="false">(BM37/AV37)</f>
        <v>0.122222222222222</v>
      </c>
      <c r="BS37" s="11" t="n">
        <f aca="false">(100*BR37)</f>
        <v>12.2222222222222</v>
      </c>
      <c r="BT37" s="9" t="n">
        <v>2</v>
      </c>
      <c r="BU37" s="9" t="n">
        <v>0</v>
      </c>
      <c r="BV37" s="9" t="n">
        <v>3</v>
      </c>
      <c r="BW37" s="9" t="n">
        <v>0</v>
      </c>
      <c r="BX37" s="9" t="n">
        <v>0</v>
      </c>
      <c r="BY37" s="11" t="n">
        <f aca="false">(BU37+BV37+BW37+BX37)/4</f>
        <v>0.75</v>
      </c>
      <c r="BZ37" s="11" t="n">
        <f aca="false">(BU37/AR37)</f>
        <v>0</v>
      </c>
      <c r="CA37" s="11" t="n">
        <f aca="false">(BV37/AS37)</f>
        <v>0.130434782608696</v>
      </c>
      <c r="CB37" s="11" t="n">
        <f aca="false">(BW37/AT37)</f>
        <v>0</v>
      </c>
      <c r="CC37" s="11" t="n">
        <f aca="false">(BX37/AU37)</f>
        <v>0</v>
      </c>
      <c r="CD37" s="11" t="n">
        <f aca="false">(BY37/AV37)</f>
        <v>0.0333333333333333</v>
      </c>
      <c r="CE37" s="11" t="n">
        <f aca="false">(100*CD37)</f>
        <v>3.33333333333333</v>
      </c>
      <c r="CF37" s="9" t="n">
        <v>1</v>
      </c>
      <c r="CG37" s="9" t="n">
        <v>2</v>
      </c>
      <c r="CH37" s="9" t="n">
        <v>10</v>
      </c>
      <c r="CI37" s="9" t="n">
        <v>4</v>
      </c>
      <c r="CJ37" s="9" t="n">
        <v>7</v>
      </c>
      <c r="CK37" s="11" t="n">
        <f aca="false">(CG37+CH37+CI37+CJ37)/4</f>
        <v>5.75</v>
      </c>
      <c r="CL37" s="11" t="n">
        <f aca="false">(CG37/AM37)</f>
        <v>0.125</v>
      </c>
      <c r="CM37" s="11" t="n">
        <f aca="false">(CH37/AN37)</f>
        <v>0.196078431372549</v>
      </c>
      <c r="CN37" s="11" t="n">
        <f aca="false">(CI37/AO37)</f>
        <v>0.25</v>
      </c>
      <c r="CO37" s="9" t="n">
        <f aca="false">(CJ37/AP37)</f>
        <v>0.0909090909090909</v>
      </c>
      <c r="CP37" s="9" t="n">
        <f aca="false">(CK37/AQ37)</f>
        <v>0.14375</v>
      </c>
      <c r="CQ37" s="9" t="n">
        <f aca="false">(100*CP37)</f>
        <v>14.375</v>
      </c>
      <c r="CR37" s="18" t="n">
        <v>2</v>
      </c>
      <c r="CS37" s="9" t="n">
        <v>63.2</v>
      </c>
      <c r="CT37" s="9" t="n">
        <v>71.8</v>
      </c>
      <c r="CU37" s="9" t="n">
        <v>44</v>
      </c>
      <c r="CV37" s="9" t="n">
        <v>37.1</v>
      </c>
      <c r="CW37" s="11" t="n">
        <f aca="false">(CS37+CT37+CU37+CV37)/4</f>
        <v>54.025</v>
      </c>
      <c r="CX37" s="9" t="n">
        <v>0</v>
      </c>
      <c r="CY37" s="9" t="n">
        <v>0</v>
      </c>
      <c r="CZ37" s="9" t="n">
        <v>1</v>
      </c>
      <c r="DA37" s="9" t="n">
        <v>0</v>
      </c>
      <c r="DB37" s="11" t="n">
        <f aca="false">(CX37+CY37+CZ37+DA37)/4</f>
        <v>0.25</v>
      </c>
      <c r="DC37" s="9" t="n">
        <v>1</v>
      </c>
      <c r="DD37" s="9" t="n">
        <v>0</v>
      </c>
      <c r="DE37" s="9" t="n">
        <v>1</v>
      </c>
      <c r="DF37" s="9" t="n">
        <v>1</v>
      </c>
      <c r="DG37" s="11" t="n">
        <f aca="false">(DC37+DD37+DE37+DF37)/4</f>
        <v>0.75</v>
      </c>
      <c r="DH37" s="9" t="n">
        <v>1</v>
      </c>
      <c r="DI37" s="9" t="n">
        <v>1</v>
      </c>
      <c r="DJ37" s="9" t="n">
        <v>1</v>
      </c>
      <c r="DK37" s="9" t="n">
        <v>1</v>
      </c>
      <c r="DL37" s="11" t="n">
        <f aca="false">(DH37+DI37+DJ37+DK37)/4</f>
        <v>1</v>
      </c>
      <c r="DM37" s="9" t="n">
        <v>28</v>
      </c>
      <c r="DN37" s="9" t="n">
        <v>24</v>
      </c>
      <c r="DO37" s="9" t="n">
        <v>18</v>
      </c>
      <c r="DP37" s="9" t="n">
        <v>89</v>
      </c>
      <c r="DQ37" s="11" t="n">
        <f aca="false">(DM37+DN37+DO37+DP37)/4</f>
        <v>39.75</v>
      </c>
      <c r="DR37" s="9" t="n">
        <v>34</v>
      </c>
      <c r="DS37" s="9" t="n">
        <v>13</v>
      </c>
      <c r="DT37" s="9" t="n">
        <v>28</v>
      </c>
      <c r="DU37" s="9" t="n">
        <v>18</v>
      </c>
      <c r="DV37" s="11" t="n">
        <f aca="false">(DR37+DS37+DT37+DU37)/4</f>
        <v>23.25</v>
      </c>
      <c r="DW37" s="9" t="n">
        <v>0</v>
      </c>
      <c r="DX37" s="9" t="n">
        <v>0</v>
      </c>
      <c r="DY37" s="9" t="n">
        <v>1</v>
      </c>
      <c r="DZ37" s="9" t="n">
        <v>0</v>
      </c>
      <c r="EA37" s="11" t="n">
        <f aca="false">(DW37+DX37+DY37+DZ37)/4</f>
        <v>0.25</v>
      </c>
      <c r="EB37" s="11" t="n">
        <f aca="false">(DW37/DR37)</f>
        <v>0</v>
      </c>
      <c r="EC37" s="11" t="n">
        <f aca="false">(DX37/DS37)</f>
        <v>0</v>
      </c>
      <c r="ED37" s="11" t="n">
        <f aca="false">(DY37/DT37)</f>
        <v>0.0357142857142857</v>
      </c>
      <c r="EE37" s="11" t="n">
        <f aca="false">(DZ37/DU37)</f>
        <v>0</v>
      </c>
      <c r="EF37" s="11" t="n">
        <f aca="false">(EA37/DV37)</f>
        <v>0.010752688172043</v>
      </c>
      <c r="EG37" s="11" t="n">
        <f aca="false">(100*EF37)</f>
        <v>1.0752688172043</v>
      </c>
      <c r="EH37" s="9" t="n">
        <v>1</v>
      </c>
      <c r="EI37" s="9" t="n">
        <v>2</v>
      </c>
      <c r="EJ37" s="9" t="n">
        <v>0</v>
      </c>
      <c r="EK37" s="19" t="n">
        <v>1</v>
      </c>
      <c r="EL37" s="9" t="n">
        <v>2</v>
      </c>
      <c r="EM37" s="9" t="n">
        <f aca="false">(EI37+EJ37+EK37+EL37)/4</f>
        <v>1.25</v>
      </c>
      <c r="EN37" s="9" t="n">
        <f aca="false">(EI37/DR37)</f>
        <v>0.0588235294117647</v>
      </c>
      <c r="EO37" s="9" t="n">
        <f aca="false">(EJ37/DS37)</f>
        <v>0</v>
      </c>
      <c r="EP37" s="9" t="n">
        <f aca="false">(EK37/DT37)</f>
        <v>0.0357142857142857</v>
      </c>
      <c r="EQ37" s="9" t="n">
        <f aca="false">(EL37/DU37)</f>
        <v>0.111111111111111</v>
      </c>
      <c r="ER37" s="9" t="n">
        <f aca="false">EM37/DV37</f>
        <v>0.0537634408602151</v>
      </c>
      <c r="ES37" s="9" t="n">
        <f aca="false">(100*ER37)</f>
        <v>5.37634408602151</v>
      </c>
      <c r="ET37" s="9" t="n">
        <v>1</v>
      </c>
      <c r="EU37" s="18" t="n">
        <v>0</v>
      </c>
      <c r="EV37" s="9" t="n">
        <v>3</v>
      </c>
      <c r="EW37" s="9" t="n">
        <v>0</v>
      </c>
      <c r="EX37" s="9" t="n">
        <v>0</v>
      </c>
      <c r="EY37" s="11" t="n">
        <f aca="false">(EU37+EV37+EW37+EX37)/4</f>
        <v>0.75</v>
      </c>
      <c r="EZ37" s="11" t="n">
        <f aca="false">(EU37/DR37)</f>
        <v>0</v>
      </c>
      <c r="FA37" s="11" t="n">
        <f aca="false">(EV37/DS37)</f>
        <v>0.230769230769231</v>
      </c>
      <c r="FB37" s="11" t="n">
        <f aca="false">(EW37/DT37)</f>
        <v>0</v>
      </c>
      <c r="FC37" s="11" t="n">
        <f aca="false">(EX37/DU37)</f>
        <v>0</v>
      </c>
      <c r="FD37" s="11" t="n">
        <f aca="false">(EY37/DV37)</f>
        <v>0.032258064516129</v>
      </c>
      <c r="FE37" s="11" t="n">
        <f aca="false">(100*FD37)</f>
        <v>3.2258064516129</v>
      </c>
      <c r="FF37" s="9" t="n">
        <v>1</v>
      </c>
      <c r="FG37" s="9" t="n">
        <v>5</v>
      </c>
      <c r="FH37" s="9" t="n">
        <v>12</v>
      </c>
      <c r="FI37" s="9" t="n">
        <v>4</v>
      </c>
      <c r="FJ37" s="9" t="n">
        <v>2</v>
      </c>
      <c r="FK37" s="11" t="n">
        <f aca="false">(FG37+FH37+FI37+FJ37)/4</f>
        <v>5.75</v>
      </c>
      <c r="FL37" s="11" t="n">
        <f aca="false">(FG37/DR37)</f>
        <v>0.147058823529412</v>
      </c>
      <c r="FM37" s="11" t="n">
        <f aca="false">(FH37/DS37)</f>
        <v>0.923076923076923</v>
      </c>
      <c r="FN37" s="11" t="n">
        <f aca="false">(FI37/DT37)</f>
        <v>0.142857142857143</v>
      </c>
      <c r="FO37" s="11" t="n">
        <f aca="false">(FJ37/DU37)</f>
        <v>0.111111111111111</v>
      </c>
      <c r="FP37" s="11" t="n">
        <f aca="false">(FK37/DV37)</f>
        <v>0.247311827956989</v>
      </c>
      <c r="FQ37" s="11" t="n">
        <f aca="false">(100*FP37)</f>
        <v>24.7311827956989</v>
      </c>
      <c r="FR37" s="9" t="n">
        <v>2</v>
      </c>
      <c r="FS37" s="9" t="n">
        <v>61</v>
      </c>
      <c r="FT37" s="9" t="n">
        <v>52.2</v>
      </c>
      <c r="FU37" s="9" t="n">
        <v>55.4</v>
      </c>
      <c r="FV37" s="9" t="n">
        <v>67.1</v>
      </c>
      <c r="FW37" s="11" t="n">
        <f aca="false">(FS37+FT37+FU37+FV37)/4</f>
        <v>58.925</v>
      </c>
      <c r="FX37" s="9" t="n">
        <v>0</v>
      </c>
      <c r="FY37" s="9" t="n">
        <v>0</v>
      </c>
      <c r="FZ37" s="9" t="n">
        <v>0</v>
      </c>
      <c r="GA37" s="9" t="n">
        <v>0</v>
      </c>
      <c r="GB37" s="11" t="n">
        <f aca="false">(FX37+FY37+FZ37+GA37)/4</f>
        <v>0</v>
      </c>
      <c r="GC37" s="9" t="n">
        <v>1</v>
      </c>
      <c r="GD37" s="9" t="n">
        <v>1</v>
      </c>
      <c r="GE37" s="9" t="n">
        <v>1</v>
      </c>
      <c r="GF37" s="9" t="n">
        <v>1</v>
      </c>
      <c r="GG37" s="11" t="n">
        <f aca="false">(GC37+GD37+GE37+GF37)/4</f>
        <v>1</v>
      </c>
      <c r="GH37" s="9" t="n">
        <v>1</v>
      </c>
      <c r="GI37" s="9" t="n">
        <v>1</v>
      </c>
      <c r="GJ37" s="9" t="n">
        <v>1</v>
      </c>
      <c r="GK37" s="9" t="n">
        <v>1</v>
      </c>
      <c r="GL37" s="11" t="n">
        <f aca="false">(GH37+GI37+GJ37+GK37)/4</f>
        <v>1</v>
      </c>
      <c r="GM37" s="9" t="n">
        <v>48</v>
      </c>
      <c r="GN37" s="9" t="n">
        <v>110</v>
      </c>
      <c r="GO37" s="9" t="n">
        <v>78</v>
      </c>
      <c r="GP37" s="9" t="n">
        <v>16</v>
      </c>
      <c r="GQ37" s="11" t="n">
        <f aca="false">(GM37+GN37+GO37+GP37)/4</f>
        <v>63</v>
      </c>
      <c r="GR37" s="9" t="n">
        <v>13</v>
      </c>
      <c r="GS37" s="9" t="n">
        <v>13</v>
      </c>
      <c r="GT37" s="9" t="n">
        <v>28</v>
      </c>
      <c r="GU37" s="9" t="n">
        <v>18</v>
      </c>
      <c r="GV37" s="11" t="n">
        <f aca="false">(GR37+GS37+GT37+GU37)/4</f>
        <v>18</v>
      </c>
      <c r="GW37" s="9" t="n">
        <v>0</v>
      </c>
      <c r="GX37" s="9" t="n">
        <v>0</v>
      </c>
      <c r="GY37" s="9" t="n">
        <v>0</v>
      </c>
      <c r="GZ37" s="9" t="n">
        <v>0</v>
      </c>
      <c r="HA37" s="11" t="n">
        <f aca="false">(GW37+GX37+GY37+GZ37)/4</f>
        <v>0</v>
      </c>
      <c r="HB37" s="9" t="n">
        <f aca="false">(GW37/GR37)</f>
        <v>0</v>
      </c>
      <c r="HC37" s="9" t="n">
        <f aca="false">(GX37/GS37)</f>
        <v>0</v>
      </c>
      <c r="HD37" s="9" t="n">
        <f aca="false">(GY37/GT37)</f>
        <v>0</v>
      </c>
      <c r="HE37" s="9" t="n">
        <f aca="false">(GZ37/GU37)/4</f>
        <v>0</v>
      </c>
      <c r="HF37" s="9" t="n">
        <f aca="false">(HB37+HC37+HD37+HE37)/4</f>
        <v>0</v>
      </c>
      <c r="HG37" s="9" t="n">
        <f aca="false">(100*HF37)</f>
        <v>0</v>
      </c>
      <c r="HH37" s="18" t="n">
        <v>0</v>
      </c>
      <c r="HI37" s="9" t="n">
        <v>1</v>
      </c>
      <c r="HJ37" s="9" t="n">
        <v>4</v>
      </c>
      <c r="HK37" s="9" t="n">
        <v>1</v>
      </c>
      <c r="HL37" s="19" t="n">
        <v>2</v>
      </c>
      <c r="HM37" s="9" t="n">
        <f aca="false">(HI37+HJ37+HK37+HL37)/4</f>
        <v>2</v>
      </c>
      <c r="HN37" s="9" t="n">
        <f aca="false">(HI37/GR37)</f>
        <v>0.0769230769230769</v>
      </c>
      <c r="HO37" s="9" t="n">
        <f aca="false">(HJ37/GS37)</f>
        <v>0.307692307692308</v>
      </c>
      <c r="HP37" s="9" t="n">
        <f aca="false">(HK37/GT37)</f>
        <v>0.0357142857142857</v>
      </c>
      <c r="HQ37" s="9" t="n">
        <f aca="false">(HL37/GU37)</f>
        <v>0.111111111111111</v>
      </c>
      <c r="HR37" s="9" t="n">
        <f aca="false">(HM37/GV37)</f>
        <v>0.111111111111111</v>
      </c>
      <c r="HS37" s="9" t="n">
        <f aca="false">(100*HR37)</f>
        <v>11.1111111111111</v>
      </c>
      <c r="HT37" s="18" t="n">
        <v>2</v>
      </c>
      <c r="HU37" s="9" t="n">
        <v>0</v>
      </c>
      <c r="HV37" s="9" t="n">
        <v>0</v>
      </c>
      <c r="HW37" s="9" t="n">
        <v>0</v>
      </c>
      <c r="HX37" s="19" t="n">
        <v>0</v>
      </c>
      <c r="HY37" s="9" t="n">
        <f aca="false">(HU37+HV37+HW37+HX37)/4</f>
        <v>0</v>
      </c>
      <c r="HZ37" s="9" t="n">
        <f aca="false">(HU37/GR37)</f>
        <v>0</v>
      </c>
      <c r="IA37" s="9" t="n">
        <f aca="false">HV37/GS37</f>
        <v>0</v>
      </c>
      <c r="IB37" s="9" t="n">
        <f aca="false">(HW37/GT37)</f>
        <v>0</v>
      </c>
      <c r="IC37" s="9" t="n">
        <f aca="false">(HX37/GU37)</f>
        <v>0</v>
      </c>
      <c r="ID37" s="9" t="n">
        <f aca="false">(HY37/GV37)</f>
        <v>0</v>
      </c>
      <c r="IE37" s="9" t="n">
        <f aca="false">(100*ID37)</f>
        <v>0</v>
      </c>
      <c r="IF37" s="18" t="n">
        <v>0</v>
      </c>
      <c r="IG37" s="9" t="n">
        <v>17</v>
      </c>
      <c r="IH37" s="9" t="n">
        <v>13</v>
      </c>
      <c r="II37" s="19" t="n">
        <v>12</v>
      </c>
      <c r="IJ37" s="9" t="n">
        <v>15</v>
      </c>
      <c r="IK37" s="9" t="n">
        <f aca="false">(IG37+IH37+II37+IJ37)/4</f>
        <v>14.25</v>
      </c>
      <c r="IL37" s="9" t="n">
        <f aca="false">(IG37/GM37)</f>
        <v>0.354166666666667</v>
      </c>
      <c r="IM37" s="9" t="n">
        <f aca="false">(IH37/GN37)</f>
        <v>0.118181818181818</v>
      </c>
      <c r="IN37" s="9" t="n">
        <f aca="false">(II37/GO37)</f>
        <v>0.153846153846154</v>
      </c>
      <c r="IO37" s="9" t="n">
        <f aca="false">(IJ37/GP37)</f>
        <v>0.9375</v>
      </c>
      <c r="IP37" s="9" t="n">
        <f aca="false">(IK37/GQ37)</f>
        <v>0.226190476190476</v>
      </c>
      <c r="IQ37" s="9" t="n">
        <f aca="false">(100*IP37)</f>
        <v>22.6190476190476</v>
      </c>
      <c r="IR37" s="18" t="n">
        <v>2</v>
      </c>
      <c r="IS37" s="9" t="n">
        <v>60.5</v>
      </c>
      <c r="IT37" s="9" t="n">
        <v>69.2</v>
      </c>
      <c r="IU37" s="19" t="n">
        <v>64.7</v>
      </c>
      <c r="IV37" s="9" t="n">
        <v>68.5</v>
      </c>
      <c r="IW37" s="9" t="n">
        <f aca="false">(IS37+IT37+IU37+IV37)/4</f>
        <v>65.725</v>
      </c>
      <c r="IX37" s="16" t="n">
        <v>45206</v>
      </c>
      <c r="IY37" s="10" t="s">
        <v>268</v>
      </c>
    </row>
    <row r="38" customFormat="false" ht="23.25" hidden="false" customHeight="true" outlineLevel="0" collapsed="false">
      <c r="A38" s="9" t="s">
        <v>343</v>
      </c>
      <c r="B38" s="10" t="s">
        <v>356</v>
      </c>
      <c r="C38" s="10" t="s">
        <v>261</v>
      </c>
      <c r="D38" s="9" t="n">
        <v>3</v>
      </c>
      <c r="E38" s="9" t="n">
        <v>13</v>
      </c>
      <c r="F38" s="10" t="s">
        <v>357</v>
      </c>
      <c r="G38" s="10" t="s">
        <v>297</v>
      </c>
      <c r="H38" s="9" t="n">
        <v>21</v>
      </c>
      <c r="I38" s="9" t="n">
        <v>6</v>
      </c>
      <c r="J38" s="12" t="s">
        <v>264</v>
      </c>
      <c r="K38" s="13" t="s">
        <v>358</v>
      </c>
      <c r="L38" s="13" t="s">
        <v>359</v>
      </c>
      <c r="M38" s="14" t="n">
        <v>1310</v>
      </c>
      <c r="N38" s="15" t="n">
        <v>45153</v>
      </c>
      <c r="O38" s="10" t="s">
        <v>294</v>
      </c>
      <c r="P38" s="9"/>
      <c r="Q38" s="9" t="n">
        <v>36.39</v>
      </c>
      <c r="R38" s="9" t="n">
        <v>15</v>
      </c>
      <c r="S38" s="9" t="n">
        <v>-17</v>
      </c>
      <c r="T38" s="9" t="n">
        <v>80</v>
      </c>
      <c r="U38" s="9"/>
      <c r="V38" s="9" t="n">
        <v>1.82</v>
      </c>
      <c r="W38" s="22" t="s">
        <v>360</v>
      </c>
      <c r="X38" s="9" t="n">
        <v>0</v>
      </c>
      <c r="Y38" s="9" t="n">
        <v>0</v>
      </c>
      <c r="Z38" s="9" t="n">
        <v>0</v>
      </c>
      <c r="AA38" s="9" t="n">
        <v>0</v>
      </c>
      <c r="AB38" s="11" t="n">
        <f aca="false">(X38+Y38+Z38+AA38)/4</f>
        <v>0</v>
      </c>
      <c r="AC38" s="9" t="n">
        <v>1</v>
      </c>
      <c r="AD38" s="9" t="n">
        <v>1</v>
      </c>
      <c r="AE38" s="9" t="n">
        <v>1</v>
      </c>
      <c r="AF38" s="9" t="n">
        <v>1</v>
      </c>
      <c r="AG38" s="11" t="n">
        <f aca="false">(AC38+AD38+AE38+AF38)/4</f>
        <v>1</v>
      </c>
      <c r="AH38" s="9" t="n">
        <v>1</v>
      </c>
      <c r="AI38" s="9" t="n">
        <v>1</v>
      </c>
      <c r="AJ38" s="9" t="n">
        <v>1</v>
      </c>
      <c r="AK38" s="9" t="n">
        <v>1</v>
      </c>
      <c r="AL38" s="11" t="n">
        <f aca="false">(AH38+AI38+AJ38+AK38)/4</f>
        <v>1</v>
      </c>
      <c r="AM38" s="9" t="n">
        <v>47</v>
      </c>
      <c r="AN38" s="9" t="n">
        <v>23</v>
      </c>
      <c r="AO38" s="9" t="n">
        <v>5</v>
      </c>
      <c r="AP38" s="9" t="n">
        <v>16</v>
      </c>
      <c r="AQ38" s="11" t="n">
        <f aca="false">(AM38+AN38+AO38+AP38)/4</f>
        <v>22.75</v>
      </c>
      <c r="AR38" s="9" t="n">
        <v>16</v>
      </c>
      <c r="AS38" s="9" t="n">
        <v>13</v>
      </c>
      <c r="AT38" s="9" t="n">
        <v>16</v>
      </c>
      <c r="AU38" s="9" t="n">
        <v>12</v>
      </c>
      <c r="AV38" s="11" t="n">
        <f aca="false">(AR38+AS38+AT38+AU38)/4</f>
        <v>14.25</v>
      </c>
      <c r="AW38" s="9" t="n">
        <v>0</v>
      </c>
      <c r="AX38" s="9" t="n">
        <v>0</v>
      </c>
      <c r="AY38" s="9" t="n">
        <v>0</v>
      </c>
      <c r="AZ38" s="9" t="n">
        <v>0</v>
      </c>
      <c r="BA38" s="11" t="n">
        <f aca="false">(AW38+AX38+AY38+AZ38)/4</f>
        <v>0</v>
      </c>
      <c r="BB38" s="11" t="n">
        <f aca="false">(AW38/AR38)</f>
        <v>0</v>
      </c>
      <c r="BC38" s="11" t="n">
        <f aca="false">(AX38/AS38)</f>
        <v>0</v>
      </c>
      <c r="BD38" s="11" t="n">
        <f aca="false">(AY38/AT38)</f>
        <v>0</v>
      </c>
      <c r="BE38" s="11" t="n">
        <f aca="false">(AZ38/AU38)</f>
        <v>0</v>
      </c>
      <c r="BF38" s="11" t="n">
        <f aca="false">(BA38/AV38)</f>
        <v>0</v>
      </c>
      <c r="BG38" s="11" t="n">
        <f aca="false">(BF38*100)</f>
        <v>0</v>
      </c>
      <c r="BH38" s="9" t="n">
        <v>0</v>
      </c>
      <c r="BI38" s="9" t="n">
        <v>5</v>
      </c>
      <c r="BJ38" s="9" t="n">
        <v>7</v>
      </c>
      <c r="BK38" s="9" t="n">
        <v>3</v>
      </c>
      <c r="BL38" s="9" t="n">
        <v>7</v>
      </c>
      <c r="BM38" s="11" t="n">
        <f aca="false">(BI38+BJ38+BK38+BL38)/4</f>
        <v>5.5</v>
      </c>
      <c r="BN38" s="11" t="n">
        <f aca="false">(BI38/AR38)</f>
        <v>0.3125</v>
      </c>
      <c r="BO38" s="11" t="n">
        <f aca="false">(BJ38/AS38)</f>
        <v>0.538461538461538</v>
      </c>
      <c r="BP38" s="11" t="n">
        <f aca="false">(BK38/AT38)</f>
        <v>0.1875</v>
      </c>
      <c r="BQ38" s="11" t="n">
        <f aca="false">(BL38/AU38)</f>
        <v>0.583333333333333</v>
      </c>
      <c r="BR38" s="11" t="n">
        <f aca="false">(BM38/AV38)</f>
        <v>0.385964912280702</v>
      </c>
      <c r="BS38" s="11" t="n">
        <f aca="false">(100*BR38)</f>
        <v>38.5964912280702</v>
      </c>
      <c r="BT38" s="9" t="n">
        <v>3</v>
      </c>
      <c r="BU38" s="9" t="n">
        <v>0</v>
      </c>
      <c r="BV38" s="9" t="n">
        <v>0</v>
      </c>
      <c r="BW38" s="9" t="n">
        <v>0</v>
      </c>
      <c r="BX38" s="9" t="n">
        <v>0</v>
      </c>
      <c r="BY38" s="11" t="n">
        <f aca="false">(BU38+BV38+BW38+BX38)/4</f>
        <v>0</v>
      </c>
      <c r="BZ38" s="11" t="n">
        <f aca="false">(BU38/AR38)</f>
        <v>0</v>
      </c>
      <c r="CA38" s="11" t="n">
        <f aca="false">(BV38/AS38)</f>
        <v>0</v>
      </c>
      <c r="CB38" s="11" t="n">
        <f aca="false">(BW38/AT38)</f>
        <v>0</v>
      </c>
      <c r="CC38" s="11" t="n">
        <f aca="false">(BX38/AU38)</f>
        <v>0</v>
      </c>
      <c r="CD38" s="11" t="n">
        <f aca="false">(BY38/AV38)</f>
        <v>0</v>
      </c>
      <c r="CE38" s="11" t="n">
        <f aca="false">(100*CD38)</f>
        <v>0</v>
      </c>
      <c r="CF38" s="9" t="n">
        <v>0</v>
      </c>
      <c r="CG38" s="9" t="n">
        <v>4</v>
      </c>
      <c r="CH38" s="9" t="n">
        <v>8</v>
      </c>
      <c r="CI38" s="9" t="n">
        <v>3</v>
      </c>
      <c r="CJ38" s="9" t="n">
        <v>9</v>
      </c>
      <c r="CK38" s="11" t="n">
        <f aca="false">(CG38+CH38+CI38+CJ38)/4</f>
        <v>6</v>
      </c>
      <c r="CL38" s="11" t="n">
        <f aca="false">(CG38/AM38)</f>
        <v>0.0851063829787234</v>
      </c>
      <c r="CM38" s="11" t="n">
        <f aca="false">(CH38/AN38)</f>
        <v>0.347826086956522</v>
      </c>
      <c r="CN38" s="11" t="n">
        <f aca="false">(CI38/AO38)</f>
        <v>0.6</v>
      </c>
      <c r="CO38" s="9" t="n">
        <f aca="false">(CJ38/AP38)</f>
        <v>0.5625</v>
      </c>
      <c r="CP38" s="9" t="n">
        <f aca="false">(CK38/AQ38)</f>
        <v>0.263736263736264</v>
      </c>
      <c r="CQ38" s="9" t="n">
        <f aca="false">(100*CP38)</f>
        <v>26.3736263736264</v>
      </c>
      <c r="CR38" s="18" t="n">
        <v>2</v>
      </c>
      <c r="CS38" s="9" t="n">
        <v>74.2</v>
      </c>
      <c r="CT38" s="9" t="n">
        <v>70.1</v>
      </c>
      <c r="CU38" s="9" t="n">
        <v>67.1</v>
      </c>
      <c r="CV38" s="9" t="n">
        <v>70</v>
      </c>
      <c r="CW38" s="11" t="n">
        <f aca="false">(CS38+CT38+CU38+CV38)/4</f>
        <v>70.35</v>
      </c>
      <c r="CX38" s="9" t="n">
        <v>0</v>
      </c>
      <c r="CY38" s="9" t="n">
        <v>0</v>
      </c>
      <c r="CZ38" s="9" t="n">
        <v>0</v>
      </c>
      <c r="DA38" s="9" t="n">
        <v>0</v>
      </c>
      <c r="DB38" s="11" t="n">
        <f aca="false">(CX38+CY38+CZ38+DA38)/4</f>
        <v>0</v>
      </c>
      <c r="DC38" s="9" t="n">
        <v>1</v>
      </c>
      <c r="DD38" s="9" t="n">
        <v>1</v>
      </c>
      <c r="DE38" s="9" t="n">
        <v>1</v>
      </c>
      <c r="DF38" s="9" t="n">
        <v>1</v>
      </c>
      <c r="DG38" s="11" t="n">
        <f aca="false">(DC38+DD38+DE38+DF38)/4</f>
        <v>1</v>
      </c>
      <c r="DH38" s="9" t="n">
        <v>1</v>
      </c>
      <c r="DI38" s="9" t="n">
        <v>1</v>
      </c>
      <c r="DJ38" s="9" t="n">
        <v>1</v>
      </c>
      <c r="DK38" s="9" t="n">
        <v>1</v>
      </c>
      <c r="DL38" s="11" t="n">
        <f aca="false">(DH38+DI38+DJ38+DK38)/4</f>
        <v>1</v>
      </c>
      <c r="DM38" s="9" t="n">
        <v>153</v>
      </c>
      <c r="DN38" s="9" t="n">
        <v>110</v>
      </c>
      <c r="DO38" s="9" t="n">
        <v>197</v>
      </c>
      <c r="DP38" s="9" t="n">
        <v>76</v>
      </c>
      <c r="DQ38" s="11" t="n">
        <f aca="false">(DM38+DN38+DO38+DP38)/4</f>
        <v>134</v>
      </c>
      <c r="DR38" s="9" t="n">
        <v>16</v>
      </c>
      <c r="DS38" s="9" t="n">
        <v>16</v>
      </c>
      <c r="DT38" s="9" t="n">
        <v>23</v>
      </c>
      <c r="DU38" s="9" t="n">
        <v>17</v>
      </c>
      <c r="DV38" s="11" t="n">
        <f aca="false">(DR38+DS38+DT38+DU38)/4</f>
        <v>18</v>
      </c>
      <c r="DW38" s="9" t="n">
        <v>0</v>
      </c>
      <c r="DX38" s="9" t="n">
        <v>0</v>
      </c>
      <c r="DY38" s="9" t="n">
        <v>0</v>
      </c>
      <c r="DZ38" s="9" t="n">
        <v>0</v>
      </c>
      <c r="EA38" s="11" t="n">
        <f aca="false">(DW38+DX38+DY38+DZ38)/4</f>
        <v>0</v>
      </c>
      <c r="EB38" s="11" t="n">
        <f aca="false">(DW38/DR38)</f>
        <v>0</v>
      </c>
      <c r="EC38" s="11" t="n">
        <f aca="false">(DX38/DS38)</f>
        <v>0</v>
      </c>
      <c r="ED38" s="11" t="n">
        <f aca="false">(DY38/DT38)</f>
        <v>0</v>
      </c>
      <c r="EE38" s="11" t="n">
        <f aca="false">(DZ38/DU38)</f>
        <v>0</v>
      </c>
      <c r="EF38" s="11" t="n">
        <f aca="false">(EA38/DV38)</f>
        <v>0</v>
      </c>
      <c r="EG38" s="11" t="n">
        <f aca="false">(100*EF38)</f>
        <v>0</v>
      </c>
      <c r="EH38" s="9" t="n">
        <v>0</v>
      </c>
      <c r="EI38" s="9" t="n">
        <v>5</v>
      </c>
      <c r="EJ38" s="9" t="n">
        <v>6</v>
      </c>
      <c r="EK38" s="19" t="n">
        <v>3</v>
      </c>
      <c r="EL38" s="9" t="n">
        <v>7</v>
      </c>
      <c r="EM38" s="9" t="n">
        <f aca="false">(EI38+EJ38+EK38+EL38)/4</f>
        <v>5.25</v>
      </c>
      <c r="EN38" s="9" t="n">
        <f aca="false">(EI38/DR38)</f>
        <v>0.3125</v>
      </c>
      <c r="EO38" s="9" t="n">
        <f aca="false">(EJ38/DS38)</f>
        <v>0.375</v>
      </c>
      <c r="EP38" s="9" t="n">
        <f aca="false">(EK38/DT38)</f>
        <v>0.130434782608696</v>
      </c>
      <c r="EQ38" s="9" t="n">
        <f aca="false">(EL38/DU38)</f>
        <v>0.411764705882353</v>
      </c>
      <c r="ER38" s="9" t="n">
        <f aca="false">EM38/DV38</f>
        <v>0.291666666666667</v>
      </c>
      <c r="ES38" s="9" t="n">
        <f aca="false">(100*ER38)</f>
        <v>29.1666666666667</v>
      </c>
      <c r="ET38" s="9" t="n">
        <v>2</v>
      </c>
      <c r="EU38" s="18" t="n">
        <v>0</v>
      </c>
      <c r="EV38" s="9" t="n">
        <v>0</v>
      </c>
      <c r="EW38" s="9" t="n">
        <v>0</v>
      </c>
      <c r="EX38" s="9" t="n">
        <v>0</v>
      </c>
      <c r="EY38" s="11" t="n">
        <f aca="false">(EU38+EV38+EW38+EX38)/4</f>
        <v>0</v>
      </c>
      <c r="EZ38" s="11" t="n">
        <f aca="false">(EU38/DR38)</f>
        <v>0</v>
      </c>
      <c r="FA38" s="11" t="n">
        <f aca="false">(EV38/DS38)</f>
        <v>0</v>
      </c>
      <c r="FB38" s="11" t="n">
        <f aca="false">(EW38/DT38)</f>
        <v>0</v>
      </c>
      <c r="FC38" s="11" t="n">
        <f aca="false">(EX38/DU38)</f>
        <v>0</v>
      </c>
      <c r="FD38" s="11" t="n">
        <f aca="false">(EY38/DV38)</f>
        <v>0</v>
      </c>
      <c r="FE38" s="11" t="n">
        <f aca="false">(100*FD38)</f>
        <v>0</v>
      </c>
      <c r="FF38" s="9" t="n">
        <v>0</v>
      </c>
      <c r="FG38" s="11" t="n">
        <v>9</v>
      </c>
      <c r="FH38" s="11" t="n">
        <v>5</v>
      </c>
      <c r="FI38" s="11" t="n">
        <v>5</v>
      </c>
      <c r="FJ38" s="11" t="n">
        <v>6</v>
      </c>
      <c r="FK38" s="11" t="n">
        <f aca="false">(FG38+FH38+FI38+FJ38)/4</f>
        <v>6.25</v>
      </c>
      <c r="FL38" s="11" t="n">
        <f aca="false">(FG38/DR38)</f>
        <v>0.5625</v>
      </c>
      <c r="FM38" s="11" t="n">
        <f aca="false">(FH38/DS38)</f>
        <v>0.3125</v>
      </c>
      <c r="FN38" s="11" t="n">
        <f aca="false">(FI38/DT38)</f>
        <v>0.217391304347826</v>
      </c>
      <c r="FO38" s="11" t="n">
        <f aca="false">(FJ38/DU38)</f>
        <v>0.352941176470588</v>
      </c>
      <c r="FP38" s="11" t="n">
        <f aca="false">(FK38/DV38)</f>
        <v>0.347222222222222</v>
      </c>
      <c r="FQ38" s="11" t="n">
        <f aca="false">(100*FP38)</f>
        <v>34.7222222222222</v>
      </c>
      <c r="FR38" s="9" t="n">
        <v>3</v>
      </c>
      <c r="FS38" s="9" t="n">
        <v>68.5</v>
      </c>
      <c r="FT38" s="9" t="n">
        <v>74.3</v>
      </c>
      <c r="FU38" s="9" t="n">
        <v>70.7</v>
      </c>
      <c r="FV38" s="9" t="n">
        <v>70.5</v>
      </c>
      <c r="FW38" s="11" t="n">
        <f aca="false">(FS38+FT38+FU38+FV38)/4</f>
        <v>71</v>
      </c>
      <c r="FX38" s="9" t="n">
        <v>1</v>
      </c>
      <c r="FY38" s="9" t="n">
        <v>1</v>
      </c>
      <c r="FZ38" s="9" t="n">
        <v>0</v>
      </c>
      <c r="GA38" s="9" t="n">
        <v>0</v>
      </c>
      <c r="GB38" s="11" t="n">
        <f aca="false">(FX38+FY38+FZ38+GA38)/4</f>
        <v>0.5</v>
      </c>
      <c r="GC38" s="9" t="n">
        <v>1</v>
      </c>
      <c r="GD38" s="9" t="n">
        <v>1</v>
      </c>
      <c r="GE38" s="9" t="n">
        <v>1</v>
      </c>
      <c r="GF38" s="9" t="n">
        <v>1</v>
      </c>
      <c r="GG38" s="11" t="n">
        <f aca="false">(GC38+GD38+GE38+GF38)/4</f>
        <v>1</v>
      </c>
      <c r="GH38" s="9" t="n">
        <v>0</v>
      </c>
      <c r="GI38" s="9" t="n">
        <v>1</v>
      </c>
      <c r="GJ38" s="9" t="n">
        <v>1</v>
      </c>
      <c r="GK38" s="9" t="n">
        <v>0</v>
      </c>
      <c r="GL38" s="11" t="n">
        <f aca="false">(GH38+GI38+GJ38+GK38)/4</f>
        <v>0.5</v>
      </c>
      <c r="GM38" s="9" t="n">
        <v>69</v>
      </c>
      <c r="GN38" s="9" t="n">
        <v>86</v>
      </c>
      <c r="GO38" s="9" t="n">
        <v>24</v>
      </c>
      <c r="GP38" s="9" t="n">
        <v>52</v>
      </c>
      <c r="GQ38" s="11" t="n">
        <f aca="false">(GM38+GN38+GO38+GP38)/4</f>
        <v>57.75</v>
      </c>
      <c r="GR38" s="9" t="n">
        <v>16</v>
      </c>
      <c r="GS38" s="9" t="n">
        <v>26</v>
      </c>
      <c r="GT38" s="9" t="n">
        <v>22</v>
      </c>
      <c r="GU38" s="9" t="n">
        <v>29</v>
      </c>
      <c r="GV38" s="11" t="n">
        <f aca="false">(GR38+GS38+GT38+GU38)/4</f>
        <v>23.25</v>
      </c>
      <c r="GW38" s="9" t="n">
        <v>1</v>
      </c>
      <c r="GX38" s="9" t="n">
        <v>1</v>
      </c>
      <c r="GY38" s="9" t="n">
        <v>0</v>
      </c>
      <c r="GZ38" s="9" t="n">
        <v>0</v>
      </c>
      <c r="HA38" s="11" t="n">
        <f aca="false">(GW38+GX38+GY38+GZ38)/4</f>
        <v>0.5</v>
      </c>
      <c r="HB38" s="9" t="n">
        <f aca="false">(GW38/GR38)</f>
        <v>0.0625</v>
      </c>
      <c r="HC38" s="9" t="n">
        <f aca="false">(GX38/GS38)</f>
        <v>0.0384615384615385</v>
      </c>
      <c r="HD38" s="9" t="n">
        <f aca="false">(GY38/GT38)</f>
        <v>0</v>
      </c>
      <c r="HE38" s="9" t="n">
        <f aca="false">(GZ38/GU38)/4</f>
        <v>0</v>
      </c>
      <c r="HF38" s="9" t="n">
        <f aca="false">(HB38+HC38+HD38+HE38)/4</f>
        <v>0.0252403846153846</v>
      </c>
      <c r="HG38" s="9" t="n">
        <f aca="false">(100*HF38)</f>
        <v>2.52403846153846</v>
      </c>
      <c r="HH38" s="18" t="n">
        <v>1</v>
      </c>
      <c r="HI38" s="9" t="n">
        <v>2</v>
      </c>
      <c r="HJ38" s="9" t="n">
        <v>5</v>
      </c>
      <c r="HK38" s="9" t="n">
        <v>2</v>
      </c>
      <c r="HL38" s="19" t="n">
        <v>2</v>
      </c>
      <c r="HM38" s="9" t="n">
        <f aca="false">(HI38+HJ38+HK38+HL38)/4</f>
        <v>2.75</v>
      </c>
      <c r="HN38" s="9" t="n">
        <f aca="false">(HI38/GR38)</f>
        <v>0.125</v>
      </c>
      <c r="HO38" s="9" t="n">
        <f aca="false">(HJ38/GS38)</f>
        <v>0.192307692307692</v>
      </c>
      <c r="HP38" s="9" t="n">
        <f aca="false">(HK38/GT38)</f>
        <v>0.0909090909090909</v>
      </c>
      <c r="HQ38" s="9" t="n">
        <f aca="false">(HL38/GU38)</f>
        <v>0.0689655172413793</v>
      </c>
      <c r="HR38" s="9" t="n">
        <f aca="false">(HM38/GV38)</f>
        <v>0.118279569892473</v>
      </c>
      <c r="HS38" s="9" t="n">
        <f aca="false">(100*HR38)</f>
        <v>11.8279569892473</v>
      </c>
      <c r="HT38" s="18" t="n">
        <v>2</v>
      </c>
      <c r="HU38" s="9" t="n">
        <v>0</v>
      </c>
      <c r="HV38" s="9" t="n">
        <v>2</v>
      </c>
      <c r="HW38" s="9" t="n">
        <v>2</v>
      </c>
      <c r="HX38" s="19" t="n">
        <v>0</v>
      </c>
      <c r="HY38" s="9" t="n">
        <f aca="false">(HU38+HV38+HW38+HX38)/4</f>
        <v>1</v>
      </c>
      <c r="HZ38" s="9" t="n">
        <f aca="false">(HU38/GR38)</f>
        <v>0</v>
      </c>
      <c r="IA38" s="9" t="n">
        <f aca="false">HV38/GS38</f>
        <v>0.0769230769230769</v>
      </c>
      <c r="IB38" s="9" t="n">
        <f aca="false">(HW38/GT38)</f>
        <v>0.0909090909090909</v>
      </c>
      <c r="IC38" s="9" t="n">
        <f aca="false">(HX38/GU38)</f>
        <v>0</v>
      </c>
      <c r="ID38" s="9" t="n">
        <f aca="false">(HY38/GV38)</f>
        <v>0.043010752688172</v>
      </c>
      <c r="IE38" s="9" t="n">
        <f aca="false">(100*ID38)</f>
        <v>4.30107526881721</v>
      </c>
      <c r="IF38" s="18" t="n">
        <v>1</v>
      </c>
      <c r="IG38" s="9" t="n">
        <v>0</v>
      </c>
      <c r="IH38" s="9" t="n">
        <v>0</v>
      </c>
      <c r="II38" s="19" t="n">
        <v>0</v>
      </c>
      <c r="IJ38" s="9" t="n">
        <v>0</v>
      </c>
      <c r="IK38" s="9" t="n">
        <f aca="false">(IG38+IH38+II38+IJ38)/4</f>
        <v>0</v>
      </c>
      <c r="IL38" s="9" t="n">
        <f aca="false">(IG38/GM38)</f>
        <v>0</v>
      </c>
      <c r="IM38" s="9" t="n">
        <f aca="false">(IH38/GN38)</f>
        <v>0</v>
      </c>
      <c r="IN38" s="9" t="n">
        <f aca="false">(II38/GO38)</f>
        <v>0</v>
      </c>
      <c r="IO38" s="9" t="n">
        <f aca="false">(IJ38/GP38)</f>
        <v>0</v>
      </c>
      <c r="IP38" s="9" t="n">
        <f aca="false">(IK38/GQ38)</f>
        <v>0</v>
      </c>
      <c r="IQ38" s="9" t="n">
        <f aca="false">(100*IP38)</f>
        <v>0</v>
      </c>
      <c r="IR38" s="18" t="n">
        <v>0</v>
      </c>
      <c r="IS38" s="9" t="n">
        <v>66.3</v>
      </c>
      <c r="IT38" s="9" t="n">
        <v>75</v>
      </c>
      <c r="IU38" s="19" t="n">
        <v>82.2</v>
      </c>
      <c r="IV38" s="9" t="n">
        <v>73.4</v>
      </c>
      <c r="IW38" s="9" t="n">
        <f aca="false">(IS38+IT38+IU38+IV38)/4</f>
        <v>74.225</v>
      </c>
      <c r="IX38" s="16" t="n">
        <v>45208</v>
      </c>
      <c r="IY38" s="10" t="s">
        <v>268</v>
      </c>
    </row>
    <row r="39" customFormat="false" ht="15.75" hidden="false" customHeight="true" outlineLevel="0" collapsed="false">
      <c r="A39" s="9" t="s">
        <v>343</v>
      </c>
      <c r="B39" s="10" t="s">
        <v>356</v>
      </c>
      <c r="C39" s="10" t="s">
        <v>261</v>
      </c>
      <c r="D39" s="9" t="n">
        <v>3</v>
      </c>
      <c r="E39" s="9" t="n">
        <v>13</v>
      </c>
      <c r="F39" s="10" t="s">
        <v>361</v>
      </c>
      <c r="G39" s="10" t="s">
        <v>297</v>
      </c>
      <c r="H39" s="9" t="n">
        <v>21</v>
      </c>
      <c r="I39" s="9" t="n">
        <v>10</v>
      </c>
      <c r="J39" s="12" t="s">
        <v>270</v>
      </c>
      <c r="K39" s="20"/>
      <c r="L39" s="20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 t="n">
        <v>0</v>
      </c>
      <c r="Y39" s="9" t="n">
        <v>0</v>
      </c>
      <c r="Z39" s="9" t="n">
        <v>0</v>
      </c>
      <c r="AA39" s="9" t="n">
        <v>1</v>
      </c>
      <c r="AB39" s="11" t="n">
        <f aca="false">(X39+Y39+Z39+AA39)/4</f>
        <v>0.25</v>
      </c>
      <c r="AC39" s="9" t="n">
        <v>1</v>
      </c>
      <c r="AD39" s="9" t="n">
        <v>1</v>
      </c>
      <c r="AE39" s="9" t="n">
        <v>1</v>
      </c>
      <c r="AF39" s="9" t="n">
        <v>1</v>
      </c>
      <c r="AG39" s="11" t="n">
        <f aca="false">(AC39+AD39+AE39+AF39)/4</f>
        <v>1</v>
      </c>
      <c r="AH39" s="9" t="n">
        <v>0</v>
      </c>
      <c r="AI39" s="9" t="n">
        <v>1</v>
      </c>
      <c r="AJ39" s="9" t="n">
        <v>1</v>
      </c>
      <c r="AK39" s="9" t="n">
        <v>1</v>
      </c>
      <c r="AL39" s="11" t="n">
        <f aca="false">(AH39+AI39+AJ39+AK39)/4</f>
        <v>0.75</v>
      </c>
      <c r="AM39" s="9" t="n">
        <v>45</v>
      </c>
      <c r="AN39" s="9" t="n">
        <v>61</v>
      </c>
      <c r="AO39" s="9" t="n">
        <v>55</v>
      </c>
      <c r="AP39" s="9" t="n">
        <v>110</v>
      </c>
      <c r="AQ39" s="11" t="n">
        <f aca="false">(AM39+AN39+AO39+AP39)/4</f>
        <v>67.75</v>
      </c>
      <c r="AR39" s="9" t="n">
        <v>33</v>
      </c>
      <c r="AS39" s="9" t="n">
        <v>39</v>
      </c>
      <c r="AT39" s="9" t="n">
        <v>27</v>
      </c>
      <c r="AU39" s="9" t="n">
        <v>20</v>
      </c>
      <c r="AV39" s="11" t="n">
        <f aca="false">(AR39+AS39+AT39+AU39)/4</f>
        <v>29.75</v>
      </c>
      <c r="AW39" s="9" t="n">
        <v>0</v>
      </c>
      <c r="AX39" s="9" t="n">
        <v>0</v>
      </c>
      <c r="AY39" s="9" t="n">
        <v>0</v>
      </c>
      <c r="AZ39" s="9" t="n">
        <v>2</v>
      </c>
      <c r="BA39" s="11" t="n">
        <f aca="false">(AW39+AX39+AY39+AZ39)/4</f>
        <v>0.5</v>
      </c>
      <c r="BB39" s="11" t="n">
        <f aca="false">(AW39/AR39)</f>
        <v>0</v>
      </c>
      <c r="BC39" s="11" t="n">
        <f aca="false">(AX39/AS39)</f>
        <v>0</v>
      </c>
      <c r="BD39" s="11" t="n">
        <f aca="false">(AY39/AT39)</f>
        <v>0</v>
      </c>
      <c r="BE39" s="11" t="n">
        <f aca="false">(AZ39/AU39)</f>
        <v>0.1</v>
      </c>
      <c r="BF39" s="11" t="n">
        <f aca="false">(BA39/AV39)</f>
        <v>0.0168067226890756</v>
      </c>
      <c r="BG39" s="11" t="n">
        <f aca="false">(BF39*100)</f>
        <v>1.68067226890756</v>
      </c>
      <c r="BH39" s="9" t="n">
        <v>1</v>
      </c>
      <c r="BI39" s="9" t="n">
        <v>3</v>
      </c>
      <c r="BJ39" s="9" t="n">
        <v>12</v>
      </c>
      <c r="BK39" s="9" t="n">
        <v>6</v>
      </c>
      <c r="BL39" s="9" t="n">
        <v>10</v>
      </c>
      <c r="BM39" s="11" t="n">
        <f aca="false">(BI39+BJ39+BK39+BL39)/4</f>
        <v>7.75</v>
      </c>
      <c r="BN39" s="11" t="n">
        <f aca="false">(BI39/AR39)</f>
        <v>0.0909090909090909</v>
      </c>
      <c r="BO39" s="11" t="n">
        <f aca="false">(BJ39/AS39)</f>
        <v>0.307692307692308</v>
      </c>
      <c r="BP39" s="11" t="n">
        <f aca="false">(BK39/AT39)</f>
        <v>0.222222222222222</v>
      </c>
      <c r="BQ39" s="11" t="n">
        <f aca="false">(BL39/AU39)</f>
        <v>0.5</v>
      </c>
      <c r="BR39" s="11" t="n">
        <f aca="false">(BM39/AV39)</f>
        <v>0.260504201680672</v>
      </c>
      <c r="BS39" s="11" t="n">
        <f aca="false">(100*BR39)</f>
        <v>26.0504201680672</v>
      </c>
      <c r="BT39" s="9" t="n">
        <v>2</v>
      </c>
      <c r="BU39" s="9" t="n">
        <v>0</v>
      </c>
      <c r="BV39" s="9" t="n">
        <v>0</v>
      </c>
      <c r="BW39" s="9" t="n">
        <v>3</v>
      </c>
      <c r="BX39" s="9" t="n">
        <v>0</v>
      </c>
      <c r="BY39" s="11" t="n">
        <f aca="false">(BU39+BV39+BW39+BX39)/4</f>
        <v>0.75</v>
      </c>
      <c r="BZ39" s="11" t="n">
        <f aca="false">(BU39/AR39)</f>
        <v>0</v>
      </c>
      <c r="CA39" s="11" t="n">
        <f aca="false">(BV39/AS39)</f>
        <v>0</v>
      </c>
      <c r="CB39" s="11" t="n">
        <f aca="false">(BW39/AT39)</f>
        <v>0.111111111111111</v>
      </c>
      <c r="CC39" s="11" t="n">
        <f aca="false">(BX39/AU39)</f>
        <v>0</v>
      </c>
      <c r="CD39" s="11" t="n">
        <f aca="false">(BY39/AV39)</f>
        <v>0.0252100840336134</v>
      </c>
      <c r="CE39" s="11" t="n">
        <f aca="false">(100*CD39)</f>
        <v>2.52100840336134</v>
      </c>
      <c r="CF39" s="9" t="n">
        <v>1</v>
      </c>
      <c r="CG39" s="9" t="n">
        <v>0</v>
      </c>
      <c r="CH39" s="9" t="n">
        <v>17</v>
      </c>
      <c r="CI39" s="9" t="n">
        <v>7</v>
      </c>
      <c r="CJ39" s="9" t="n">
        <v>83</v>
      </c>
      <c r="CK39" s="11" t="n">
        <f aca="false">(CG39+CH39+CI39+CJ39)/4</f>
        <v>26.75</v>
      </c>
      <c r="CL39" s="11" t="n">
        <f aca="false">(CG39/AM39)</f>
        <v>0</v>
      </c>
      <c r="CM39" s="11" t="n">
        <f aca="false">(CH39/AN39)</f>
        <v>0.278688524590164</v>
      </c>
      <c r="CN39" s="11" t="n">
        <f aca="false">(CI39/AO39)</f>
        <v>0.127272727272727</v>
      </c>
      <c r="CO39" s="9" t="n">
        <f aca="false">(CJ39/AP39)</f>
        <v>0.754545454545455</v>
      </c>
      <c r="CP39" s="9" t="n">
        <f aca="false">(CK39/AQ39)</f>
        <v>0.394833948339483</v>
      </c>
      <c r="CQ39" s="9" t="n">
        <f aca="false">(100*CP39)</f>
        <v>39.4833948339483</v>
      </c>
      <c r="CR39" s="18" t="n">
        <v>3</v>
      </c>
      <c r="CS39" s="9" t="n">
        <v>61.1</v>
      </c>
      <c r="CT39" s="9" t="n">
        <v>64.1</v>
      </c>
      <c r="CU39" s="9" t="n">
        <v>57.3</v>
      </c>
      <c r="CV39" s="9" t="n">
        <v>59.93</v>
      </c>
      <c r="CW39" s="11" t="n">
        <f aca="false">(CS39+CT39+CU39+CV39)/4</f>
        <v>60.6075</v>
      </c>
      <c r="CX39" s="9" t="n">
        <v>0</v>
      </c>
      <c r="CY39" s="9" t="n">
        <v>0</v>
      </c>
      <c r="CZ39" s="9" t="n">
        <v>0</v>
      </c>
      <c r="DA39" s="9" t="n">
        <v>0</v>
      </c>
      <c r="DB39" s="11" t="n">
        <f aca="false">(CX39+CY39+CZ39+DA39)/4</f>
        <v>0</v>
      </c>
      <c r="DC39" s="9" t="n">
        <v>1</v>
      </c>
      <c r="DD39" s="9" t="n">
        <v>1</v>
      </c>
      <c r="DE39" s="9" t="n">
        <v>1</v>
      </c>
      <c r="DF39" s="9" t="n">
        <v>1</v>
      </c>
      <c r="DG39" s="11" t="n">
        <f aca="false">(DC39+DD39+DE39+DF39)/4</f>
        <v>1</v>
      </c>
      <c r="DH39" s="9" t="n">
        <v>1</v>
      </c>
      <c r="DI39" s="9" t="n">
        <v>1</v>
      </c>
      <c r="DJ39" s="9" t="n">
        <v>1</v>
      </c>
      <c r="DK39" s="9" t="n">
        <v>1</v>
      </c>
      <c r="DL39" s="11" t="n">
        <f aca="false">(DH39+DI39+DJ39+DK39)/4</f>
        <v>1</v>
      </c>
      <c r="DM39" s="9" t="n">
        <v>228</v>
      </c>
      <c r="DN39" s="9" t="n">
        <v>218</v>
      </c>
      <c r="DO39" s="9" t="n">
        <v>256</v>
      </c>
      <c r="DP39" s="9" t="n">
        <v>147</v>
      </c>
      <c r="DQ39" s="11" t="n">
        <f aca="false">(DM39+DN39+DO39+DP39)/4</f>
        <v>212.25</v>
      </c>
      <c r="DR39" s="9" t="n">
        <v>44</v>
      </c>
      <c r="DS39" s="9" t="n">
        <v>19</v>
      </c>
      <c r="DT39" s="9" t="n">
        <v>13</v>
      </c>
      <c r="DU39" s="9" t="n">
        <v>20</v>
      </c>
      <c r="DV39" s="11" t="n">
        <f aca="false">(DR39+DS39+DT39+DU39)/4</f>
        <v>24</v>
      </c>
      <c r="DW39" s="9" t="n">
        <v>0</v>
      </c>
      <c r="DX39" s="9" t="n">
        <v>0</v>
      </c>
      <c r="DY39" s="9" t="n">
        <v>0</v>
      </c>
      <c r="DZ39" s="9" t="n">
        <v>0</v>
      </c>
      <c r="EA39" s="11" t="n">
        <f aca="false">(DW39+DX39+DY39+DZ39)/4</f>
        <v>0</v>
      </c>
      <c r="EB39" s="11" t="n">
        <f aca="false">(DW39/DR39)</f>
        <v>0</v>
      </c>
      <c r="EC39" s="11" t="n">
        <f aca="false">(DX39/DS39)</f>
        <v>0</v>
      </c>
      <c r="ED39" s="11" t="n">
        <f aca="false">(DY39/DT39)</f>
        <v>0</v>
      </c>
      <c r="EE39" s="11" t="n">
        <f aca="false">(DZ39/DU39)</f>
        <v>0</v>
      </c>
      <c r="EF39" s="11" t="n">
        <f aca="false">(EA39/DV39)</f>
        <v>0</v>
      </c>
      <c r="EG39" s="11" t="n">
        <f aca="false">(100*EF39)</f>
        <v>0</v>
      </c>
      <c r="EH39" s="9" t="n">
        <v>0</v>
      </c>
      <c r="EI39" s="9" t="n">
        <v>5</v>
      </c>
      <c r="EJ39" s="9" t="n">
        <v>5</v>
      </c>
      <c r="EK39" s="19" t="n">
        <v>1</v>
      </c>
      <c r="EL39" s="9" t="n">
        <v>4</v>
      </c>
      <c r="EM39" s="9" t="n">
        <f aca="false">(EI39+EJ39+EK39+EL39)/4</f>
        <v>3.75</v>
      </c>
      <c r="EN39" s="9" t="n">
        <f aca="false">(EI39/DR39)</f>
        <v>0.113636363636364</v>
      </c>
      <c r="EO39" s="9" t="n">
        <f aca="false">(EJ39/DS39)</f>
        <v>0.263157894736842</v>
      </c>
      <c r="EP39" s="9" t="n">
        <f aca="false">(EK39/DT39)</f>
        <v>0.0769230769230769</v>
      </c>
      <c r="EQ39" s="9" t="n">
        <f aca="false">(EL39/DU39)</f>
        <v>0.2</v>
      </c>
      <c r="ER39" s="9" t="n">
        <f aca="false">EM39/DV39</f>
        <v>0.15625</v>
      </c>
      <c r="ES39" s="9" t="n">
        <f aca="false">(100*ER39)</f>
        <v>15.625</v>
      </c>
      <c r="ET39" s="9" t="n">
        <v>2</v>
      </c>
      <c r="EU39" s="18" t="n">
        <v>0</v>
      </c>
      <c r="EV39" s="9" t="n">
        <v>0</v>
      </c>
      <c r="EW39" s="9" t="n">
        <v>0</v>
      </c>
      <c r="EX39" s="9" t="n">
        <v>0</v>
      </c>
      <c r="EY39" s="11" t="n">
        <f aca="false">(EU39+EV39+EW39+EX39)/4</f>
        <v>0</v>
      </c>
      <c r="EZ39" s="11" t="n">
        <f aca="false">(EU39/DR39)</f>
        <v>0</v>
      </c>
      <c r="FA39" s="11" t="n">
        <f aca="false">(EV39/DS39)</f>
        <v>0</v>
      </c>
      <c r="FB39" s="11" t="n">
        <f aca="false">(EW39/DT39)</f>
        <v>0</v>
      </c>
      <c r="FC39" s="11" t="n">
        <f aca="false">(EX39/DU39)</f>
        <v>0</v>
      </c>
      <c r="FD39" s="11" t="n">
        <f aca="false">(EY39/DV39)</f>
        <v>0</v>
      </c>
      <c r="FE39" s="11" t="n">
        <f aca="false">(100*FD39)</f>
        <v>0</v>
      </c>
      <c r="FF39" s="9" t="n">
        <v>0</v>
      </c>
      <c r="FG39" s="9" t="n">
        <v>17</v>
      </c>
      <c r="FH39" s="9" t="n">
        <v>21</v>
      </c>
      <c r="FI39" s="9" t="n">
        <v>25</v>
      </c>
      <c r="FJ39" s="9" t="n">
        <v>9</v>
      </c>
      <c r="FK39" s="11" t="n">
        <f aca="false">(FG39+FH39+FI39+FJ39)/4</f>
        <v>18</v>
      </c>
      <c r="FL39" s="11" t="n">
        <f aca="false">(FG39/DR39)</f>
        <v>0.386363636363636</v>
      </c>
      <c r="FM39" s="11" t="n">
        <f aca="false">(FH39/DS39)</f>
        <v>1.10526315789474</v>
      </c>
      <c r="FN39" s="11" t="n">
        <f aca="false">(FI39/DT39)</f>
        <v>1.92307692307692</v>
      </c>
      <c r="FO39" s="11" t="n">
        <f aca="false">(FJ39/DU39)</f>
        <v>0.45</v>
      </c>
      <c r="FP39" s="11" t="n">
        <f aca="false">(FK39/DV39)</f>
        <v>0.75</v>
      </c>
      <c r="FQ39" s="11" t="n">
        <f aca="false">(100*FP39)</f>
        <v>75</v>
      </c>
      <c r="FR39" s="9" t="n">
        <v>3</v>
      </c>
      <c r="FS39" s="9" t="n">
        <v>69.9</v>
      </c>
      <c r="FT39" s="9" t="n">
        <v>64.7</v>
      </c>
      <c r="FU39" s="9" t="n">
        <v>88.5</v>
      </c>
      <c r="FV39" s="9" t="n">
        <v>72.6</v>
      </c>
      <c r="FW39" s="11" t="n">
        <f aca="false">(FS39+FT39+FU39+FV39)/4</f>
        <v>73.925</v>
      </c>
      <c r="FX39" s="9" t="n">
        <v>0</v>
      </c>
      <c r="FY39" s="9" t="n">
        <v>0</v>
      </c>
      <c r="FZ39" s="9" t="n">
        <v>0</v>
      </c>
      <c r="GA39" s="9" t="n">
        <v>0</v>
      </c>
      <c r="GB39" s="11" t="n">
        <f aca="false">(FX39+FY39+FZ39+GA39)/4</f>
        <v>0</v>
      </c>
      <c r="GC39" s="9" t="n">
        <v>1</v>
      </c>
      <c r="GD39" s="9" t="n">
        <v>1</v>
      </c>
      <c r="GE39" s="9" t="n">
        <v>1</v>
      </c>
      <c r="GF39" s="9" t="n">
        <v>0</v>
      </c>
      <c r="GG39" s="11" t="n">
        <f aca="false">(GC39+GD39+GE39+GF39)/4</f>
        <v>0.75</v>
      </c>
      <c r="GH39" s="9" t="n">
        <v>1</v>
      </c>
      <c r="GI39" s="9" t="n">
        <v>1</v>
      </c>
      <c r="GJ39" s="9" t="n">
        <v>1</v>
      </c>
      <c r="GK39" s="9" t="n">
        <v>1</v>
      </c>
      <c r="GL39" s="11" t="n">
        <f aca="false">(GH39+GI39+GJ39+GK39)/4</f>
        <v>1</v>
      </c>
      <c r="GM39" s="9" t="n">
        <v>126</v>
      </c>
      <c r="GN39" s="9" t="n">
        <v>138</v>
      </c>
      <c r="GO39" s="9" t="n">
        <v>230</v>
      </c>
      <c r="GP39" s="9" t="n">
        <v>182</v>
      </c>
      <c r="GQ39" s="11" t="n">
        <f aca="false">(GM39+GN39+GO39+GP39)/4</f>
        <v>169</v>
      </c>
      <c r="GR39" s="9" t="n">
        <v>24</v>
      </c>
      <c r="GS39" s="9" t="n">
        <v>14</v>
      </c>
      <c r="GT39" s="9" t="n">
        <v>22</v>
      </c>
      <c r="GU39" s="9" t="n">
        <v>26</v>
      </c>
      <c r="GV39" s="11" t="n">
        <f aca="false">(GR39+GS39+GT39+GU39)/4</f>
        <v>21.5</v>
      </c>
      <c r="GW39" s="9" t="n">
        <v>0</v>
      </c>
      <c r="GX39" s="9" t="n">
        <v>0</v>
      </c>
      <c r="GY39" s="9" t="n">
        <v>0</v>
      </c>
      <c r="GZ39" s="9" t="n">
        <v>0</v>
      </c>
      <c r="HA39" s="11" t="n">
        <f aca="false">(GW39+GX39+GY39+GZ39)/4</f>
        <v>0</v>
      </c>
      <c r="HB39" s="9" t="n">
        <f aca="false">(GW39/GR39)</f>
        <v>0</v>
      </c>
      <c r="HC39" s="9" t="n">
        <f aca="false">(GX39/GS39)</f>
        <v>0</v>
      </c>
      <c r="HD39" s="9" t="n">
        <f aca="false">(GY39/GT39)</f>
        <v>0</v>
      </c>
      <c r="HE39" s="9" t="n">
        <f aca="false">(GZ39/GU39)/4</f>
        <v>0</v>
      </c>
      <c r="HF39" s="9" t="n">
        <f aca="false">(HB39+HC39+HD39+HE39)/4</f>
        <v>0</v>
      </c>
      <c r="HG39" s="9" t="n">
        <f aca="false">(100*HF39)</f>
        <v>0</v>
      </c>
      <c r="HH39" s="18" t="n">
        <v>0</v>
      </c>
      <c r="HI39" s="9" t="n">
        <v>5</v>
      </c>
      <c r="HJ39" s="9" t="n">
        <v>2</v>
      </c>
      <c r="HK39" s="9" t="n">
        <v>3</v>
      </c>
      <c r="HL39" s="19" t="n">
        <v>0</v>
      </c>
      <c r="HM39" s="9" t="n">
        <f aca="false">(HI39+HJ39+HK39+HL39)/4</f>
        <v>2.5</v>
      </c>
      <c r="HN39" s="9" t="n">
        <f aca="false">(HI39/GR39)</f>
        <v>0.208333333333333</v>
      </c>
      <c r="HO39" s="9" t="n">
        <f aca="false">(HJ39/GS39)</f>
        <v>0.142857142857143</v>
      </c>
      <c r="HP39" s="9" t="n">
        <f aca="false">(HK39/GT39)</f>
        <v>0.136363636363636</v>
      </c>
      <c r="HQ39" s="9" t="n">
        <f aca="false">(HL39/GU39)</f>
        <v>0</v>
      </c>
      <c r="HR39" s="9" t="n">
        <f aca="false">(HM39/GV39)</f>
        <v>0.116279069767442</v>
      </c>
      <c r="HS39" s="9" t="n">
        <f aca="false">(100*HR39)</f>
        <v>11.6279069767442</v>
      </c>
      <c r="HT39" s="18" t="n">
        <v>2</v>
      </c>
      <c r="HU39" s="9" t="n">
        <v>0</v>
      </c>
      <c r="HV39" s="9" t="n">
        <v>0</v>
      </c>
      <c r="HW39" s="9" t="n">
        <v>0</v>
      </c>
      <c r="HX39" s="19" t="n">
        <v>4</v>
      </c>
      <c r="HY39" s="9" t="n">
        <f aca="false">(HU39+HV39+HW39+HX39)/4</f>
        <v>1</v>
      </c>
      <c r="HZ39" s="9" t="n">
        <f aca="false">(HU39/GR39)</f>
        <v>0</v>
      </c>
      <c r="IA39" s="9" t="n">
        <f aca="false">HV39/GS39</f>
        <v>0</v>
      </c>
      <c r="IB39" s="9" t="n">
        <f aca="false">(HW39/GT39)</f>
        <v>0</v>
      </c>
      <c r="IC39" s="9" t="n">
        <f aca="false">(HX39/GU39)</f>
        <v>0.153846153846154</v>
      </c>
      <c r="ID39" s="9" t="n">
        <f aca="false">(HY39/GV39)</f>
        <v>0.0465116279069767</v>
      </c>
      <c r="IE39" s="9" t="n">
        <f aca="false">(100*ID39)</f>
        <v>4.65116279069768</v>
      </c>
      <c r="IF39" s="18" t="n">
        <v>1</v>
      </c>
      <c r="IG39" s="9" t="n">
        <v>5</v>
      </c>
      <c r="IH39" s="9" t="n">
        <v>3</v>
      </c>
      <c r="II39" s="19" t="n">
        <v>2</v>
      </c>
      <c r="IJ39" s="9" t="n">
        <v>8</v>
      </c>
      <c r="IK39" s="9" t="n">
        <f aca="false">(IG39+IH39+II39+IJ39)/4</f>
        <v>4.5</v>
      </c>
      <c r="IL39" s="9" t="n">
        <f aca="false">(IG39/GM39)</f>
        <v>0.0396825396825397</v>
      </c>
      <c r="IM39" s="9" t="n">
        <f aca="false">(IH39/GN39)</f>
        <v>0.0217391304347826</v>
      </c>
      <c r="IN39" s="9" t="n">
        <f aca="false">(II39/GO39)</f>
        <v>0.00869565217391304</v>
      </c>
      <c r="IO39" s="9" t="n">
        <f aca="false">(IJ39/GP39)</f>
        <v>0.043956043956044</v>
      </c>
      <c r="IP39" s="9" t="n">
        <f aca="false">(IK39/GQ39)</f>
        <v>0.0266272189349112</v>
      </c>
      <c r="IQ39" s="9" t="n">
        <f aca="false">(100*IP39)</f>
        <v>2.66272189349112</v>
      </c>
      <c r="IR39" s="18" t="n">
        <v>1</v>
      </c>
      <c r="IS39" s="9" t="n">
        <v>65.7</v>
      </c>
      <c r="IT39" s="9" t="n">
        <v>66.7</v>
      </c>
      <c r="IU39" s="19" t="n">
        <v>69</v>
      </c>
      <c r="IV39" s="9" t="n">
        <v>76.4</v>
      </c>
      <c r="IW39" s="9" t="n">
        <f aca="false">(IS39+IT39+IU39+IV39)/4</f>
        <v>69.45</v>
      </c>
      <c r="IX39" s="16" t="n">
        <v>45208</v>
      </c>
      <c r="IY39" s="10" t="s">
        <v>268</v>
      </c>
    </row>
    <row r="40" customFormat="false" ht="15.75" hidden="false" customHeight="true" outlineLevel="0" collapsed="false">
      <c r="A40" s="9" t="s">
        <v>343</v>
      </c>
      <c r="B40" s="10" t="s">
        <v>356</v>
      </c>
      <c r="C40" s="10" t="s">
        <v>261</v>
      </c>
      <c r="D40" s="9" t="n">
        <v>3</v>
      </c>
      <c r="E40" s="9" t="n">
        <v>13</v>
      </c>
      <c r="F40" s="10" t="s">
        <v>362</v>
      </c>
      <c r="G40" s="10" t="s">
        <v>297</v>
      </c>
      <c r="H40" s="9" t="n">
        <v>21</v>
      </c>
      <c r="I40" s="9" t="n">
        <v>21</v>
      </c>
      <c r="J40" s="10" t="s">
        <v>272</v>
      </c>
      <c r="K40" s="20"/>
      <c r="L40" s="20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 t="n">
        <v>0</v>
      </c>
      <c r="Y40" s="9" t="n">
        <v>0</v>
      </c>
      <c r="Z40" s="9" t="n">
        <v>0</v>
      </c>
      <c r="AA40" s="9" t="n">
        <v>0</v>
      </c>
      <c r="AB40" s="11" t="n">
        <f aca="false">(X40+Y40+Z40+AA40)/4</f>
        <v>0</v>
      </c>
      <c r="AC40" s="9" t="n">
        <v>1</v>
      </c>
      <c r="AD40" s="9" t="n">
        <v>1</v>
      </c>
      <c r="AE40" s="9" t="n">
        <v>1</v>
      </c>
      <c r="AF40" s="9" t="n">
        <v>1</v>
      </c>
      <c r="AG40" s="11" t="n">
        <f aca="false">(AC40+AD40+AE40+AF40)/4</f>
        <v>1</v>
      </c>
      <c r="AH40" s="9" t="n">
        <v>1</v>
      </c>
      <c r="AI40" s="9" t="n">
        <v>1</v>
      </c>
      <c r="AJ40" s="9" t="n">
        <v>1</v>
      </c>
      <c r="AK40" s="9" t="n">
        <v>1</v>
      </c>
      <c r="AL40" s="11" t="n">
        <f aca="false">(AH40+AI40+AJ40+AK40)/4</f>
        <v>1</v>
      </c>
      <c r="AM40" s="9" t="n">
        <v>127</v>
      </c>
      <c r="AN40" s="9" t="n">
        <v>169</v>
      </c>
      <c r="AO40" s="9" t="n">
        <v>82</v>
      </c>
      <c r="AP40" s="9" t="n">
        <v>87</v>
      </c>
      <c r="AQ40" s="11" t="n">
        <f aca="false">(AM40+AN40+AO40+AP40)/4</f>
        <v>116.25</v>
      </c>
      <c r="AR40" s="9" t="n">
        <v>9</v>
      </c>
      <c r="AS40" s="9" t="n">
        <v>40</v>
      </c>
      <c r="AT40" s="9" t="n">
        <v>70</v>
      </c>
      <c r="AU40" s="9" t="n">
        <v>13</v>
      </c>
      <c r="AV40" s="11" t="n">
        <f aca="false">(AR40+AS40+AT40+AU40)/4</f>
        <v>33</v>
      </c>
      <c r="AW40" s="9" t="n">
        <v>0</v>
      </c>
      <c r="AX40" s="9" t="n">
        <v>0</v>
      </c>
      <c r="AY40" s="9" t="n">
        <v>0</v>
      </c>
      <c r="AZ40" s="9" t="n">
        <v>0</v>
      </c>
      <c r="BA40" s="11" t="n">
        <f aca="false">(AW40+AX40+AY40+AZ40)/4</f>
        <v>0</v>
      </c>
      <c r="BB40" s="11" t="n">
        <f aca="false">(AW40/AR40)</f>
        <v>0</v>
      </c>
      <c r="BC40" s="11" t="n">
        <f aca="false">(AX40/AS40)</f>
        <v>0</v>
      </c>
      <c r="BD40" s="11" t="n">
        <f aca="false">(AY40/AT40)</f>
        <v>0</v>
      </c>
      <c r="BE40" s="11" t="n">
        <f aca="false">(AZ40/AU40)</f>
        <v>0</v>
      </c>
      <c r="BF40" s="11" t="n">
        <f aca="false">(BA40/AV40)</f>
        <v>0</v>
      </c>
      <c r="BG40" s="11" t="n">
        <f aca="false">(BF40*100)</f>
        <v>0</v>
      </c>
      <c r="BH40" s="9" t="n">
        <v>0</v>
      </c>
      <c r="BI40" s="9" t="n">
        <v>5</v>
      </c>
      <c r="BJ40" s="9" t="n">
        <v>12</v>
      </c>
      <c r="BK40" s="9" t="n">
        <v>13</v>
      </c>
      <c r="BL40" s="9" t="n">
        <v>5</v>
      </c>
      <c r="BM40" s="11" t="n">
        <f aca="false">(BI40+BJ40+BK40+BL40)/4</f>
        <v>8.75</v>
      </c>
      <c r="BN40" s="11" t="n">
        <f aca="false">(BI40/AR40)</f>
        <v>0.555555555555556</v>
      </c>
      <c r="BO40" s="11" t="n">
        <f aca="false">(BJ40/AS40)</f>
        <v>0.3</v>
      </c>
      <c r="BP40" s="11" t="n">
        <f aca="false">(BK40/AT40)</f>
        <v>0.185714285714286</v>
      </c>
      <c r="BQ40" s="11" t="n">
        <f aca="false">(BL40/AU40)</f>
        <v>0.384615384615385</v>
      </c>
      <c r="BR40" s="11" t="n">
        <f aca="false">(BM40/AV40)</f>
        <v>0.265151515151515</v>
      </c>
      <c r="BS40" s="11" t="n">
        <f aca="false">(100*BR40)</f>
        <v>26.5151515151515</v>
      </c>
      <c r="BT40" s="9" t="n">
        <v>2</v>
      </c>
      <c r="BU40" s="9" t="n">
        <v>0</v>
      </c>
      <c r="BV40" s="9" t="n">
        <v>0</v>
      </c>
      <c r="BW40" s="9" t="n">
        <v>0</v>
      </c>
      <c r="BX40" s="9" t="n">
        <v>0</v>
      </c>
      <c r="BY40" s="11" t="n">
        <f aca="false">(BU40+BV40+BW40+BX40)/4</f>
        <v>0</v>
      </c>
      <c r="BZ40" s="11" t="n">
        <f aca="false">(BU40/AR40)</f>
        <v>0</v>
      </c>
      <c r="CA40" s="11" t="n">
        <f aca="false">(BV40/AS40)</f>
        <v>0</v>
      </c>
      <c r="CB40" s="11" t="n">
        <f aca="false">(BW40/AT40)</f>
        <v>0</v>
      </c>
      <c r="CC40" s="11" t="n">
        <f aca="false">(BX40/AU40)</f>
        <v>0</v>
      </c>
      <c r="CD40" s="11" t="n">
        <f aca="false">(BY40/AV40)</f>
        <v>0</v>
      </c>
      <c r="CE40" s="11" t="n">
        <f aca="false">(100*CD40)</f>
        <v>0</v>
      </c>
      <c r="CF40" s="9" t="n">
        <v>0</v>
      </c>
      <c r="CG40" s="9" t="n">
        <v>52</v>
      </c>
      <c r="CH40" s="9" t="n">
        <v>48</v>
      </c>
      <c r="CI40" s="9" t="n">
        <v>4</v>
      </c>
      <c r="CJ40" s="9" t="n">
        <v>25</v>
      </c>
      <c r="CK40" s="11" t="n">
        <f aca="false">(CG40+CH40+CI40+CJ40)/4</f>
        <v>32.25</v>
      </c>
      <c r="CL40" s="11" t="n">
        <f aca="false">(CG40/AM40)</f>
        <v>0.409448818897638</v>
      </c>
      <c r="CM40" s="11" t="n">
        <f aca="false">(CH40/AN40)</f>
        <v>0.284023668639053</v>
      </c>
      <c r="CN40" s="11" t="n">
        <f aca="false">(CI40/AO40)</f>
        <v>0.0487804878048781</v>
      </c>
      <c r="CO40" s="9" t="n">
        <f aca="false">(CJ40/AP40)</f>
        <v>0.28735632183908</v>
      </c>
      <c r="CP40" s="9" t="n">
        <f aca="false">(CK40/AQ40)</f>
        <v>0.27741935483871</v>
      </c>
      <c r="CQ40" s="9" t="n">
        <f aca="false">(100*CP40)</f>
        <v>27.741935483871</v>
      </c>
      <c r="CR40" s="18" t="n">
        <v>2</v>
      </c>
      <c r="CS40" s="9" t="n">
        <v>53.1</v>
      </c>
      <c r="CT40" s="9" t="n">
        <v>61.1</v>
      </c>
      <c r="CU40" s="9" t="n">
        <v>73.5</v>
      </c>
      <c r="CV40" s="9" t="n">
        <v>66.7</v>
      </c>
      <c r="CW40" s="11" t="n">
        <f aca="false">(CS40+CT40+CU40+CV40)/4</f>
        <v>63.6</v>
      </c>
      <c r="CX40" s="9" t="n">
        <v>0</v>
      </c>
      <c r="CY40" s="9" t="n">
        <v>0</v>
      </c>
      <c r="CZ40" s="9" t="n">
        <v>0</v>
      </c>
      <c r="DA40" s="9" t="n">
        <v>0</v>
      </c>
      <c r="DB40" s="11" t="n">
        <f aca="false">(CX40+CY40+CZ40+DA40)/4</f>
        <v>0</v>
      </c>
      <c r="DC40" s="9" t="n">
        <v>1</v>
      </c>
      <c r="DD40" s="9" t="n">
        <v>1</v>
      </c>
      <c r="DE40" s="9" t="n">
        <v>1</v>
      </c>
      <c r="DF40" s="9" t="n">
        <v>1</v>
      </c>
      <c r="DG40" s="11" t="n">
        <f aca="false">(DC40+DD40+DE40+DF40)/4</f>
        <v>1</v>
      </c>
      <c r="DH40" s="9" t="n">
        <v>1</v>
      </c>
      <c r="DI40" s="9" t="n">
        <v>1</v>
      </c>
      <c r="DJ40" s="9" t="n">
        <v>1</v>
      </c>
      <c r="DK40" s="9" t="n">
        <v>1</v>
      </c>
      <c r="DL40" s="11" t="n">
        <f aca="false">(DH40+DI40+DJ40+DK40)/4</f>
        <v>1</v>
      </c>
      <c r="DM40" s="9" t="n">
        <v>122</v>
      </c>
      <c r="DN40" s="9" t="n">
        <v>193</v>
      </c>
      <c r="DO40" s="9" t="n">
        <v>165</v>
      </c>
      <c r="DP40" s="9" t="n">
        <v>193</v>
      </c>
      <c r="DQ40" s="11" t="n">
        <f aca="false">(DM40+DN40+DO40+DP40)/4</f>
        <v>168.25</v>
      </c>
      <c r="DR40" s="9" t="n">
        <v>16</v>
      </c>
      <c r="DS40" s="9" t="n">
        <v>12</v>
      </c>
      <c r="DT40" s="9" t="n">
        <v>8</v>
      </c>
      <c r="DU40" s="9" t="n">
        <v>10</v>
      </c>
      <c r="DV40" s="11" t="n">
        <f aca="false">(DR40+DS40+DT40+DU40)/4</f>
        <v>11.5</v>
      </c>
      <c r="DW40" s="9" t="n">
        <v>0</v>
      </c>
      <c r="DX40" s="9" t="n">
        <v>0</v>
      </c>
      <c r="DY40" s="9" t="n">
        <v>0</v>
      </c>
      <c r="DZ40" s="9" t="n">
        <v>0</v>
      </c>
      <c r="EA40" s="11" t="n">
        <f aca="false">(DW40+DX40+DY40+DZ40)/4</f>
        <v>0</v>
      </c>
      <c r="EB40" s="11" t="n">
        <f aca="false">(DW40/DR40)</f>
        <v>0</v>
      </c>
      <c r="EC40" s="11" t="n">
        <f aca="false">(DX40/DS40)</f>
        <v>0</v>
      </c>
      <c r="ED40" s="11" t="n">
        <f aca="false">(DY40/DT40)</f>
        <v>0</v>
      </c>
      <c r="EE40" s="11" t="n">
        <f aca="false">(DZ40/DU40)</f>
        <v>0</v>
      </c>
      <c r="EF40" s="11" t="n">
        <f aca="false">(EA40/DV40)</f>
        <v>0</v>
      </c>
      <c r="EG40" s="11" t="n">
        <f aca="false">(100*EF40)</f>
        <v>0</v>
      </c>
      <c r="EH40" s="9" t="n">
        <v>0</v>
      </c>
      <c r="EI40" s="9" t="n">
        <v>7</v>
      </c>
      <c r="EJ40" s="9" t="n">
        <v>5</v>
      </c>
      <c r="EK40" s="19" t="n">
        <v>3</v>
      </c>
      <c r="EL40" s="9" t="n">
        <v>3</v>
      </c>
      <c r="EM40" s="9" t="n">
        <f aca="false">(EI40+EJ40+EK40+EL40)/4</f>
        <v>4.5</v>
      </c>
      <c r="EN40" s="9" t="n">
        <f aca="false">(EI40/DR40)</f>
        <v>0.4375</v>
      </c>
      <c r="EO40" s="9" t="n">
        <f aca="false">(EJ40/DS40)</f>
        <v>0.416666666666667</v>
      </c>
      <c r="EP40" s="9" t="n">
        <f aca="false">(EK40/DT40)</f>
        <v>0.375</v>
      </c>
      <c r="EQ40" s="9" t="n">
        <f aca="false">(EL40/DU40)</f>
        <v>0.3</v>
      </c>
      <c r="ER40" s="9" t="n">
        <f aca="false">EM40/DV40</f>
        <v>0.391304347826087</v>
      </c>
      <c r="ES40" s="9" t="n">
        <f aca="false">(100*ER40)</f>
        <v>39.1304347826087</v>
      </c>
      <c r="ET40" s="9" t="n">
        <v>3</v>
      </c>
      <c r="EU40" s="18" t="n">
        <v>0</v>
      </c>
      <c r="EV40" s="9" t="n">
        <v>0</v>
      </c>
      <c r="EW40" s="9" t="n">
        <v>0</v>
      </c>
      <c r="EX40" s="9" t="n">
        <v>0</v>
      </c>
      <c r="EY40" s="11" t="n">
        <f aca="false">(EU40+EV40+EW40+EX40)/4</f>
        <v>0</v>
      </c>
      <c r="EZ40" s="11" t="n">
        <f aca="false">(EU40/DR40)</f>
        <v>0</v>
      </c>
      <c r="FA40" s="11" t="n">
        <f aca="false">(EV40/DS40)</f>
        <v>0</v>
      </c>
      <c r="FB40" s="11" t="n">
        <f aca="false">(EW40/DT40)</f>
        <v>0</v>
      </c>
      <c r="FC40" s="11" t="n">
        <f aca="false">(EX40/DU40)</f>
        <v>0</v>
      </c>
      <c r="FD40" s="11" t="n">
        <f aca="false">(EY40/DV40)</f>
        <v>0</v>
      </c>
      <c r="FE40" s="11" t="n">
        <f aca="false">(100*FD40)</f>
        <v>0</v>
      </c>
      <c r="FF40" s="9" t="n">
        <v>0</v>
      </c>
      <c r="FG40" s="9" t="n">
        <v>38</v>
      </c>
      <c r="FH40" s="9" t="n">
        <v>36</v>
      </c>
      <c r="FI40" s="9" t="n">
        <v>35</v>
      </c>
      <c r="FJ40" s="9" t="n">
        <v>34</v>
      </c>
      <c r="FK40" s="11" t="n">
        <f aca="false">(FG40+FH40+FI40+FJ40)/4</f>
        <v>35.75</v>
      </c>
      <c r="FL40" s="11" t="n">
        <f aca="false">(FG40/DR40)</f>
        <v>2.375</v>
      </c>
      <c r="FM40" s="11" t="n">
        <f aca="false">(FH40/DS40)</f>
        <v>3</v>
      </c>
      <c r="FN40" s="11" t="n">
        <f aca="false">(FI40/DT40)</f>
        <v>4.375</v>
      </c>
      <c r="FO40" s="11" t="n">
        <f aca="false">(FJ40/DU40)</f>
        <v>3.4</v>
      </c>
      <c r="FP40" s="11" t="n">
        <f aca="false">(FK40/DV40)</f>
        <v>3.10869565217391</v>
      </c>
      <c r="FQ40" s="11" t="n">
        <f aca="false">(100*FP40)</f>
        <v>310.869565217391</v>
      </c>
      <c r="FR40" s="9" t="n">
        <v>3</v>
      </c>
      <c r="FS40" s="9" t="n">
        <v>58</v>
      </c>
      <c r="FT40" s="9" t="n">
        <v>54.4</v>
      </c>
      <c r="FU40" s="9" t="n">
        <v>58.5</v>
      </c>
      <c r="FV40" s="9" t="n">
        <v>57.7</v>
      </c>
      <c r="FW40" s="11" t="n">
        <f aca="false">(FS40+FT40+FU40+FV40)/4</f>
        <v>57.15</v>
      </c>
      <c r="FX40" s="9" t="n">
        <v>0</v>
      </c>
      <c r="FY40" s="9" t="n">
        <v>0</v>
      </c>
      <c r="FZ40" s="9" t="n">
        <v>0</v>
      </c>
      <c r="GA40" s="9" t="n">
        <v>0</v>
      </c>
      <c r="GB40" s="11" t="n">
        <f aca="false">(FX40+FY40+FZ40+GA40)/4</f>
        <v>0</v>
      </c>
      <c r="GC40" s="9" t="n">
        <v>1</v>
      </c>
      <c r="GD40" s="9" t="n">
        <v>1</v>
      </c>
      <c r="GE40" s="9" t="n">
        <v>1</v>
      </c>
      <c r="GF40" s="9" t="n">
        <v>1</v>
      </c>
      <c r="GG40" s="11" t="n">
        <f aca="false">(GC40+GD40+GE40+GF40)/4</f>
        <v>1</v>
      </c>
      <c r="GH40" s="9" t="n">
        <v>1</v>
      </c>
      <c r="GI40" s="9" t="n">
        <v>1</v>
      </c>
      <c r="GJ40" s="9" t="n">
        <v>1</v>
      </c>
      <c r="GK40" s="9" t="n">
        <v>1</v>
      </c>
      <c r="GL40" s="11" t="n">
        <f aca="false">(GH40+GI40+GJ40+GK40)/4</f>
        <v>1</v>
      </c>
      <c r="GM40" s="9" t="n">
        <v>65</v>
      </c>
      <c r="GN40" s="9" t="n">
        <v>179</v>
      </c>
      <c r="GO40" s="9" t="n">
        <v>40</v>
      </c>
      <c r="GP40" s="9" t="n">
        <v>133</v>
      </c>
      <c r="GQ40" s="11" t="n">
        <f aca="false">(GM40+GN40+GO40+GP40)/4</f>
        <v>104.25</v>
      </c>
      <c r="GR40" s="9" t="n">
        <v>14</v>
      </c>
      <c r="GS40" s="9" t="n">
        <v>10</v>
      </c>
      <c r="GT40" s="9" t="n">
        <v>17</v>
      </c>
      <c r="GU40" s="9" t="n">
        <v>15</v>
      </c>
      <c r="GV40" s="11" t="n">
        <f aca="false">(GR40+GS40+GT40+GU40)/4</f>
        <v>14</v>
      </c>
      <c r="GW40" s="9" t="n">
        <v>0</v>
      </c>
      <c r="GX40" s="9" t="n">
        <v>0</v>
      </c>
      <c r="GY40" s="9" t="n">
        <v>0</v>
      </c>
      <c r="GZ40" s="9" t="n">
        <v>0</v>
      </c>
      <c r="HA40" s="11" t="n">
        <f aca="false">(GW40+GX40+GY40+GZ40)/4</f>
        <v>0</v>
      </c>
      <c r="HB40" s="9" t="n">
        <f aca="false">(GW40/GR40)</f>
        <v>0</v>
      </c>
      <c r="HC40" s="9" t="n">
        <f aca="false">(GX40/GS40)</f>
        <v>0</v>
      </c>
      <c r="HD40" s="9" t="n">
        <f aca="false">(GY40/GT40)</f>
        <v>0</v>
      </c>
      <c r="HE40" s="9" t="n">
        <f aca="false">(GZ40/GU40)/4</f>
        <v>0</v>
      </c>
      <c r="HF40" s="9" t="n">
        <f aca="false">(HB40+HC40+HD40+HE40)/4</f>
        <v>0</v>
      </c>
      <c r="HG40" s="9" t="n">
        <f aca="false">(100*HF40)</f>
        <v>0</v>
      </c>
      <c r="HH40" s="18" t="n">
        <v>0</v>
      </c>
      <c r="HI40" s="9" t="n">
        <v>3</v>
      </c>
      <c r="HJ40" s="9" t="n">
        <v>6</v>
      </c>
      <c r="HK40" s="9" t="n">
        <v>4</v>
      </c>
      <c r="HL40" s="19" t="n">
        <v>3</v>
      </c>
      <c r="HM40" s="9" t="n">
        <f aca="false">(HI40+HJ40+HK40+HL40)/4</f>
        <v>4</v>
      </c>
      <c r="HN40" s="9" t="n">
        <f aca="false">(HI40/GR40)</f>
        <v>0.214285714285714</v>
      </c>
      <c r="HO40" s="9" t="n">
        <f aca="false">(HJ40/GS40)</f>
        <v>0.6</v>
      </c>
      <c r="HP40" s="9" t="n">
        <f aca="false">(HK40/GT40)</f>
        <v>0.235294117647059</v>
      </c>
      <c r="HQ40" s="9" t="n">
        <f aca="false">(HL40/GU40)</f>
        <v>0.2</v>
      </c>
      <c r="HR40" s="9" t="n">
        <f aca="false">(HM40/GV40)</f>
        <v>0.285714285714286</v>
      </c>
      <c r="HS40" s="9" t="n">
        <f aca="false">(100*HR40)</f>
        <v>28.5714285714286</v>
      </c>
      <c r="HT40" s="18" t="n">
        <v>2</v>
      </c>
      <c r="HU40" s="9" t="n">
        <v>0</v>
      </c>
      <c r="HV40" s="9" t="n">
        <v>4</v>
      </c>
      <c r="HW40" s="9" t="n">
        <v>0</v>
      </c>
      <c r="HX40" s="19" t="n">
        <v>0</v>
      </c>
      <c r="HY40" s="9" t="n">
        <f aca="false">(HU40+HV40+HW40+HX40)/4</f>
        <v>1</v>
      </c>
      <c r="HZ40" s="9" t="n">
        <f aca="false">(HU40/GR40)</f>
        <v>0</v>
      </c>
      <c r="IA40" s="9" t="n">
        <f aca="false">HV40/GS40</f>
        <v>0.4</v>
      </c>
      <c r="IB40" s="9" t="n">
        <f aca="false">(HW40/GT40)</f>
        <v>0</v>
      </c>
      <c r="IC40" s="9" t="n">
        <f aca="false">(HX40/GU40)</f>
        <v>0</v>
      </c>
      <c r="ID40" s="9" t="n">
        <f aca="false">(HY40/GV40)</f>
        <v>0.0714285714285714</v>
      </c>
      <c r="IE40" s="9" t="n">
        <f aca="false">(100*ID40)</f>
        <v>7.14285714285714</v>
      </c>
      <c r="IF40" s="18" t="n">
        <v>1</v>
      </c>
      <c r="IG40" s="9" t="n">
        <v>10</v>
      </c>
      <c r="IH40" s="9" t="n">
        <v>0</v>
      </c>
      <c r="II40" s="19" t="n">
        <v>25</v>
      </c>
      <c r="IJ40" s="9" t="n">
        <v>9</v>
      </c>
      <c r="IK40" s="9" t="n">
        <f aca="false">(IG40+IH40+II40+IJ40)/4</f>
        <v>11</v>
      </c>
      <c r="IL40" s="9" t="n">
        <f aca="false">(IG40/GM40)</f>
        <v>0.153846153846154</v>
      </c>
      <c r="IM40" s="9" t="n">
        <f aca="false">(IH40/GN40)</f>
        <v>0</v>
      </c>
      <c r="IN40" s="9" t="n">
        <f aca="false">(II40/GO40)</f>
        <v>0.625</v>
      </c>
      <c r="IO40" s="9" t="n">
        <f aca="false">(IJ40/GP40)</f>
        <v>0.0676691729323308</v>
      </c>
      <c r="IP40" s="9" t="n">
        <f aca="false">(IK40/GQ40)</f>
        <v>0.105515587529976</v>
      </c>
      <c r="IQ40" s="9" t="n">
        <f aca="false">(100*IP40)</f>
        <v>10.5515587529976</v>
      </c>
      <c r="IR40" s="18" t="n">
        <v>2</v>
      </c>
      <c r="IS40" s="9" t="n">
        <v>62.1</v>
      </c>
      <c r="IT40" s="9" t="n">
        <v>60</v>
      </c>
      <c r="IU40" s="19" t="n">
        <v>66.2</v>
      </c>
      <c r="IV40" s="9" t="n">
        <v>65.1</v>
      </c>
      <c r="IW40" s="9" t="n">
        <f aca="false">(IS40+IT40+IU40+IV40)/4</f>
        <v>63.35</v>
      </c>
      <c r="IX40" s="16" t="n">
        <v>45208</v>
      </c>
      <c r="IY40" s="10" t="s">
        <v>268</v>
      </c>
    </row>
    <row r="41" customFormat="false" ht="15.75" hidden="false" customHeight="true" outlineLevel="0" collapsed="false">
      <c r="A41" s="9" t="s">
        <v>343</v>
      </c>
      <c r="B41" s="10" t="s">
        <v>363</v>
      </c>
      <c r="C41" s="10" t="s">
        <v>261</v>
      </c>
      <c r="D41" s="9" t="n">
        <v>4</v>
      </c>
      <c r="E41" s="9" t="n">
        <v>14</v>
      </c>
      <c r="F41" s="10" t="s">
        <v>364</v>
      </c>
      <c r="G41" s="10" t="s">
        <v>291</v>
      </c>
      <c r="H41" s="9" t="n">
        <v>21</v>
      </c>
      <c r="I41" s="9" t="n">
        <v>5</v>
      </c>
      <c r="J41" s="12" t="s">
        <v>264</v>
      </c>
      <c r="K41" s="13" t="s">
        <v>365</v>
      </c>
      <c r="L41" s="13" t="s">
        <v>366</v>
      </c>
      <c r="M41" s="14" t="n">
        <v>1299</v>
      </c>
      <c r="N41" s="15" t="n">
        <v>45153</v>
      </c>
      <c r="O41" s="10" t="s">
        <v>294</v>
      </c>
      <c r="P41" s="9"/>
      <c r="Q41" s="9" t="n">
        <v>41.98</v>
      </c>
      <c r="R41" s="9" t="n">
        <v>15</v>
      </c>
      <c r="S41" s="9" t="n">
        <v>-13</v>
      </c>
      <c r="T41" s="9" t="n">
        <v>100</v>
      </c>
      <c r="U41" s="9"/>
      <c r="V41" s="9" t="n">
        <v>2.17</v>
      </c>
      <c r="W41" s="22" t="s">
        <v>367</v>
      </c>
      <c r="X41" s="9" t="n">
        <v>0</v>
      </c>
      <c r="Y41" s="9" t="n">
        <v>0</v>
      </c>
      <c r="Z41" s="9" t="n">
        <v>0</v>
      </c>
      <c r="AA41" s="9" t="n">
        <v>0</v>
      </c>
      <c r="AB41" s="11" t="n">
        <f aca="false">(X41+Y41+Z41+AA41)/4</f>
        <v>0</v>
      </c>
      <c r="AC41" s="9" t="n">
        <v>1</v>
      </c>
      <c r="AD41" s="9" t="n">
        <v>1</v>
      </c>
      <c r="AE41" s="9" t="n">
        <v>1</v>
      </c>
      <c r="AF41" s="9" t="n">
        <v>1</v>
      </c>
      <c r="AG41" s="11" t="n">
        <f aca="false">(AC41+AD41+AE41+AF41)/4</f>
        <v>1</v>
      </c>
      <c r="AH41" s="9" t="n">
        <v>1</v>
      </c>
      <c r="AI41" s="9" t="n">
        <v>0</v>
      </c>
      <c r="AJ41" s="9" t="n">
        <v>1</v>
      </c>
      <c r="AK41" s="9" t="n">
        <v>1</v>
      </c>
      <c r="AL41" s="11" t="n">
        <f aca="false">(AH41+AI41+AJ41+AK41)/4</f>
        <v>0.75</v>
      </c>
      <c r="AM41" s="9" t="n">
        <v>4</v>
      </c>
      <c r="AN41" s="9" t="n">
        <v>22</v>
      </c>
      <c r="AO41" s="9" t="n">
        <v>31</v>
      </c>
      <c r="AP41" s="9" t="n">
        <v>55</v>
      </c>
      <c r="AQ41" s="11" t="n">
        <f aca="false">(AM41+AN41+AO41+AP41)/4</f>
        <v>28</v>
      </c>
      <c r="AR41" s="9" t="n">
        <v>23</v>
      </c>
      <c r="AS41" s="9" t="n">
        <v>43</v>
      </c>
      <c r="AT41" s="9" t="n">
        <v>7</v>
      </c>
      <c r="AU41" s="9" t="n">
        <v>20</v>
      </c>
      <c r="AV41" s="11" t="n">
        <f aca="false">(AR41+AS41+AT41+AU41)/4</f>
        <v>23.25</v>
      </c>
      <c r="AW41" s="9" t="n">
        <v>0</v>
      </c>
      <c r="AX41" s="9" t="n">
        <v>0</v>
      </c>
      <c r="AY41" s="9" t="n">
        <v>0</v>
      </c>
      <c r="AZ41" s="9" t="n">
        <v>0</v>
      </c>
      <c r="BA41" s="11" t="n">
        <f aca="false">(AW41+AX41+AY41+AZ41)/4</f>
        <v>0</v>
      </c>
      <c r="BB41" s="11" t="n">
        <f aca="false">(AW41/AR41)</f>
        <v>0</v>
      </c>
      <c r="BC41" s="11" t="n">
        <f aca="false">(AX41/AS41)</f>
        <v>0</v>
      </c>
      <c r="BD41" s="11" t="n">
        <f aca="false">(AY41/AT41)</f>
        <v>0</v>
      </c>
      <c r="BE41" s="11" t="n">
        <f aca="false">(AZ41/AU41)</f>
        <v>0</v>
      </c>
      <c r="BF41" s="11" t="n">
        <f aca="false">(BA41/AV41)</f>
        <v>0</v>
      </c>
      <c r="BG41" s="11" t="n">
        <f aca="false">(BF41*100)</f>
        <v>0</v>
      </c>
      <c r="BH41" s="11" t="n">
        <v>0</v>
      </c>
      <c r="BI41" s="9" t="n">
        <v>3</v>
      </c>
      <c r="BJ41" s="9" t="n">
        <v>5</v>
      </c>
      <c r="BK41" s="9" t="n">
        <v>1</v>
      </c>
      <c r="BL41" s="9" t="n">
        <v>5</v>
      </c>
      <c r="BM41" s="11" t="n">
        <f aca="false">(BI41+BJ41+BK41+BL41)/4</f>
        <v>3.5</v>
      </c>
      <c r="BN41" s="11" t="n">
        <f aca="false">(BI41/AR41)</f>
        <v>0.130434782608696</v>
      </c>
      <c r="BO41" s="11" t="n">
        <f aca="false">(BJ41/AS41)</f>
        <v>0.116279069767442</v>
      </c>
      <c r="BP41" s="11" t="n">
        <f aca="false">(BK41/AT41)</f>
        <v>0.142857142857143</v>
      </c>
      <c r="BQ41" s="11" t="n">
        <f aca="false">(BL41/AU41)</f>
        <v>0.25</v>
      </c>
      <c r="BR41" s="11" t="n">
        <f aca="false">(BM41/AV41)</f>
        <v>0.150537634408602</v>
      </c>
      <c r="BS41" s="11" t="n">
        <f aca="false">(100*BR41)</f>
        <v>15.0537634408602</v>
      </c>
      <c r="BT41" s="9" t="n">
        <v>2</v>
      </c>
      <c r="BU41" s="9" t="n">
        <v>0</v>
      </c>
      <c r="BV41" s="9" t="n">
        <v>0</v>
      </c>
      <c r="BW41" s="9" t="n">
        <v>0</v>
      </c>
      <c r="BX41" s="9" t="n">
        <v>0</v>
      </c>
      <c r="BY41" s="11" t="n">
        <f aca="false">(BU41+BV41+BW41+BX41)/4</f>
        <v>0</v>
      </c>
      <c r="BZ41" s="11" t="n">
        <f aca="false">(BU41/AR41)</f>
        <v>0</v>
      </c>
      <c r="CA41" s="11" t="n">
        <f aca="false">(BV41/AS41)</f>
        <v>0</v>
      </c>
      <c r="CB41" s="11" t="n">
        <f aca="false">(BW41/AT41)</f>
        <v>0</v>
      </c>
      <c r="CC41" s="11" t="n">
        <f aca="false">(BX41/AU41)</f>
        <v>0</v>
      </c>
      <c r="CD41" s="11" t="n">
        <f aca="false">(BY41/AV41)</f>
        <v>0</v>
      </c>
      <c r="CE41" s="11" t="n">
        <f aca="false">(100*CD41)</f>
        <v>0</v>
      </c>
      <c r="CF41" s="9" t="n">
        <v>0</v>
      </c>
      <c r="CG41" s="9" t="n">
        <v>3</v>
      </c>
      <c r="CH41" s="9" t="n">
        <v>0</v>
      </c>
      <c r="CI41" s="9" t="n">
        <v>3</v>
      </c>
      <c r="CJ41" s="9" t="n">
        <v>7</v>
      </c>
      <c r="CK41" s="11" t="n">
        <f aca="false">(CG41+CH41+CI41+CJ41)/4</f>
        <v>3.25</v>
      </c>
      <c r="CL41" s="11" t="n">
        <f aca="false">(CG41/AM41)</f>
        <v>0.75</v>
      </c>
      <c r="CM41" s="11" t="n">
        <f aca="false">(CH41/AN41)</f>
        <v>0</v>
      </c>
      <c r="CN41" s="11" t="n">
        <f aca="false">(CI41/AO41)</f>
        <v>0.0967741935483871</v>
      </c>
      <c r="CO41" s="9" t="n">
        <f aca="false">(CJ41/AP41)</f>
        <v>0.127272727272727</v>
      </c>
      <c r="CP41" s="9" t="n">
        <f aca="false">(CK41/AQ41)</f>
        <v>0.116071428571429</v>
      </c>
      <c r="CQ41" s="9" t="n">
        <f aca="false">(100*CP41)</f>
        <v>11.6071428571429</v>
      </c>
      <c r="CR41" s="18" t="n">
        <v>2</v>
      </c>
      <c r="CS41" s="9" t="n">
        <v>56.4</v>
      </c>
      <c r="CT41" s="9" t="n">
        <v>54.7</v>
      </c>
      <c r="CU41" s="9" t="n">
        <v>44.8</v>
      </c>
      <c r="CV41" s="9" t="n">
        <v>48.3</v>
      </c>
      <c r="CW41" s="11" t="n">
        <f aca="false">(CS41+CT41+CU41+CV41)/4</f>
        <v>51.05</v>
      </c>
      <c r="CX41" s="9" t="n">
        <v>0</v>
      </c>
      <c r="CY41" s="9" t="n">
        <v>1</v>
      </c>
      <c r="CZ41" s="9" t="n">
        <v>0</v>
      </c>
      <c r="DA41" s="9" t="n">
        <v>0</v>
      </c>
      <c r="DB41" s="11" t="n">
        <f aca="false">(CX41+CY41+CZ41+DA41)/4</f>
        <v>0.25</v>
      </c>
      <c r="DC41" s="9" t="n">
        <v>0</v>
      </c>
      <c r="DD41" s="9" t="n">
        <v>1</v>
      </c>
      <c r="DE41" s="9" t="n">
        <v>1</v>
      </c>
      <c r="DF41" s="9" t="n">
        <v>1</v>
      </c>
      <c r="DG41" s="11" t="n">
        <f aca="false">(DC41+DD41+DE41+DF41)/4</f>
        <v>0.75</v>
      </c>
      <c r="DH41" s="9" t="n">
        <v>1</v>
      </c>
      <c r="DI41" s="9" t="n">
        <v>1</v>
      </c>
      <c r="DJ41" s="9" t="n">
        <v>1</v>
      </c>
      <c r="DK41" s="9" t="n">
        <v>1</v>
      </c>
      <c r="DL41" s="11" t="n">
        <f aca="false">(DH41+DI41+DJ41+DK41)/4</f>
        <v>1</v>
      </c>
      <c r="DM41" s="9" t="n">
        <v>56</v>
      </c>
      <c r="DN41" s="9" t="n">
        <v>118</v>
      </c>
      <c r="DO41" s="9" t="n">
        <v>68</v>
      </c>
      <c r="DP41" s="9" t="n">
        <v>72</v>
      </c>
      <c r="DQ41" s="11" t="n">
        <f aca="false">(DM41+DN41+DO41+DP41)/4</f>
        <v>78.5</v>
      </c>
      <c r="DR41" s="9" t="n">
        <v>18</v>
      </c>
      <c r="DS41" s="9" t="n">
        <v>39</v>
      </c>
      <c r="DT41" s="9" t="n">
        <v>20</v>
      </c>
      <c r="DU41" s="9" t="n">
        <v>16</v>
      </c>
      <c r="DV41" s="11" t="n">
        <f aca="false">(DR41+DS41+DT41+DU41)/4</f>
        <v>23.25</v>
      </c>
      <c r="DW41" s="9" t="n">
        <v>0</v>
      </c>
      <c r="DX41" s="9" t="n">
        <v>2</v>
      </c>
      <c r="DY41" s="9" t="n">
        <v>0</v>
      </c>
      <c r="DZ41" s="9" t="n">
        <v>0</v>
      </c>
      <c r="EA41" s="11" t="n">
        <f aca="false">(DW41+DX41+DY41+DZ41)/4</f>
        <v>0.5</v>
      </c>
      <c r="EB41" s="11" t="n">
        <f aca="false">(DW41/DR41)</f>
        <v>0</v>
      </c>
      <c r="EC41" s="11" t="n">
        <f aca="false">(DX41/DS41)</f>
        <v>0.0512820512820513</v>
      </c>
      <c r="ED41" s="11" t="n">
        <f aca="false">(DY41/DT41)</f>
        <v>0</v>
      </c>
      <c r="EE41" s="11" t="n">
        <f aca="false">(DZ41/DU41)</f>
        <v>0</v>
      </c>
      <c r="EF41" s="11" t="n">
        <f aca="false">(EA41/DV41)</f>
        <v>0.021505376344086</v>
      </c>
      <c r="EG41" s="11" t="n">
        <f aca="false">(100*EF41)</f>
        <v>2.1505376344086</v>
      </c>
      <c r="EH41" s="9" t="n">
        <v>1</v>
      </c>
      <c r="EI41" s="9" t="n">
        <v>0</v>
      </c>
      <c r="EJ41" s="9" t="n">
        <v>2</v>
      </c>
      <c r="EK41" s="19" t="n">
        <v>3</v>
      </c>
      <c r="EL41" s="9" t="n">
        <v>3</v>
      </c>
      <c r="EM41" s="9" t="n">
        <f aca="false">(EI41+EJ41+EK41+EL41)/4</f>
        <v>2</v>
      </c>
      <c r="EN41" s="9" t="n">
        <f aca="false">(EI41/DR41)</f>
        <v>0</v>
      </c>
      <c r="EO41" s="9" t="n">
        <f aca="false">(EJ41/DS41)</f>
        <v>0.0512820512820513</v>
      </c>
      <c r="EP41" s="9" t="n">
        <f aca="false">(EK41/DT41)</f>
        <v>0.15</v>
      </c>
      <c r="EQ41" s="9" t="n">
        <f aca="false">(EL41/DU41)</f>
        <v>0.1875</v>
      </c>
      <c r="ER41" s="9" t="n">
        <f aca="false">EM41/DV41</f>
        <v>0.0860215053763441</v>
      </c>
      <c r="ES41" s="9" t="n">
        <f aca="false">(100*ER41)</f>
        <v>8.60215053763441</v>
      </c>
      <c r="ET41" s="9" t="n">
        <v>1</v>
      </c>
      <c r="EU41" s="18" t="n">
        <v>5</v>
      </c>
      <c r="EV41" s="9" t="n">
        <v>4</v>
      </c>
      <c r="EW41" s="9" t="n">
        <v>0</v>
      </c>
      <c r="EX41" s="9" t="n">
        <v>3</v>
      </c>
      <c r="EY41" s="11" t="n">
        <f aca="false">(EU41+EV41+EW41+EX41)/4</f>
        <v>3</v>
      </c>
      <c r="EZ41" s="11" t="n">
        <f aca="false">(EU41/DR41)</f>
        <v>0.277777777777778</v>
      </c>
      <c r="FA41" s="11" t="n">
        <f aca="false">(EV41/DS41)</f>
        <v>0.102564102564103</v>
      </c>
      <c r="FB41" s="11" t="n">
        <f aca="false">(EW41/DT41)</f>
        <v>0</v>
      </c>
      <c r="FC41" s="11" t="n">
        <f aca="false">(EX41/DU41)</f>
        <v>0.1875</v>
      </c>
      <c r="FD41" s="11" t="n">
        <f aca="false">(EY41/DV41)</f>
        <v>0.129032258064516</v>
      </c>
      <c r="FE41" s="11" t="n">
        <f aca="false">(100*FD41)</f>
        <v>12.9032258064516</v>
      </c>
      <c r="FF41" s="9" t="n">
        <v>2</v>
      </c>
      <c r="FG41" s="9" t="n">
        <v>14</v>
      </c>
      <c r="FH41" s="9" t="n">
        <v>2</v>
      </c>
      <c r="FI41" s="9" t="n">
        <v>3</v>
      </c>
      <c r="FJ41" s="9" t="n">
        <v>3</v>
      </c>
      <c r="FK41" s="11" t="n">
        <f aca="false">(FG41+FH41+FI41+FJ41)/4</f>
        <v>5.5</v>
      </c>
      <c r="FL41" s="11" t="n">
        <f aca="false">(FG41/DR41)</f>
        <v>0.777777777777778</v>
      </c>
      <c r="FM41" s="11" t="n">
        <f aca="false">(FH41/DS41)</f>
        <v>0.0512820512820513</v>
      </c>
      <c r="FN41" s="11" t="n">
        <f aca="false">(FI41/DT41)</f>
        <v>0.15</v>
      </c>
      <c r="FO41" s="11" t="n">
        <f aca="false">(FJ41/DU41)</f>
        <v>0.1875</v>
      </c>
      <c r="FP41" s="11" t="n">
        <f aca="false">(FK41/DV41)</f>
        <v>0.236559139784946</v>
      </c>
      <c r="FQ41" s="11" t="n">
        <f aca="false">(100*FP41)</f>
        <v>23.6559139784946</v>
      </c>
      <c r="FR41" s="9" t="n">
        <v>2</v>
      </c>
      <c r="FS41" s="9" t="n">
        <v>68.4</v>
      </c>
      <c r="FT41" s="9" t="n">
        <v>55.1</v>
      </c>
      <c r="FU41" s="9" t="n">
        <v>57.2</v>
      </c>
      <c r="FV41" s="9" t="n">
        <v>60.8</v>
      </c>
      <c r="FW41" s="11" t="n">
        <f aca="false">(FS41+FT41+FU41+FV41)/4</f>
        <v>60.375</v>
      </c>
      <c r="FX41" s="9" t="n">
        <v>0</v>
      </c>
      <c r="FY41" s="9" t="n">
        <v>0</v>
      </c>
      <c r="FZ41" s="9" t="n">
        <v>0</v>
      </c>
      <c r="GA41" s="9" t="n">
        <v>0</v>
      </c>
      <c r="GB41" s="11" t="n">
        <f aca="false">(FX41+FY41+FZ41+GA41)/4</f>
        <v>0</v>
      </c>
      <c r="GC41" s="9" t="n">
        <v>1</v>
      </c>
      <c r="GD41" s="9" t="n">
        <v>1</v>
      </c>
      <c r="GE41" s="9" t="n">
        <v>0</v>
      </c>
      <c r="GF41" s="9" t="n">
        <v>1</v>
      </c>
      <c r="GG41" s="11" t="n">
        <f aca="false">(GC41+GD41+GE41+GF41)/4</f>
        <v>0.75</v>
      </c>
      <c r="GH41" s="9" t="n">
        <v>1</v>
      </c>
      <c r="GI41" s="9" t="n">
        <v>1</v>
      </c>
      <c r="GJ41" s="9" t="n">
        <v>1</v>
      </c>
      <c r="GK41" s="9" t="n">
        <v>1</v>
      </c>
      <c r="GL41" s="11" t="n">
        <f aca="false">(GH41+GI41+GJ41+GK41)/4</f>
        <v>1</v>
      </c>
      <c r="GM41" s="9" t="n">
        <v>102</v>
      </c>
      <c r="GN41" s="9" t="n">
        <v>110</v>
      </c>
      <c r="GO41" s="9" t="n">
        <v>92</v>
      </c>
      <c r="GP41" s="9" t="n">
        <v>111</v>
      </c>
      <c r="GQ41" s="11" t="n">
        <f aca="false">(GM41+GN41+GO41+GP41)/4</f>
        <v>103.75</v>
      </c>
      <c r="GR41" s="9" t="n">
        <v>18</v>
      </c>
      <c r="GS41" s="9" t="n">
        <v>10</v>
      </c>
      <c r="GT41" s="9" t="n">
        <v>9</v>
      </c>
      <c r="GU41" s="9" t="n">
        <v>18</v>
      </c>
      <c r="GV41" s="11" t="n">
        <f aca="false">(GR41+GS41+GT41+GU41)/4</f>
        <v>13.75</v>
      </c>
      <c r="GW41" s="9" t="n">
        <v>0</v>
      </c>
      <c r="GX41" s="9" t="n">
        <v>0</v>
      </c>
      <c r="GY41" s="9" t="n">
        <v>0</v>
      </c>
      <c r="GZ41" s="9" t="n">
        <v>0</v>
      </c>
      <c r="HA41" s="11" t="n">
        <f aca="false">(GW41+GX41+GY41+GZ41)/4</f>
        <v>0</v>
      </c>
      <c r="HB41" s="9" t="n">
        <f aca="false">(GW41/GR41)</f>
        <v>0</v>
      </c>
      <c r="HC41" s="9" t="n">
        <f aca="false">(GX41/GS41)</f>
        <v>0</v>
      </c>
      <c r="HD41" s="9" t="n">
        <f aca="false">(GY41/GT41)</f>
        <v>0</v>
      </c>
      <c r="HE41" s="9" t="n">
        <f aca="false">(GZ41/GU41)/4</f>
        <v>0</v>
      </c>
      <c r="HF41" s="9" t="n">
        <f aca="false">(HB41+HC41+HD41+HE41)/4</f>
        <v>0</v>
      </c>
      <c r="HG41" s="9" t="n">
        <f aca="false">(100*HF41)</f>
        <v>0</v>
      </c>
      <c r="HH41" s="18" t="n">
        <v>0</v>
      </c>
      <c r="HI41" s="9" t="n">
        <v>1</v>
      </c>
      <c r="HJ41" s="9" t="n">
        <v>2</v>
      </c>
      <c r="HK41" s="9" t="n">
        <v>0</v>
      </c>
      <c r="HL41" s="19" t="n">
        <v>1</v>
      </c>
      <c r="HM41" s="9" t="n">
        <f aca="false">(HI41+HJ41+HK41+HL41)/4</f>
        <v>1</v>
      </c>
      <c r="HN41" s="9" t="n">
        <f aca="false">(HI41/GR41)</f>
        <v>0.0555555555555556</v>
      </c>
      <c r="HO41" s="9" t="n">
        <f aca="false">(HJ41/GS41)</f>
        <v>0.2</v>
      </c>
      <c r="HP41" s="9" t="n">
        <f aca="false">(HK41/GT41)</f>
        <v>0</v>
      </c>
      <c r="HQ41" s="9" t="n">
        <f aca="false">(HL41/GU41)</f>
        <v>0.0555555555555556</v>
      </c>
      <c r="HR41" s="9" t="n">
        <f aca="false">(HM41/GV41)</f>
        <v>0.0727272727272727</v>
      </c>
      <c r="HS41" s="9" t="n">
        <f aca="false">(100*HR41)</f>
        <v>7.27272727272727</v>
      </c>
      <c r="HT41" s="18" t="n">
        <v>1</v>
      </c>
      <c r="HU41" s="9" t="n">
        <v>6</v>
      </c>
      <c r="HV41" s="9" t="n">
        <v>0</v>
      </c>
      <c r="HW41" s="9" t="n">
        <v>0</v>
      </c>
      <c r="HX41" s="19" t="n">
        <v>8</v>
      </c>
      <c r="HY41" s="9" t="n">
        <f aca="false">(HU41+HV41+HW41+HX41)/4</f>
        <v>3.5</v>
      </c>
      <c r="HZ41" s="9" t="n">
        <f aca="false">(HU41/GR41)</f>
        <v>0.333333333333333</v>
      </c>
      <c r="IA41" s="9" t="n">
        <f aca="false">HV41/GS41</f>
        <v>0</v>
      </c>
      <c r="IB41" s="9" t="n">
        <f aca="false">(HW41/GT41)</f>
        <v>0</v>
      </c>
      <c r="IC41" s="9" t="n">
        <f aca="false">(HX41/GU41)</f>
        <v>0.444444444444444</v>
      </c>
      <c r="ID41" s="9" t="n">
        <f aca="false">(HY41/GV41)</f>
        <v>0.254545454545455</v>
      </c>
      <c r="IE41" s="9" t="n">
        <f aca="false">(100*ID41)</f>
        <v>25.4545454545455</v>
      </c>
      <c r="IF41" s="18" t="n">
        <v>2</v>
      </c>
      <c r="IG41" s="9" t="n">
        <v>10</v>
      </c>
      <c r="IH41" s="9" t="n">
        <v>6</v>
      </c>
      <c r="II41" s="19" t="n">
        <v>6</v>
      </c>
      <c r="IJ41" s="9" t="n">
        <v>16</v>
      </c>
      <c r="IK41" s="9" t="n">
        <f aca="false">(IG41+IH41+II41+IJ41)/4</f>
        <v>9.5</v>
      </c>
      <c r="IL41" s="9" t="n">
        <f aca="false">(IG41/GM41)</f>
        <v>0.0980392156862745</v>
      </c>
      <c r="IM41" s="9" t="n">
        <f aca="false">(IH41/GN41)</f>
        <v>0.0545454545454545</v>
      </c>
      <c r="IN41" s="9" t="n">
        <f aca="false">(II41/GO41)</f>
        <v>0.0652173913043478</v>
      </c>
      <c r="IO41" s="9" t="n">
        <f aca="false">(IJ41/GP41)</f>
        <v>0.144144144144144</v>
      </c>
      <c r="IP41" s="9" t="n">
        <f aca="false">(IK41/GQ41)</f>
        <v>0.091566265060241</v>
      </c>
      <c r="IQ41" s="9" t="n">
        <f aca="false">(100*IP41)</f>
        <v>9.1566265060241</v>
      </c>
      <c r="IR41" s="18" t="n">
        <v>1</v>
      </c>
      <c r="IS41" s="9" t="n">
        <v>55.2</v>
      </c>
      <c r="IT41" s="9" t="n">
        <v>60</v>
      </c>
      <c r="IU41" s="19" t="n">
        <v>56.7</v>
      </c>
      <c r="IV41" s="9" t="n">
        <v>60.7</v>
      </c>
      <c r="IW41" s="9" t="n">
        <f aca="false">(IS41+IT41+IU41+IV41)/4</f>
        <v>58.15</v>
      </c>
      <c r="IX41" s="16" t="n">
        <v>45208</v>
      </c>
      <c r="IY41" s="10" t="s">
        <v>268</v>
      </c>
    </row>
    <row r="42" customFormat="false" ht="15.75" hidden="false" customHeight="true" outlineLevel="0" collapsed="false">
      <c r="A42" s="9" t="s">
        <v>343</v>
      </c>
      <c r="B42" s="10" t="s">
        <v>363</v>
      </c>
      <c r="C42" s="10" t="s">
        <v>261</v>
      </c>
      <c r="D42" s="9" t="n">
        <v>4</v>
      </c>
      <c r="E42" s="9" t="n">
        <v>14</v>
      </c>
      <c r="F42" s="10" t="s">
        <v>368</v>
      </c>
      <c r="G42" s="10" t="s">
        <v>320</v>
      </c>
      <c r="H42" s="9" t="n">
        <v>21</v>
      </c>
      <c r="I42" s="9" t="n">
        <v>10</v>
      </c>
      <c r="J42" s="12" t="s">
        <v>270</v>
      </c>
      <c r="K42" s="20"/>
      <c r="L42" s="20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 t="n">
        <v>1</v>
      </c>
      <c r="Y42" s="9" t="n">
        <v>1</v>
      </c>
      <c r="Z42" s="9" t="n">
        <v>1</v>
      </c>
      <c r="AA42" s="9" t="n">
        <v>0</v>
      </c>
      <c r="AB42" s="11" t="n">
        <f aca="false">(X42+Y42+Z42+AA42)/4</f>
        <v>0.75</v>
      </c>
      <c r="AC42" s="9" t="n">
        <v>0</v>
      </c>
      <c r="AD42" s="9" t="n">
        <v>1</v>
      </c>
      <c r="AE42" s="9" t="n">
        <v>1</v>
      </c>
      <c r="AF42" s="9" t="n">
        <v>1</v>
      </c>
      <c r="AG42" s="11" t="n">
        <f aca="false">(AC42+AD42+AE42+AF42)/4</f>
        <v>0.75</v>
      </c>
      <c r="AH42" s="9" t="n">
        <v>1</v>
      </c>
      <c r="AI42" s="9" t="n">
        <v>1</v>
      </c>
      <c r="AJ42" s="9" t="n">
        <v>1</v>
      </c>
      <c r="AK42" s="9" t="n">
        <v>0</v>
      </c>
      <c r="AL42" s="11" t="n">
        <f aca="false">(AH42+AI42+AJ42+AK42)/4</f>
        <v>0.75</v>
      </c>
      <c r="AM42" s="9" t="n">
        <v>30</v>
      </c>
      <c r="AN42" s="9" t="n">
        <v>45</v>
      </c>
      <c r="AO42" s="9" t="n">
        <v>16</v>
      </c>
      <c r="AP42" s="9" t="n">
        <v>4</v>
      </c>
      <c r="AQ42" s="11" t="n">
        <f aca="false">(AM42+AN42+AO42+AP42)/4</f>
        <v>23.75</v>
      </c>
      <c r="AR42" s="9" t="n">
        <v>11</v>
      </c>
      <c r="AS42" s="9" t="n">
        <v>14</v>
      </c>
      <c r="AT42" s="9" t="n">
        <v>17</v>
      </c>
      <c r="AU42" s="9" t="n">
        <v>29</v>
      </c>
      <c r="AV42" s="11" t="n">
        <f aca="false">(AR42+AS42+AT42+AU42)/4</f>
        <v>17.75</v>
      </c>
      <c r="AW42" s="9" t="n">
        <v>1</v>
      </c>
      <c r="AX42" s="9" t="n">
        <v>1</v>
      </c>
      <c r="AY42" s="9" t="n">
        <v>10</v>
      </c>
      <c r="AZ42" s="9" t="n">
        <v>0</v>
      </c>
      <c r="BA42" s="11" t="n">
        <f aca="false">(AW42+AX42+AY42+AZ42)/4</f>
        <v>3</v>
      </c>
      <c r="BB42" s="11" t="n">
        <f aca="false">(AW42/AR42)</f>
        <v>0.0909090909090909</v>
      </c>
      <c r="BC42" s="11" t="n">
        <f aca="false">(AX42/AS42)</f>
        <v>0.0714285714285714</v>
      </c>
      <c r="BD42" s="11" t="n">
        <f aca="false">(AY42/AT42)</f>
        <v>0.588235294117647</v>
      </c>
      <c r="BE42" s="11" t="n">
        <f aca="false">(AZ42/AU42)</f>
        <v>0</v>
      </c>
      <c r="BF42" s="11" t="n">
        <f aca="false">(BA42/AV42)</f>
        <v>0.169014084507042</v>
      </c>
      <c r="BG42" s="11" t="n">
        <f aca="false">(BF42*100)</f>
        <v>16.9014084507042</v>
      </c>
      <c r="BH42" s="9" t="n">
        <v>2</v>
      </c>
      <c r="BI42" s="9" t="n">
        <v>0</v>
      </c>
      <c r="BJ42" s="9" t="n">
        <v>4</v>
      </c>
      <c r="BK42" s="9" t="n">
        <v>3</v>
      </c>
      <c r="BL42" s="9" t="n">
        <v>4</v>
      </c>
      <c r="BM42" s="11" t="n">
        <f aca="false">(BI42+BJ42+BK42+BL42)/4</f>
        <v>2.75</v>
      </c>
      <c r="BN42" s="11" t="n">
        <f aca="false">(BI42/AR42)</f>
        <v>0</v>
      </c>
      <c r="BO42" s="11" t="n">
        <f aca="false">(BJ42/AS42)</f>
        <v>0.285714285714286</v>
      </c>
      <c r="BP42" s="11" t="n">
        <f aca="false">(BK42/AT42)</f>
        <v>0.176470588235294</v>
      </c>
      <c r="BQ42" s="11" t="n">
        <f aca="false">(BL42/AU42)</f>
        <v>0.137931034482759</v>
      </c>
      <c r="BR42" s="11" t="n">
        <f aca="false">(BM42/AV42)</f>
        <v>0.154929577464789</v>
      </c>
      <c r="BS42" s="11" t="n">
        <f aca="false">(100*BR42)</f>
        <v>15.4929577464789</v>
      </c>
      <c r="BT42" s="9" t="n">
        <v>2</v>
      </c>
      <c r="BU42" s="9" t="n">
        <v>0</v>
      </c>
      <c r="BV42" s="9" t="n">
        <v>2</v>
      </c>
      <c r="BW42" s="9" t="n">
        <v>0</v>
      </c>
      <c r="BX42" s="9" t="n">
        <v>0</v>
      </c>
      <c r="BY42" s="11" t="n">
        <f aca="false">(BU42+BV42+BW42+BX42)/4</f>
        <v>0.5</v>
      </c>
      <c r="BZ42" s="11" t="n">
        <f aca="false">(BU42/AR42)</f>
        <v>0</v>
      </c>
      <c r="CA42" s="11" t="n">
        <f aca="false">(BV42/AS42)</f>
        <v>0.142857142857143</v>
      </c>
      <c r="CB42" s="11" t="n">
        <f aca="false">(BW42/AT42)</f>
        <v>0</v>
      </c>
      <c r="CC42" s="11" t="n">
        <f aca="false">(BX42/AU42)</f>
        <v>0</v>
      </c>
      <c r="CD42" s="11" t="n">
        <f aca="false">(BY42/AV42)</f>
        <v>0.028169014084507</v>
      </c>
      <c r="CE42" s="11" t="n">
        <f aca="false">(100*CD42)</f>
        <v>2.8169014084507</v>
      </c>
      <c r="CF42" s="9" t="n">
        <v>1</v>
      </c>
      <c r="CG42" s="9" t="n">
        <v>1</v>
      </c>
      <c r="CH42" s="9" t="n">
        <v>0</v>
      </c>
      <c r="CI42" s="9" t="n">
        <v>6</v>
      </c>
      <c r="CJ42" s="9" t="n">
        <v>0</v>
      </c>
      <c r="CK42" s="11" t="n">
        <f aca="false">(CG42+CH42+CI42+CJ42)/4</f>
        <v>1.75</v>
      </c>
      <c r="CL42" s="11" t="n">
        <f aca="false">(CG42/AM42)</f>
        <v>0.0333333333333333</v>
      </c>
      <c r="CM42" s="11" t="n">
        <f aca="false">(CH42/AN42)</f>
        <v>0</v>
      </c>
      <c r="CN42" s="11" t="n">
        <f aca="false">(CI42/AO42)</f>
        <v>0.375</v>
      </c>
      <c r="CO42" s="9" t="n">
        <f aca="false">(CJ42/AP42)</f>
        <v>0</v>
      </c>
      <c r="CP42" s="9" t="n">
        <f aca="false">(CK42/AQ42)</f>
        <v>0.0736842105263158</v>
      </c>
      <c r="CQ42" s="9" t="n">
        <f aca="false">(100*CP42)</f>
        <v>7.36842105263158</v>
      </c>
      <c r="CR42" s="18" t="n">
        <v>1</v>
      </c>
      <c r="CS42" s="9" t="n">
        <v>51.3</v>
      </c>
      <c r="CT42" s="9" t="n">
        <v>65.1</v>
      </c>
      <c r="CU42" s="9" t="n">
        <v>57.5</v>
      </c>
      <c r="CV42" s="9" t="n">
        <v>52.8</v>
      </c>
      <c r="CW42" s="11" t="n">
        <f aca="false">(CS42+CT42+CU42+CV42)/4</f>
        <v>56.675</v>
      </c>
      <c r="CX42" s="9" t="n">
        <v>0</v>
      </c>
      <c r="CY42" s="9" t="n">
        <v>0</v>
      </c>
      <c r="CZ42" s="9" t="n">
        <v>0</v>
      </c>
      <c r="DA42" s="9" t="n">
        <v>0</v>
      </c>
      <c r="DB42" s="11" t="n">
        <f aca="false">(CX42+CY42+CZ42+DA42)/4</f>
        <v>0</v>
      </c>
      <c r="DC42" s="9" t="n">
        <v>1</v>
      </c>
      <c r="DD42" s="9" t="n">
        <v>1</v>
      </c>
      <c r="DE42" s="9" t="n">
        <v>0</v>
      </c>
      <c r="DF42" s="9" t="n">
        <v>1</v>
      </c>
      <c r="DG42" s="11" t="n">
        <f aca="false">(DC42+DD42+DE42+DF42)/4</f>
        <v>0.75</v>
      </c>
      <c r="DH42" s="9" t="n">
        <v>1</v>
      </c>
      <c r="DI42" s="9" t="n">
        <v>1</v>
      </c>
      <c r="DJ42" s="9" t="n">
        <v>0</v>
      </c>
      <c r="DK42" s="9" t="n">
        <v>1</v>
      </c>
      <c r="DL42" s="11" t="n">
        <f aca="false">(DH42+DI42+DJ42+DK42)/4</f>
        <v>0.75</v>
      </c>
      <c r="DM42" s="9" t="n">
        <v>15</v>
      </c>
      <c r="DN42" s="9" t="n">
        <v>53</v>
      </c>
      <c r="DO42" s="9" t="n">
        <v>75</v>
      </c>
      <c r="DP42" s="9" t="n">
        <v>75</v>
      </c>
      <c r="DQ42" s="11" t="n">
        <f aca="false">(DM42+DN42+DO42+DP42)/4</f>
        <v>54.5</v>
      </c>
      <c r="DR42" s="9" t="n">
        <v>12</v>
      </c>
      <c r="DS42" s="9" t="n">
        <v>19</v>
      </c>
      <c r="DT42" s="9" t="n">
        <v>15</v>
      </c>
      <c r="DU42" s="9" t="n">
        <v>15</v>
      </c>
      <c r="DV42" s="11" t="n">
        <f aca="false">(DR42+DS42+DT42+DU42)/4</f>
        <v>15.25</v>
      </c>
      <c r="DW42" s="9" t="n">
        <v>0</v>
      </c>
      <c r="DX42" s="9" t="n">
        <v>0</v>
      </c>
      <c r="DY42" s="9" t="n">
        <v>0</v>
      </c>
      <c r="DZ42" s="9" t="n">
        <v>0</v>
      </c>
      <c r="EA42" s="11" t="n">
        <f aca="false">(DW42+DX42+DY42+DZ42)/4</f>
        <v>0</v>
      </c>
      <c r="EB42" s="11" t="n">
        <f aca="false">(DW42/DR42)</f>
        <v>0</v>
      </c>
      <c r="EC42" s="11" t="n">
        <f aca="false">(DX42/DS42)</f>
        <v>0</v>
      </c>
      <c r="ED42" s="11" t="n">
        <f aca="false">(DY42/DT42)</f>
        <v>0</v>
      </c>
      <c r="EE42" s="11" t="n">
        <f aca="false">(DZ42/DU42)</f>
        <v>0</v>
      </c>
      <c r="EF42" s="11" t="n">
        <f aca="false">(EA42/DV42)</f>
        <v>0</v>
      </c>
      <c r="EG42" s="11" t="n">
        <f aca="false">(100*EF42)</f>
        <v>0</v>
      </c>
      <c r="EH42" s="9" t="n">
        <v>0</v>
      </c>
      <c r="EI42" s="9" t="n">
        <v>4</v>
      </c>
      <c r="EJ42" s="9" t="n">
        <v>2</v>
      </c>
      <c r="EK42" s="19" t="n">
        <v>0</v>
      </c>
      <c r="EL42" s="9" t="n">
        <v>2</v>
      </c>
      <c r="EM42" s="9" t="n">
        <f aca="false">(EI42+EJ42+EK42+EL42)/4</f>
        <v>2</v>
      </c>
      <c r="EN42" s="9" t="n">
        <f aca="false">(EI42/DR42)</f>
        <v>0.333333333333333</v>
      </c>
      <c r="EO42" s="9" t="n">
        <f aca="false">(EJ42/DS42)</f>
        <v>0.105263157894737</v>
      </c>
      <c r="EP42" s="9" t="n">
        <f aca="false">(EK42/DT42)</f>
        <v>0</v>
      </c>
      <c r="EQ42" s="9" t="n">
        <f aca="false">(EL42/DU42)</f>
        <v>0.133333333333333</v>
      </c>
      <c r="ER42" s="9" t="n">
        <f aca="false">EM42/DV42</f>
        <v>0.131147540983607</v>
      </c>
      <c r="ES42" s="9" t="n">
        <f aca="false">(100*ER42)</f>
        <v>13.1147540983607</v>
      </c>
      <c r="ET42" s="9" t="n">
        <v>2</v>
      </c>
      <c r="EU42" s="18" t="n">
        <v>4</v>
      </c>
      <c r="EV42" s="9" t="n">
        <v>0</v>
      </c>
      <c r="EW42" s="9" t="n">
        <v>0</v>
      </c>
      <c r="EX42" s="9" t="n">
        <v>3</v>
      </c>
      <c r="EY42" s="11" t="n">
        <f aca="false">(EU42+EV42+EW42+EX42)/4</f>
        <v>1.75</v>
      </c>
      <c r="EZ42" s="11" t="n">
        <f aca="false">(EU42/DR42)</f>
        <v>0.333333333333333</v>
      </c>
      <c r="FA42" s="11" t="n">
        <f aca="false">(EV42/DS42)</f>
        <v>0</v>
      </c>
      <c r="FB42" s="11" t="n">
        <f aca="false">(EW42/DT42)</f>
        <v>0</v>
      </c>
      <c r="FC42" s="11" t="n">
        <f aca="false">(EX42/DU42)</f>
        <v>0.2</v>
      </c>
      <c r="FD42" s="11" t="n">
        <f aca="false">(EY42/DV42)</f>
        <v>0.114754098360656</v>
      </c>
      <c r="FE42" s="11" t="n">
        <f aca="false">(100*FD42)</f>
        <v>11.4754098360656</v>
      </c>
      <c r="FF42" s="9" t="n">
        <v>2</v>
      </c>
      <c r="FG42" s="9" t="n">
        <v>14</v>
      </c>
      <c r="FH42" s="9" t="n">
        <v>2</v>
      </c>
      <c r="FI42" s="9" t="n">
        <v>0</v>
      </c>
      <c r="FJ42" s="9" t="n">
        <v>3</v>
      </c>
      <c r="FK42" s="11" t="n">
        <f aca="false">(FG42+FH42+FI42+FJ42)/4</f>
        <v>4.75</v>
      </c>
      <c r="FL42" s="11" t="n">
        <f aca="false">(FG42/DR42)</f>
        <v>1.16666666666667</v>
      </c>
      <c r="FM42" s="11" t="n">
        <f aca="false">(FH42/DS42)</f>
        <v>0.105263157894737</v>
      </c>
      <c r="FN42" s="11" t="n">
        <f aca="false">(FI42/DT42)</f>
        <v>0</v>
      </c>
      <c r="FO42" s="11" t="n">
        <f aca="false">(FJ42/DU42)</f>
        <v>0.2</v>
      </c>
      <c r="FP42" s="11" t="n">
        <f aca="false">(FK42/DV42)</f>
        <v>0.311475409836066</v>
      </c>
      <c r="FQ42" s="11" t="n">
        <f aca="false">(100*FP42)</f>
        <v>31.1475409836066</v>
      </c>
      <c r="FR42" s="9" t="n">
        <v>3</v>
      </c>
      <c r="FS42" s="9" t="n">
        <v>58.9</v>
      </c>
      <c r="FT42" s="9" t="n">
        <v>52.9</v>
      </c>
      <c r="FU42" s="9" t="n">
        <v>50.2</v>
      </c>
      <c r="FV42" s="9" t="n">
        <v>54.8</v>
      </c>
      <c r="FW42" s="11" t="n">
        <f aca="false">(FS42+FT42+FU42+FV42)/4</f>
        <v>54.2</v>
      </c>
      <c r="FX42" s="9" t="n">
        <v>0</v>
      </c>
      <c r="FY42" s="9" t="n">
        <v>0</v>
      </c>
      <c r="FZ42" s="9" t="n">
        <v>0</v>
      </c>
      <c r="GA42" s="9" t="n">
        <v>0</v>
      </c>
      <c r="GB42" s="11" t="n">
        <f aca="false">(FX42+FY42+FZ42+GA42)/4</f>
        <v>0</v>
      </c>
      <c r="GC42" s="9" t="n">
        <v>0</v>
      </c>
      <c r="GD42" s="9" t="n">
        <v>0</v>
      </c>
      <c r="GE42" s="9" t="n">
        <v>1</v>
      </c>
      <c r="GF42" s="9" t="n">
        <v>1</v>
      </c>
      <c r="GG42" s="11" t="n">
        <f aca="false">(GC42+GD42+GE42+GF42)/4</f>
        <v>0.5</v>
      </c>
      <c r="GH42" s="9" t="n">
        <v>1</v>
      </c>
      <c r="GI42" s="9" t="n">
        <v>1</v>
      </c>
      <c r="GJ42" s="9" t="n">
        <v>1</v>
      </c>
      <c r="GK42" s="9" t="n">
        <v>1</v>
      </c>
      <c r="GL42" s="11" t="n">
        <f aca="false">(GH42+GI42+GJ42+GK42)/4</f>
        <v>1</v>
      </c>
      <c r="GM42" s="9" t="n">
        <v>27</v>
      </c>
      <c r="GN42" s="9" t="n">
        <v>16</v>
      </c>
      <c r="GO42" s="9" t="n">
        <v>65</v>
      </c>
      <c r="GP42" s="9" t="n">
        <v>22</v>
      </c>
      <c r="GQ42" s="11" t="n">
        <f aca="false">(GM42+GN42+GO42+GP42)/4</f>
        <v>32.5</v>
      </c>
      <c r="GR42" s="9" t="n">
        <v>13</v>
      </c>
      <c r="GS42" s="9" t="n">
        <v>13</v>
      </c>
      <c r="GT42" s="9" t="n">
        <v>19</v>
      </c>
      <c r="GU42" s="9" t="n">
        <v>15</v>
      </c>
      <c r="GV42" s="11" t="n">
        <f aca="false">(GR42+GS42+GT42+GU42)/4</f>
        <v>15</v>
      </c>
      <c r="GW42" s="9" t="n">
        <v>0</v>
      </c>
      <c r="GX42" s="9" t="n">
        <v>0</v>
      </c>
      <c r="GY42" s="9" t="n">
        <v>0</v>
      </c>
      <c r="GZ42" s="9" t="n">
        <v>0</v>
      </c>
      <c r="HA42" s="11" t="n">
        <f aca="false">(GW42+GX42+GY42+GZ42)/4</f>
        <v>0</v>
      </c>
      <c r="HB42" s="9" t="n">
        <f aca="false">(GW42/GR42)</f>
        <v>0</v>
      </c>
      <c r="HC42" s="9" t="n">
        <f aca="false">(GX42/GS42)</f>
        <v>0</v>
      </c>
      <c r="HD42" s="9" t="n">
        <f aca="false">(GY42/GT42)</f>
        <v>0</v>
      </c>
      <c r="HE42" s="9" t="n">
        <f aca="false">(GZ42/GU42)/4</f>
        <v>0</v>
      </c>
      <c r="HF42" s="9" t="n">
        <f aca="false">(HB42+HC42+HD42+HE42)/4</f>
        <v>0</v>
      </c>
      <c r="HG42" s="9" t="n">
        <f aca="false">(100*HF42)</f>
        <v>0</v>
      </c>
      <c r="HH42" s="18" t="n">
        <v>0</v>
      </c>
      <c r="HI42" s="9" t="n">
        <v>0</v>
      </c>
      <c r="HJ42" s="9" t="n">
        <v>0</v>
      </c>
      <c r="HK42" s="9" t="n">
        <v>1</v>
      </c>
      <c r="HL42" s="19" t="n">
        <v>1</v>
      </c>
      <c r="HM42" s="9" t="n">
        <f aca="false">(HI42+HJ42+HK42+HL42)/4</f>
        <v>0.5</v>
      </c>
      <c r="HN42" s="9" t="n">
        <f aca="false">(HI42/GR42)</f>
        <v>0</v>
      </c>
      <c r="HO42" s="9" t="n">
        <f aca="false">(HJ42/GS42)</f>
        <v>0</v>
      </c>
      <c r="HP42" s="9" t="n">
        <f aca="false">(HK42/GT42)</f>
        <v>0.0526315789473684</v>
      </c>
      <c r="HQ42" s="9" t="n">
        <f aca="false">(HL42/GU42)</f>
        <v>0.0666666666666667</v>
      </c>
      <c r="HR42" s="9" t="n">
        <f aca="false">(HM42/GV42)</f>
        <v>0.0333333333333333</v>
      </c>
      <c r="HS42" s="9" t="n">
        <f aca="false">(100*HR42)</f>
        <v>3.33333333333333</v>
      </c>
      <c r="HT42" s="18" t="n">
        <v>1</v>
      </c>
      <c r="HU42" s="9" t="n">
        <v>8</v>
      </c>
      <c r="HV42" s="9" t="n">
        <v>6</v>
      </c>
      <c r="HW42" s="9" t="n">
        <v>0</v>
      </c>
      <c r="HX42" s="19" t="n">
        <v>0</v>
      </c>
      <c r="HY42" s="9" t="n">
        <f aca="false">(HU42+HV42+HW42+HX42)/4</f>
        <v>3.5</v>
      </c>
      <c r="HZ42" s="9" t="n">
        <f aca="false">(HU42/GR42)</f>
        <v>0.615384615384615</v>
      </c>
      <c r="IA42" s="9" t="n">
        <f aca="false">HV42/GS42</f>
        <v>0.461538461538462</v>
      </c>
      <c r="IB42" s="9" t="n">
        <f aca="false">(HW42/GT42)</f>
        <v>0</v>
      </c>
      <c r="IC42" s="9" t="n">
        <f aca="false">(HX42/GU42)</f>
        <v>0</v>
      </c>
      <c r="ID42" s="9" t="n">
        <f aca="false">(HY42/GV42)</f>
        <v>0.233333333333333</v>
      </c>
      <c r="IE42" s="9" t="n">
        <f aca="false">(100*ID42)</f>
        <v>23.3333333333333</v>
      </c>
      <c r="IF42" s="18" t="n">
        <v>2</v>
      </c>
      <c r="IG42" s="9" t="n">
        <v>1</v>
      </c>
      <c r="IH42" s="9" t="n">
        <v>0</v>
      </c>
      <c r="II42" s="19" t="n">
        <v>6</v>
      </c>
      <c r="IJ42" s="9" t="n">
        <v>1</v>
      </c>
      <c r="IK42" s="9" t="n">
        <f aca="false">(IG42+IH42+II42+IJ42)/4</f>
        <v>2</v>
      </c>
      <c r="IL42" s="9" t="n">
        <f aca="false">(IG42/GM42)</f>
        <v>0.037037037037037</v>
      </c>
      <c r="IM42" s="9" t="n">
        <f aca="false">(IH42/GN42)</f>
        <v>0</v>
      </c>
      <c r="IN42" s="9" t="n">
        <f aca="false">(II42/GO42)</f>
        <v>0.0923076923076923</v>
      </c>
      <c r="IO42" s="9" t="n">
        <f aca="false">(IJ42/GP42)</f>
        <v>0.0454545454545455</v>
      </c>
      <c r="IP42" s="9" t="n">
        <f aca="false">(IK42/GQ42)</f>
        <v>0.0615384615384615</v>
      </c>
      <c r="IQ42" s="9" t="n">
        <f aca="false">(100*IP42)</f>
        <v>6.15384615384615</v>
      </c>
      <c r="IR42" s="18" t="n">
        <v>1</v>
      </c>
      <c r="IS42" s="9" t="n">
        <v>70.9</v>
      </c>
      <c r="IT42" s="9" t="n">
        <v>55.2</v>
      </c>
      <c r="IU42" s="19" t="n">
        <v>56.3</v>
      </c>
      <c r="IV42" s="9" t="n">
        <v>61.5</v>
      </c>
      <c r="IW42" s="9" t="n">
        <f aca="false">(IS42+IT42+IU42+IV42)/4</f>
        <v>60.975</v>
      </c>
      <c r="IX42" s="16" t="n">
        <v>45208</v>
      </c>
      <c r="IY42" s="10" t="s">
        <v>268</v>
      </c>
    </row>
    <row r="43" customFormat="false" ht="15.75" hidden="false" customHeight="true" outlineLevel="0" collapsed="false">
      <c r="A43" s="9" t="s">
        <v>343</v>
      </c>
      <c r="B43" s="10" t="s">
        <v>363</v>
      </c>
      <c r="C43" s="10" t="s">
        <v>261</v>
      </c>
      <c r="D43" s="9" t="n">
        <v>4</v>
      </c>
      <c r="E43" s="9" t="n">
        <v>14</v>
      </c>
      <c r="F43" s="10" t="s">
        <v>369</v>
      </c>
      <c r="G43" s="10" t="s">
        <v>291</v>
      </c>
      <c r="H43" s="9" t="n">
        <v>21</v>
      </c>
      <c r="I43" s="9" t="n">
        <v>20</v>
      </c>
      <c r="J43" s="10" t="s">
        <v>272</v>
      </c>
      <c r="K43" s="20"/>
      <c r="L43" s="20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 t="n">
        <v>0</v>
      </c>
      <c r="Y43" s="9" t="n">
        <v>0</v>
      </c>
      <c r="Z43" s="9" t="n">
        <v>0</v>
      </c>
      <c r="AA43" s="9" t="n">
        <v>0</v>
      </c>
      <c r="AB43" s="11" t="n">
        <f aca="false">(X43+Y43+Z43+AA43)/4</f>
        <v>0</v>
      </c>
      <c r="AC43" s="9" t="n">
        <v>1</v>
      </c>
      <c r="AD43" s="9" t="n">
        <v>1</v>
      </c>
      <c r="AE43" s="9" t="n">
        <v>1</v>
      </c>
      <c r="AF43" s="9" t="n">
        <v>1</v>
      </c>
      <c r="AG43" s="11" t="n">
        <f aca="false">(AC43+AD43+AE43+AF43)/4</f>
        <v>1</v>
      </c>
      <c r="AH43" s="9" t="n">
        <v>1</v>
      </c>
      <c r="AI43" s="9" t="n">
        <v>0</v>
      </c>
      <c r="AJ43" s="9" t="n">
        <v>1</v>
      </c>
      <c r="AK43" s="9" t="n">
        <v>1</v>
      </c>
      <c r="AL43" s="11" t="n">
        <f aca="false">(AH43+AI43+AJ43+AK43)/4</f>
        <v>0.75</v>
      </c>
      <c r="AM43" s="9" t="n">
        <v>18</v>
      </c>
      <c r="AN43" s="9" t="n">
        <v>10</v>
      </c>
      <c r="AO43" s="9" t="n">
        <v>21</v>
      </c>
      <c r="AP43" s="9" t="n">
        <v>27</v>
      </c>
      <c r="AQ43" s="11" t="n">
        <f aca="false">(AM43+AN43+AO43+AP43)/4</f>
        <v>19</v>
      </c>
      <c r="AR43" s="9" t="n">
        <v>15</v>
      </c>
      <c r="AS43" s="9" t="n">
        <v>33</v>
      </c>
      <c r="AT43" s="9" t="n">
        <v>7</v>
      </c>
      <c r="AU43" s="9" t="n">
        <v>31</v>
      </c>
      <c r="AV43" s="11" t="n">
        <f aca="false">(AR43+AS43+AT43+AU43)/4</f>
        <v>21.5</v>
      </c>
      <c r="AW43" s="9" t="n">
        <v>0</v>
      </c>
      <c r="AX43" s="9" t="n">
        <v>0</v>
      </c>
      <c r="AY43" s="9" t="n">
        <v>0</v>
      </c>
      <c r="AZ43" s="9" t="n">
        <v>0</v>
      </c>
      <c r="BA43" s="11" t="n">
        <f aca="false">(AW43+AX43+AY43+AZ43)/4</f>
        <v>0</v>
      </c>
      <c r="BB43" s="11" t="n">
        <f aca="false">(AW43/AR43)</f>
        <v>0</v>
      </c>
      <c r="BC43" s="11" t="n">
        <f aca="false">(AX43/AS43)</f>
        <v>0</v>
      </c>
      <c r="BD43" s="11" t="n">
        <f aca="false">(AY43/AT43)</f>
        <v>0</v>
      </c>
      <c r="BE43" s="11" t="n">
        <f aca="false">(AZ43/AU43)</f>
        <v>0</v>
      </c>
      <c r="BF43" s="11" t="n">
        <f aca="false">(BA43/AV43)</f>
        <v>0</v>
      </c>
      <c r="BG43" s="11" t="n">
        <f aca="false">(BF43*100)</f>
        <v>0</v>
      </c>
      <c r="BH43" s="9" t="n">
        <v>0</v>
      </c>
      <c r="BI43" s="9" t="n">
        <v>2</v>
      </c>
      <c r="BJ43" s="9" t="n">
        <v>20</v>
      </c>
      <c r="BK43" s="9" t="n">
        <v>1</v>
      </c>
      <c r="BL43" s="9" t="n">
        <v>8</v>
      </c>
      <c r="BM43" s="11" t="n">
        <f aca="false">(BI43+BJ43+BK43+BL43)/4</f>
        <v>7.75</v>
      </c>
      <c r="BN43" s="11" t="n">
        <f aca="false">(BI43/AR43)</f>
        <v>0.133333333333333</v>
      </c>
      <c r="BO43" s="11" t="n">
        <f aca="false">(BJ43/AS43)</f>
        <v>0.606060606060606</v>
      </c>
      <c r="BP43" s="11" t="n">
        <f aca="false">(BK43/AT43)</f>
        <v>0.142857142857143</v>
      </c>
      <c r="BQ43" s="11" t="n">
        <f aca="false">(BL43/AU43)</f>
        <v>0.258064516129032</v>
      </c>
      <c r="BR43" s="11" t="n">
        <f aca="false">(BM43/AV43)</f>
        <v>0.36046511627907</v>
      </c>
      <c r="BS43" s="11" t="n">
        <f aca="false">(100*BR43)</f>
        <v>36.046511627907</v>
      </c>
      <c r="BT43" s="9" t="n">
        <v>3</v>
      </c>
      <c r="BU43" s="9" t="n">
        <v>0</v>
      </c>
      <c r="BV43" s="9" t="n">
        <v>0</v>
      </c>
      <c r="BW43" s="9" t="n">
        <v>0</v>
      </c>
      <c r="BX43" s="9" t="n">
        <v>0</v>
      </c>
      <c r="BY43" s="11" t="n">
        <f aca="false">(BU43+BV43+BW43+BX43)/4</f>
        <v>0</v>
      </c>
      <c r="BZ43" s="11" t="n">
        <f aca="false">(BU43/AR43)</f>
        <v>0</v>
      </c>
      <c r="CA43" s="11" t="n">
        <f aca="false">(BV43/AS43)</f>
        <v>0</v>
      </c>
      <c r="CB43" s="11" t="n">
        <f aca="false">(BW43/AT43)</f>
        <v>0</v>
      </c>
      <c r="CC43" s="11" t="n">
        <f aca="false">(BX43/AU43)</f>
        <v>0</v>
      </c>
      <c r="CD43" s="11" t="n">
        <f aca="false">(BY43/AV43)</f>
        <v>0</v>
      </c>
      <c r="CE43" s="11" t="n">
        <f aca="false">(100*CD43)</f>
        <v>0</v>
      </c>
      <c r="CF43" s="9" t="n">
        <v>0</v>
      </c>
      <c r="CG43" s="9" t="n">
        <v>9</v>
      </c>
      <c r="CH43" s="9" t="n">
        <v>0</v>
      </c>
      <c r="CI43" s="9" t="n">
        <v>2</v>
      </c>
      <c r="CJ43" s="9" t="n">
        <v>3</v>
      </c>
      <c r="CK43" s="11" t="n">
        <f aca="false">(CG43+CH43+CI43+CJ43)/4</f>
        <v>3.5</v>
      </c>
      <c r="CL43" s="11" t="n">
        <f aca="false">(CG43/AM43)</f>
        <v>0.5</v>
      </c>
      <c r="CM43" s="11" t="n">
        <f aca="false">(CH43/AN43)</f>
        <v>0</v>
      </c>
      <c r="CN43" s="11" t="n">
        <f aca="false">(CI43/AO43)</f>
        <v>0.0952380952380952</v>
      </c>
      <c r="CO43" s="9" t="n">
        <f aca="false">(CJ43/AP43)</f>
        <v>0.111111111111111</v>
      </c>
      <c r="CP43" s="9" t="n">
        <f aca="false">(CK43/AQ43)</f>
        <v>0.184210526315789</v>
      </c>
      <c r="CQ43" s="9" t="n">
        <f aca="false">(100*CP43)</f>
        <v>18.4210526315789</v>
      </c>
      <c r="CR43" s="18" t="n">
        <v>2</v>
      </c>
      <c r="CS43" s="9" t="n">
        <v>62</v>
      </c>
      <c r="CT43" s="9" t="n">
        <v>60.5</v>
      </c>
      <c r="CU43" s="9" t="n">
        <v>72.8</v>
      </c>
      <c r="CV43" s="9" t="n">
        <v>65.9</v>
      </c>
      <c r="CW43" s="11" t="n">
        <f aca="false">(CS43+CT43+CU43+CV43)/4</f>
        <v>65.3</v>
      </c>
      <c r="CX43" s="9" t="n">
        <v>0</v>
      </c>
      <c r="CY43" s="9" t="n">
        <v>0</v>
      </c>
      <c r="CZ43" s="9" t="n">
        <v>0</v>
      </c>
      <c r="DA43" s="9" t="n">
        <v>0</v>
      </c>
      <c r="DB43" s="11" t="n">
        <f aca="false">(CX43+CY43+CZ43+DA43)/4</f>
        <v>0</v>
      </c>
      <c r="DC43" s="9" t="n">
        <v>1</v>
      </c>
      <c r="DD43" s="9" t="n">
        <v>1</v>
      </c>
      <c r="DE43" s="9" t="n">
        <v>1</v>
      </c>
      <c r="DF43" s="9" t="n">
        <v>1</v>
      </c>
      <c r="DG43" s="11" t="n">
        <f aca="false">(DC43+DD43+DE43+DF43)/4</f>
        <v>1</v>
      </c>
      <c r="DH43" s="9" t="n">
        <v>1</v>
      </c>
      <c r="DI43" s="9" t="n">
        <v>1</v>
      </c>
      <c r="DJ43" s="9" t="n">
        <v>1</v>
      </c>
      <c r="DK43" s="9" t="n">
        <v>1</v>
      </c>
      <c r="DL43" s="11" t="n">
        <f aca="false">(DH43+DI43+DJ43+DK43)/4</f>
        <v>1</v>
      </c>
      <c r="DM43" s="9" t="n">
        <v>92</v>
      </c>
      <c r="DN43" s="9" t="n">
        <v>105</v>
      </c>
      <c r="DO43" s="9" t="n">
        <v>78</v>
      </c>
      <c r="DP43" s="9" t="n">
        <v>91</v>
      </c>
      <c r="DQ43" s="11" t="n">
        <f aca="false">(DM43+DN43+DO43+DP43)/4</f>
        <v>91.5</v>
      </c>
      <c r="DR43" s="9" t="n">
        <v>26</v>
      </c>
      <c r="DS43" s="9" t="n">
        <v>25</v>
      </c>
      <c r="DT43" s="9" t="n">
        <v>6</v>
      </c>
      <c r="DU43" s="9" t="n">
        <v>10</v>
      </c>
      <c r="DV43" s="11" t="n">
        <f aca="false">(DR43+DS43+DT43+DU43)/4</f>
        <v>16.75</v>
      </c>
      <c r="DW43" s="9" t="n">
        <v>0</v>
      </c>
      <c r="DX43" s="9" t="n">
        <v>0</v>
      </c>
      <c r="DY43" s="9" t="n">
        <v>0</v>
      </c>
      <c r="DZ43" s="9" t="n">
        <v>0</v>
      </c>
      <c r="EA43" s="11" t="n">
        <f aca="false">(DW43+DX43+DY43+DZ43)/4</f>
        <v>0</v>
      </c>
      <c r="EB43" s="11" t="n">
        <f aca="false">(DW43/DR43)</f>
        <v>0</v>
      </c>
      <c r="EC43" s="11" t="n">
        <f aca="false">(DX43/DS43)</f>
        <v>0</v>
      </c>
      <c r="ED43" s="11" t="n">
        <f aca="false">(DY43/DT43)</f>
        <v>0</v>
      </c>
      <c r="EE43" s="11" t="n">
        <f aca="false">(DZ43/DU43)</f>
        <v>0</v>
      </c>
      <c r="EF43" s="11" t="n">
        <f aca="false">(EA43/DV43)</f>
        <v>0</v>
      </c>
      <c r="EG43" s="11" t="n">
        <f aca="false">(100*EF43)</f>
        <v>0</v>
      </c>
      <c r="EH43" s="9" t="n">
        <v>0</v>
      </c>
      <c r="EI43" s="9" t="n">
        <v>4</v>
      </c>
      <c r="EJ43" s="9" t="n">
        <v>10</v>
      </c>
      <c r="EK43" s="19" t="n">
        <v>5</v>
      </c>
      <c r="EL43" s="9" t="n">
        <v>2</v>
      </c>
      <c r="EM43" s="9" t="n">
        <f aca="false">(EI43+EJ43+EK43+EL43)/4</f>
        <v>5.25</v>
      </c>
      <c r="EN43" s="9" t="n">
        <f aca="false">(EI43/DR43)</f>
        <v>0.153846153846154</v>
      </c>
      <c r="EO43" s="9" t="n">
        <f aca="false">(EJ43/DS43)</f>
        <v>0.4</v>
      </c>
      <c r="EP43" s="9" t="n">
        <f aca="false">(EK43/DT43)</f>
        <v>0.833333333333333</v>
      </c>
      <c r="EQ43" s="9" t="n">
        <f aca="false">(EL43/DU43)</f>
        <v>0.2</v>
      </c>
      <c r="ER43" s="9" t="n">
        <f aca="false">EM43/DV43</f>
        <v>0.313432835820896</v>
      </c>
      <c r="ES43" s="9" t="n">
        <f aca="false">(100*ER43)</f>
        <v>31.3432835820896</v>
      </c>
      <c r="ET43" s="9" t="n">
        <v>3</v>
      </c>
      <c r="EU43" s="18" t="n">
        <v>0</v>
      </c>
      <c r="EV43" s="9" t="n">
        <v>0</v>
      </c>
      <c r="EW43" s="9" t="n">
        <v>0</v>
      </c>
      <c r="EX43" s="9" t="n">
        <v>0</v>
      </c>
      <c r="EY43" s="11" t="n">
        <f aca="false">(EU43+EV43+EW43+EX43)/4</f>
        <v>0</v>
      </c>
      <c r="EZ43" s="11" t="n">
        <f aca="false">(EU43/DR43)</f>
        <v>0</v>
      </c>
      <c r="FA43" s="11" t="n">
        <f aca="false">(EV43/DS43)</f>
        <v>0</v>
      </c>
      <c r="FB43" s="11" t="n">
        <f aca="false">(EW43/DT43)</f>
        <v>0</v>
      </c>
      <c r="FC43" s="11" t="n">
        <f aca="false">(EX43/DU43)</f>
        <v>0</v>
      </c>
      <c r="FD43" s="11" t="n">
        <f aca="false">(EY43/DV43)</f>
        <v>0</v>
      </c>
      <c r="FE43" s="11" t="n">
        <f aca="false">(100*FD43)</f>
        <v>0</v>
      </c>
      <c r="FF43" s="9" t="n">
        <v>0</v>
      </c>
      <c r="FG43" s="9" t="n">
        <v>40</v>
      </c>
      <c r="FH43" s="9" t="n">
        <v>28</v>
      </c>
      <c r="FI43" s="9" t="n">
        <v>37</v>
      </c>
      <c r="FJ43" s="9" t="n">
        <v>30</v>
      </c>
      <c r="FK43" s="11" t="n">
        <f aca="false">(FG43+FH43+FI43+FJ43)/4</f>
        <v>33.75</v>
      </c>
      <c r="FL43" s="11" t="n">
        <f aca="false">(FG43/DR43)</f>
        <v>1.53846153846154</v>
      </c>
      <c r="FM43" s="11" t="n">
        <f aca="false">(FH43/DS43)</f>
        <v>1.12</v>
      </c>
      <c r="FN43" s="11" t="n">
        <f aca="false">(FI43/DT43)</f>
        <v>6.16666666666667</v>
      </c>
      <c r="FO43" s="11" t="n">
        <f aca="false">(FJ43/DU43)</f>
        <v>3</v>
      </c>
      <c r="FP43" s="11" t="n">
        <f aca="false">(FK43/DV43)</f>
        <v>2.01492537313433</v>
      </c>
      <c r="FQ43" s="11" t="n">
        <f aca="false">(100*FP43)</f>
        <v>201.492537313433</v>
      </c>
      <c r="FR43" s="9" t="n">
        <v>3</v>
      </c>
      <c r="FS43" s="9" t="n">
        <v>74.6</v>
      </c>
      <c r="FT43" s="9" t="n">
        <v>62.5</v>
      </c>
      <c r="FU43" s="9" t="n">
        <v>56.2</v>
      </c>
      <c r="FV43" s="9" t="n">
        <v>60.7</v>
      </c>
      <c r="FW43" s="11" t="n">
        <f aca="false">(FS43+FT43+FU43+FV43)/4</f>
        <v>63.5</v>
      </c>
      <c r="FX43" s="9" t="n">
        <v>0</v>
      </c>
      <c r="FY43" s="9" t="n">
        <v>0</v>
      </c>
      <c r="FZ43" s="9" t="n">
        <v>0</v>
      </c>
      <c r="GA43" s="9" t="n">
        <v>0</v>
      </c>
      <c r="GB43" s="11" t="n">
        <f aca="false">(FX43+FY43+FZ43+GA43)/4</f>
        <v>0</v>
      </c>
      <c r="GC43" s="9" t="n">
        <v>0</v>
      </c>
      <c r="GD43" s="9" t="n">
        <v>1</v>
      </c>
      <c r="GE43" s="9" t="n">
        <v>1</v>
      </c>
      <c r="GF43" s="9" t="n">
        <v>1</v>
      </c>
      <c r="GG43" s="11" t="n">
        <f aca="false">(GC43+GD43+GE43+GF43)/4</f>
        <v>0.75</v>
      </c>
      <c r="GH43" s="9" t="n">
        <v>1</v>
      </c>
      <c r="GI43" s="9" t="n">
        <v>1</v>
      </c>
      <c r="GJ43" s="9" t="n">
        <v>1</v>
      </c>
      <c r="GK43" s="9" t="n">
        <v>1</v>
      </c>
      <c r="GL43" s="11" t="n">
        <f aca="false">(GH43+GI43+GJ43+GK43)/4</f>
        <v>1</v>
      </c>
      <c r="GM43" s="9" t="n">
        <v>42</v>
      </c>
      <c r="GN43" s="9" t="n">
        <v>111</v>
      </c>
      <c r="GO43" s="9" t="n">
        <v>67</v>
      </c>
      <c r="GP43" s="9" t="n">
        <v>62</v>
      </c>
      <c r="GQ43" s="11" t="n">
        <f aca="false">(GM43+GN43+GO43+GP43)/4</f>
        <v>70.5</v>
      </c>
      <c r="GR43" s="9" t="n">
        <v>14</v>
      </c>
      <c r="GS43" s="9" t="n">
        <v>9</v>
      </c>
      <c r="GT43" s="9" t="n">
        <v>9</v>
      </c>
      <c r="GU43" s="9" t="n">
        <v>14</v>
      </c>
      <c r="GV43" s="11" t="n">
        <f aca="false">(GR43+GS43+GT43+GU43)/4</f>
        <v>11.5</v>
      </c>
      <c r="GW43" s="9" t="n">
        <v>0</v>
      </c>
      <c r="GX43" s="9" t="n">
        <v>0</v>
      </c>
      <c r="GY43" s="9" t="n">
        <v>0</v>
      </c>
      <c r="GZ43" s="9" t="n">
        <v>0</v>
      </c>
      <c r="HA43" s="11" t="n">
        <f aca="false">(GW43+GX43+GY43+GZ43)/4</f>
        <v>0</v>
      </c>
      <c r="HB43" s="9" t="n">
        <f aca="false">(GW43/GR43)</f>
        <v>0</v>
      </c>
      <c r="HC43" s="9" t="n">
        <f aca="false">(GX43/GS43)</f>
        <v>0</v>
      </c>
      <c r="HD43" s="9" t="n">
        <f aca="false">(GY43/GT43)</f>
        <v>0</v>
      </c>
      <c r="HE43" s="9" t="n">
        <f aca="false">(GZ43/GU43)/4</f>
        <v>0</v>
      </c>
      <c r="HF43" s="9" t="n">
        <f aca="false">(HB43+HC43+HD43+HE43)/4</f>
        <v>0</v>
      </c>
      <c r="HG43" s="9" t="n">
        <f aca="false">(100*HF43)</f>
        <v>0</v>
      </c>
      <c r="HH43" s="18" t="n">
        <v>0</v>
      </c>
      <c r="HI43" s="9" t="n">
        <v>0</v>
      </c>
      <c r="HJ43" s="9" t="n">
        <v>5</v>
      </c>
      <c r="HK43" s="9" t="n">
        <v>2</v>
      </c>
      <c r="HL43" s="19" t="n">
        <v>4</v>
      </c>
      <c r="HM43" s="9" t="n">
        <f aca="false">(HI43+HJ43+HK43+HL43)/4</f>
        <v>2.75</v>
      </c>
      <c r="HN43" s="9" t="n">
        <f aca="false">(HI43/GR43)</f>
        <v>0</v>
      </c>
      <c r="HO43" s="9" t="n">
        <f aca="false">(HJ43/GS43)</f>
        <v>0.555555555555556</v>
      </c>
      <c r="HP43" s="9" t="n">
        <f aca="false">(HK43/GT43)</f>
        <v>0.222222222222222</v>
      </c>
      <c r="HQ43" s="9" t="n">
        <f aca="false">(HL43/GU43)</f>
        <v>0.285714285714286</v>
      </c>
      <c r="HR43" s="9" t="n">
        <f aca="false">(HM43/GV43)</f>
        <v>0.239130434782609</v>
      </c>
      <c r="HS43" s="9" t="n">
        <f aca="false">(100*HR43)</f>
        <v>23.9130434782609</v>
      </c>
      <c r="HT43" s="18" t="n">
        <v>2</v>
      </c>
      <c r="HU43" s="9" t="n">
        <v>4</v>
      </c>
      <c r="HV43" s="9" t="n">
        <v>0</v>
      </c>
      <c r="HW43" s="9" t="n">
        <v>0</v>
      </c>
      <c r="HX43" s="19" t="n">
        <v>0</v>
      </c>
      <c r="HY43" s="9" t="n">
        <f aca="false">(HU43+HV43+HW43+HX43)/4</f>
        <v>1</v>
      </c>
      <c r="HZ43" s="9" t="n">
        <f aca="false">(HU43/GR43)</f>
        <v>0.285714285714286</v>
      </c>
      <c r="IA43" s="9" t="n">
        <f aca="false">HV43/GS43</f>
        <v>0</v>
      </c>
      <c r="IB43" s="9" t="n">
        <f aca="false">(HW43/GT43)</f>
        <v>0</v>
      </c>
      <c r="IC43" s="9" t="n">
        <f aca="false">(HX43/GU43)</f>
        <v>0</v>
      </c>
      <c r="ID43" s="9" t="n">
        <f aca="false">(HY43/GV43)</f>
        <v>0.0869565217391304</v>
      </c>
      <c r="IE43" s="9" t="n">
        <f aca="false">(100*ID43)</f>
        <v>8.69565217391304</v>
      </c>
      <c r="IF43" s="18" t="n">
        <v>1</v>
      </c>
      <c r="IG43" s="9" t="n">
        <v>4</v>
      </c>
      <c r="IH43" s="9" t="n">
        <v>20</v>
      </c>
      <c r="II43" s="19" t="n">
        <v>22</v>
      </c>
      <c r="IJ43" s="9" t="n">
        <v>6</v>
      </c>
      <c r="IK43" s="9" t="n">
        <f aca="false">(IG43+IH43+II43+IJ43)/4</f>
        <v>13</v>
      </c>
      <c r="IL43" s="9" t="n">
        <f aca="false">(IG43/GM43)</f>
        <v>0.0952380952380952</v>
      </c>
      <c r="IM43" s="9" t="n">
        <f aca="false">(IH43/GN43)</f>
        <v>0.18018018018018</v>
      </c>
      <c r="IN43" s="9" t="n">
        <f aca="false">(II43/GO43)</f>
        <v>0.328358208955224</v>
      </c>
      <c r="IO43" s="9" t="n">
        <f aca="false">(IJ43/GP43)</f>
        <v>0.0967741935483871</v>
      </c>
      <c r="IP43" s="9" t="n">
        <f aca="false">(IK43/GQ43)</f>
        <v>0.184397163120567</v>
      </c>
      <c r="IQ43" s="9" t="n">
        <f aca="false">(100*IP43)</f>
        <v>18.4397163120567</v>
      </c>
      <c r="IR43" s="18" t="n">
        <v>2</v>
      </c>
      <c r="IS43" s="9" t="n">
        <v>65.2</v>
      </c>
      <c r="IT43" s="9" t="n">
        <v>69.1</v>
      </c>
      <c r="IU43" s="19" t="n">
        <v>59.8</v>
      </c>
      <c r="IV43" s="9" t="n">
        <v>70.9</v>
      </c>
      <c r="IW43" s="9" t="n">
        <f aca="false">(IS43+IT43+IU43+IV43)/4</f>
        <v>66.25</v>
      </c>
      <c r="IX43" s="16" t="n">
        <v>45208</v>
      </c>
      <c r="IY43" s="10" t="s">
        <v>268</v>
      </c>
    </row>
    <row r="44" customFormat="false" ht="15.75" hidden="false" customHeight="true" outlineLevel="0" collapsed="false">
      <c r="A44" s="9" t="s">
        <v>370</v>
      </c>
      <c r="B44" s="10" t="s">
        <v>371</v>
      </c>
      <c r="C44" s="10" t="s">
        <v>261</v>
      </c>
      <c r="D44" s="9" t="n">
        <v>1</v>
      </c>
      <c r="E44" s="9" t="n">
        <v>15</v>
      </c>
      <c r="F44" s="10" t="s">
        <v>372</v>
      </c>
      <c r="G44" s="10" t="s">
        <v>280</v>
      </c>
      <c r="H44" s="9" t="n">
        <v>21</v>
      </c>
      <c r="I44" s="9" t="n">
        <v>3</v>
      </c>
      <c r="J44" s="12" t="s">
        <v>264</v>
      </c>
      <c r="K44" s="13" t="s">
        <v>373</v>
      </c>
      <c r="L44" s="13" t="s">
        <v>374</v>
      </c>
      <c r="M44" s="14" t="n">
        <v>1301</v>
      </c>
      <c r="N44" s="15" t="n">
        <v>45134</v>
      </c>
      <c r="O44" s="10" t="s">
        <v>267</v>
      </c>
      <c r="P44" s="9"/>
      <c r="Q44" s="9" t="n">
        <v>0.26</v>
      </c>
      <c r="R44" s="9" t="n">
        <v>12</v>
      </c>
      <c r="S44" s="9" t="n">
        <v>-11</v>
      </c>
      <c r="T44" s="9" t="n">
        <v>90</v>
      </c>
      <c r="U44" s="9"/>
      <c r="V44" s="9" t="n">
        <f aca="false">(23/100)</f>
        <v>0.23</v>
      </c>
      <c r="W44" s="9" t="s">
        <v>375</v>
      </c>
      <c r="X44" s="9" t="n">
        <v>0</v>
      </c>
      <c r="Y44" s="9" t="n">
        <v>0</v>
      </c>
      <c r="Z44" s="9" t="n">
        <v>0</v>
      </c>
      <c r="AA44" s="9" t="n">
        <v>0</v>
      </c>
      <c r="AB44" s="11" t="n">
        <f aca="false">(X44+Y44+Z44+AA44)/4</f>
        <v>0</v>
      </c>
      <c r="AC44" s="9" t="n">
        <v>0</v>
      </c>
      <c r="AD44" s="9" t="n">
        <v>1</v>
      </c>
      <c r="AE44" s="9" t="n">
        <v>1</v>
      </c>
      <c r="AF44" s="9" t="n">
        <v>1</v>
      </c>
      <c r="AG44" s="11" t="n">
        <f aca="false">(AC44+AD44+AE44+AF44)/4</f>
        <v>0.75</v>
      </c>
      <c r="AH44" s="9" t="n">
        <v>1</v>
      </c>
      <c r="AI44" s="9" t="n">
        <v>0</v>
      </c>
      <c r="AJ44" s="9" t="n">
        <v>1</v>
      </c>
      <c r="AK44" s="9" t="n">
        <v>1</v>
      </c>
      <c r="AL44" s="11" t="n">
        <f aca="false">(AH44+AI44+AJ44+AK44)/4</f>
        <v>0.75</v>
      </c>
      <c r="AM44" s="9" t="n">
        <v>20</v>
      </c>
      <c r="AN44" s="9" t="n">
        <v>37</v>
      </c>
      <c r="AO44" s="9" t="n">
        <v>14</v>
      </c>
      <c r="AP44" s="9" t="n">
        <v>58</v>
      </c>
      <c r="AQ44" s="11" t="n">
        <f aca="false">(AM44+AN44+AO44+AP44)/4</f>
        <v>32.25</v>
      </c>
      <c r="AR44" s="9" t="n">
        <v>7</v>
      </c>
      <c r="AS44" s="9" t="n">
        <v>8</v>
      </c>
      <c r="AT44" s="9" t="n">
        <v>5</v>
      </c>
      <c r="AU44" s="9" t="n">
        <v>12</v>
      </c>
      <c r="AV44" s="11" t="n">
        <f aca="false">(AR44+AS44+AT44+AU44)/4</f>
        <v>8</v>
      </c>
      <c r="AW44" s="9" t="n">
        <v>0</v>
      </c>
      <c r="AX44" s="9" t="n">
        <v>0</v>
      </c>
      <c r="AY44" s="9" t="n">
        <v>0</v>
      </c>
      <c r="AZ44" s="9" t="n">
        <v>0</v>
      </c>
      <c r="BA44" s="11" t="n">
        <f aca="false">(AW44+AX44+AY44+AZ44)/4</f>
        <v>0</v>
      </c>
      <c r="BB44" s="11" t="n">
        <f aca="false">(AW44/AR44)</f>
        <v>0</v>
      </c>
      <c r="BC44" s="11" t="n">
        <f aca="false">(AX44/AS44)</f>
        <v>0</v>
      </c>
      <c r="BD44" s="11" t="n">
        <f aca="false">(AY44/AT44)</f>
        <v>0</v>
      </c>
      <c r="BE44" s="11" t="n">
        <f aca="false">(AZ44/AU44)</f>
        <v>0</v>
      </c>
      <c r="BF44" s="11" t="n">
        <f aca="false">(BA44/AV44)</f>
        <v>0</v>
      </c>
      <c r="BG44" s="11" t="n">
        <f aca="false">(BF44*100)</f>
        <v>0</v>
      </c>
      <c r="BH44" s="9" t="n">
        <v>0</v>
      </c>
      <c r="BI44" s="9" t="n">
        <v>0</v>
      </c>
      <c r="BJ44" s="9" t="n">
        <v>3</v>
      </c>
      <c r="BK44" s="9" t="n">
        <v>2</v>
      </c>
      <c r="BL44" s="9" t="n">
        <v>1</v>
      </c>
      <c r="BM44" s="11" t="n">
        <f aca="false">(BI44+BJ44+BK44+BL44)/4</f>
        <v>1.5</v>
      </c>
      <c r="BN44" s="11" t="n">
        <f aca="false">(BI44/AR44)</f>
        <v>0</v>
      </c>
      <c r="BO44" s="11" t="n">
        <f aca="false">(BJ44/AS44)</f>
        <v>0.375</v>
      </c>
      <c r="BP44" s="11" t="n">
        <f aca="false">(BK44/AT44)</f>
        <v>0.4</v>
      </c>
      <c r="BQ44" s="11" t="n">
        <f aca="false">(BL44/AU44)</f>
        <v>0.0833333333333333</v>
      </c>
      <c r="BR44" s="11" t="n">
        <f aca="false">(BM44/AV44)</f>
        <v>0.1875</v>
      </c>
      <c r="BS44" s="11" t="n">
        <f aca="false">(100*BR44)</f>
        <v>18.75</v>
      </c>
      <c r="BT44" s="9" t="n">
        <v>2</v>
      </c>
      <c r="BU44" s="9" t="n">
        <v>1</v>
      </c>
      <c r="BV44" s="9" t="n">
        <v>0</v>
      </c>
      <c r="BW44" s="9" t="n">
        <v>0</v>
      </c>
      <c r="BX44" s="9" t="n">
        <v>1</v>
      </c>
      <c r="BY44" s="11" t="n">
        <f aca="false">(BU44+BV44+BW44+BX44)/4</f>
        <v>0.5</v>
      </c>
      <c r="BZ44" s="11" t="n">
        <f aca="false">(BU44/AR44)</f>
        <v>0.142857142857143</v>
      </c>
      <c r="CA44" s="11" t="n">
        <f aca="false">(BV44/AS44)</f>
        <v>0</v>
      </c>
      <c r="CB44" s="11" t="n">
        <f aca="false">(BW44/AT44)</f>
        <v>0</v>
      </c>
      <c r="CC44" s="11" t="n">
        <f aca="false">(BX44/AU44)</f>
        <v>0.0833333333333333</v>
      </c>
      <c r="CD44" s="11" t="n">
        <f aca="false">(BY44/AV44)</f>
        <v>0.0625</v>
      </c>
      <c r="CE44" s="11" t="n">
        <f aca="false">(100*CD44)</f>
        <v>6.25</v>
      </c>
      <c r="CF44" s="9" t="n">
        <v>1</v>
      </c>
      <c r="CG44" s="9" t="n">
        <v>1</v>
      </c>
      <c r="CH44" s="9" t="n">
        <v>0</v>
      </c>
      <c r="CI44" s="9" t="n">
        <v>2</v>
      </c>
      <c r="CJ44" s="9" t="n">
        <v>0</v>
      </c>
      <c r="CK44" s="11" t="n">
        <f aca="false">(CG44+CH44+CI44+CJ44)/4</f>
        <v>0.75</v>
      </c>
      <c r="CL44" s="11" t="n">
        <f aca="false">(CG44/AM44)</f>
        <v>0.05</v>
      </c>
      <c r="CM44" s="11" t="n">
        <f aca="false">(CH44/AN44)</f>
        <v>0</v>
      </c>
      <c r="CN44" s="11" t="n">
        <f aca="false">(CI44/AO44)</f>
        <v>0.142857142857143</v>
      </c>
      <c r="CO44" s="9" t="n">
        <f aca="false">(CJ44/AP44)</f>
        <v>0</v>
      </c>
      <c r="CP44" s="9" t="n">
        <f aca="false">(CK44/AQ44)</f>
        <v>0.0232558139534884</v>
      </c>
      <c r="CQ44" s="9" t="n">
        <f aca="false">(100*CP44)</f>
        <v>2.32558139534884</v>
      </c>
      <c r="CR44" s="18" t="n">
        <v>1</v>
      </c>
      <c r="CS44" s="9" t="n">
        <v>55.3</v>
      </c>
      <c r="CT44" s="9" t="n">
        <v>65.1</v>
      </c>
      <c r="CU44" s="9" t="n">
        <v>67.6</v>
      </c>
      <c r="CV44" s="9" t="n">
        <v>51.8</v>
      </c>
      <c r="CW44" s="11" t="n">
        <f aca="false">(CS44+CT44+CU44+CV44)/4</f>
        <v>59.95</v>
      </c>
      <c r="CX44" s="9" t="n">
        <v>0</v>
      </c>
      <c r="CY44" s="9" t="n">
        <v>0</v>
      </c>
      <c r="CZ44" s="9" t="n">
        <v>0</v>
      </c>
      <c r="DA44" s="9" t="n">
        <v>0</v>
      </c>
      <c r="DB44" s="11" t="n">
        <f aca="false">(CX44+CY44+CZ44+DA44)/4</f>
        <v>0</v>
      </c>
      <c r="DC44" s="9" t="n">
        <v>1</v>
      </c>
      <c r="DD44" s="9" t="n">
        <v>1</v>
      </c>
      <c r="DE44" s="9" t="n">
        <v>1</v>
      </c>
      <c r="DF44" s="9" t="n">
        <v>1</v>
      </c>
      <c r="DG44" s="11" t="n">
        <f aca="false">(DC44+DD44+DE44+DF44)/4</f>
        <v>1</v>
      </c>
      <c r="DH44" s="9" t="n">
        <v>1</v>
      </c>
      <c r="DI44" s="9" t="n">
        <v>0</v>
      </c>
      <c r="DJ44" s="9" t="n">
        <v>1</v>
      </c>
      <c r="DK44" s="9" t="n">
        <v>1</v>
      </c>
      <c r="DL44" s="11" t="n">
        <f aca="false">(DH44+DI44+DJ44+DK44)/4</f>
        <v>0.75</v>
      </c>
      <c r="DM44" s="9" t="n">
        <v>95</v>
      </c>
      <c r="DN44" s="9" t="n">
        <v>69</v>
      </c>
      <c r="DO44" s="9" t="n">
        <v>41</v>
      </c>
      <c r="DP44" s="9" t="n">
        <v>33</v>
      </c>
      <c r="DQ44" s="11" t="n">
        <f aca="false">(DM44+DN44+DO44+DP44)/4</f>
        <v>59.5</v>
      </c>
      <c r="DR44" s="9" t="n">
        <v>12</v>
      </c>
      <c r="DS44" s="9" t="n">
        <v>7</v>
      </c>
      <c r="DT44" s="9" t="n">
        <v>11</v>
      </c>
      <c r="DU44" s="9" t="n">
        <v>13</v>
      </c>
      <c r="DV44" s="11" t="n">
        <f aca="false">(DR44+DS44+DT44+DU44)/4</f>
        <v>10.75</v>
      </c>
      <c r="DW44" s="9" t="n">
        <v>0</v>
      </c>
      <c r="DX44" s="9" t="n">
        <v>0</v>
      </c>
      <c r="DY44" s="9" t="n">
        <v>0</v>
      </c>
      <c r="DZ44" s="9" t="n">
        <v>0</v>
      </c>
      <c r="EA44" s="11" t="n">
        <f aca="false">(DW44+DX44+DY44+DZ44)/4</f>
        <v>0</v>
      </c>
      <c r="EB44" s="11" t="n">
        <f aca="false">(DW44/DR44)</f>
        <v>0</v>
      </c>
      <c r="EC44" s="11" t="n">
        <f aca="false">(DX44/DS44)</f>
        <v>0</v>
      </c>
      <c r="ED44" s="11" t="n">
        <f aca="false">(DY44/DT44)</f>
        <v>0</v>
      </c>
      <c r="EE44" s="11" t="n">
        <f aca="false">(DZ44/DU44)</f>
        <v>0</v>
      </c>
      <c r="EF44" s="11" t="n">
        <f aca="false">(EA44/DV44)</f>
        <v>0</v>
      </c>
      <c r="EG44" s="11" t="n">
        <f aca="false">(100*EF44)</f>
        <v>0</v>
      </c>
      <c r="EH44" s="9" t="n">
        <v>0</v>
      </c>
      <c r="EI44" s="9" t="n">
        <v>6</v>
      </c>
      <c r="EJ44" s="9" t="n">
        <v>2</v>
      </c>
      <c r="EK44" s="19" t="n">
        <v>2</v>
      </c>
      <c r="EL44" s="9" t="n">
        <v>4</v>
      </c>
      <c r="EM44" s="9" t="n">
        <f aca="false">(EI44+EJ44+EK44+EL44)/4</f>
        <v>3.5</v>
      </c>
      <c r="EN44" s="9" t="n">
        <f aca="false">(EI44/DR44)</f>
        <v>0.5</v>
      </c>
      <c r="EO44" s="9" t="n">
        <f aca="false">(EJ44/DS44)</f>
        <v>0.285714285714286</v>
      </c>
      <c r="EP44" s="9" t="n">
        <f aca="false">(EK44/DT44)</f>
        <v>0.181818181818182</v>
      </c>
      <c r="EQ44" s="9" t="n">
        <f aca="false">(EL44/DU44)</f>
        <v>0.307692307692308</v>
      </c>
      <c r="ER44" s="9" t="n">
        <f aca="false">EM44/DV44</f>
        <v>0.325581395348837</v>
      </c>
      <c r="ES44" s="9" t="n">
        <f aca="false">(100*ER44)</f>
        <v>32.5581395348837</v>
      </c>
      <c r="ET44" s="9" t="n">
        <v>3</v>
      </c>
      <c r="EU44" s="18" t="n">
        <v>1</v>
      </c>
      <c r="EV44" s="9" t="n">
        <v>0</v>
      </c>
      <c r="EW44" s="9" t="n">
        <v>0</v>
      </c>
      <c r="EX44" s="9" t="n">
        <v>0</v>
      </c>
      <c r="EY44" s="11" t="n">
        <f aca="false">(EU44+EV44+EW44+EX44)/4</f>
        <v>0.25</v>
      </c>
      <c r="EZ44" s="11" t="n">
        <f aca="false">(EU44/DR44)</f>
        <v>0.0833333333333333</v>
      </c>
      <c r="FA44" s="11" t="n">
        <f aca="false">(EV44/DS44)</f>
        <v>0</v>
      </c>
      <c r="FB44" s="11" t="n">
        <f aca="false">(EW44/DT44)</f>
        <v>0</v>
      </c>
      <c r="FC44" s="11" t="n">
        <f aca="false">(EX44/DU44)</f>
        <v>0</v>
      </c>
      <c r="FD44" s="11" t="n">
        <f aca="false">(EY44/DV44)</f>
        <v>0.0232558139534884</v>
      </c>
      <c r="FE44" s="11" t="n">
        <f aca="false">(100*FD44)</f>
        <v>2.32558139534884</v>
      </c>
      <c r="FF44" s="9" t="n">
        <v>1</v>
      </c>
      <c r="FG44" s="9" t="n">
        <v>14</v>
      </c>
      <c r="FH44" s="9" t="n">
        <v>0</v>
      </c>
      <c r="FI44" s="9" t="n">
        <v>3</v>
      </c>
      <c r="FJ44" s="9" t="n">
        <v>2</v>
      </c>
      <c r="FK44" s="11" t="n">
        <f aca="false">(FG44+FH44+FI44+FJ44)/4</f>
        <v>4.75</v>
      </c>
      <c r="FL44" s="11" t="n">
        <f aca="false">(FG44/DR44)</f>
        <v>1.16666666666667</v>
      </c>
      <c r="FM44" s="11" t="n">
        <f aca="false">(FH44/DS44)</f>
        <v>0</v>
      </c>
      <c r="FN44" s="11" t="n">
        <f aca="false">(FI44/DT44)</f>
        <v>0.272727272727273</v>
      </c>
      <c r="FO44" s="11" t="n">
        <f aca="false">(FJ44/DU44)</f>
        <v>0.153846153846154</v>
      </c>
      <c r="FP44" s="11" t="n">
        <f aca="false">(FK44/DV44)</f>
        <v>0.441860465116279</v>
      </c>
      <c r="FQ44" s="11" t="n">
        <f aca="false">(100*FP44)</f>
        <v>44.1860465116279</v>
      </c>
      <c r="FR44" s="9" t="n">
        <v>3</v>
      </c>
      <c r="FS44" s="9" t="n">
        <v>61</v>
      </c>
      <c r="FT44" s="9" t="n">
        <v>53.3</v>
      </c>
      <c r="FU44" s="9" t="n">
        <v>43.7</v>
      </c>
      <c r="FV44" s="9" t="n">
        <v>63.7</v>
      </c>
      <c r="FW44" s="11" t="n">
        <f aca="false">(FS44+FT44+FU44+FV44)/4</f>
        <v>55.425</v>
      </c>
      <c r="FX44" s="9" t="n">
        <v>0</v>
      </c>
      <c r="FY44" s="9" t="n">
        <v>0</v>
      </c>
      <c r="FZ44" s="9" t="n">
        <v>0</v>
      </c>
      <c r="GA44" s="9" t="n">
        <v>0</v>
      </c>
      <c r="GB44" s="11" t="n">
        <f aca="false">(FX44+FY44+FZ44+GA44)/4</f>
        <v>0</v>
      </c>
      <c r="GC44" s="9" t="n">
        <v>1</v>
      </c>
      <c r="GD44" s="9" t="n">
        <v>1</v>
      </c>
      <c r="GE44" s="9" t="n">
        <v>1</v>
      </c>
      <c r="GF44" s="9" t="n">
        <v>1</v>
      </c>
      <c r="GG44" s="11" t="n">
        <f aca="false">(GC44+GD44+GE44+GF44)/4</f>
        <v>1</v>
      </c>
      <c r="GH44" s="9" t="n">
        <v>1</v>
      </c>
      <c r="GI44" s="9" t="n">
        <v>0</v>
      </c>
      <c r="GJ44" s="9" t="n">
        <v>1</v>
      </c>
      <c r="GK44" s="9" t="n">
        <v>0</v>
      </c>
      <c r="GL44" s="11" t="n">
        <f aca="false">(GH44+GI44+GJ44+GK44)/4</f>
        <v>0.5</v>
      </c>
      <c r="GM44" s="9" t="n">
        <v>38</v>
      </c>
      <c r="GN44" s="9" t="n">
        <v>71</v>
      </c>
      <c r="GO44" s="9" t="n">
        <v>12</v>
      </c>
      <c r="GP44" s="9" t="n">
        <v>23</v>
      </c>
      <c r="GQ44" s="11" t="n">
        <f aca="false">(GM44+GN44+GO44+GP44)/4</f>
        <v>36</v>
      </c>
      <c r="GR44" s="9" t="n">
        <v>20</v>
      </c>
      <c r="GS44" s="9" t="n">
        <v>14</v>
      </c>
      <c r="GT44" s="9" t="n">
        <v>18</v>
      </c>
      <c r="GU44" s="9" t="n">
        <v>13</v>
      </c>
      <c r="GV44" s="11" t="n">
        <f aca="false">(GR44+GS44+GT44+GU44)/4</f>
        <v>16.25</v>
      </c>
      <c r="GW44" s="9" t="n">
        <v>0</v>
      </c>
      <c r="GX44" s="9" t="n">
        <v>0</v>
      </c>
      <c r="GY44" s="9" t="n">
        <v>0</v>
      </c>
      <c r="GZ44" s="9" t="n">
        <v>0</v>
      </c>
      <c r="HA44" s="11" t="n">
        <f aca="false">(GW44+GX44+GY44+GZ44)/4</f>
        <v>0</v>
      </c>
      <c r="HB44" s="9" t="n">
        <f aca="false">(GW44/GR44)</f>
        <v>0</v>
      </c>
      <c r="HC44" s="9" t="n">
        <f aca="false">(GX44/GS44)</f>
        <v>0</v>
      </c>
      <c r="HD44" s="9" t="n">
        <f aca="false">(GY44/GT44)</f>
        <v>0</v>
      </c>
      <c r="HE44" s="9" t="n">
        <f aca="false">(GZ44/GU44)/4</f>
        <v>0</v>
      </c>
      <c r="HF44" s="9" t="n">
        <f aca="false">(HB44+HC44+HD44+HE44)/4</f>
        <v>0</v>
      </c>
      <c r="HG44" s="9" t="n">
        <f aca="false">(100*HF44)</f>
        <v>0</v>
      </c>
      <c r="HH44" s="18" t="n">
        <v>0</v>
      </c>
      <c r="HI44" s="9" t="n">
        <v>1</v>
      </c>
      <c r="HJ44" s="9" t="n">
        <v>2</v>
      </c>
      <c r="HK44" s="9" t="n">
        <v>5</v>
      </c>
      <c r="HL44" s="19" t="n">
        <v>1</v>
      </c>
      <c r="HM44" s="9" t="n">
        <f aca="false">(HI44+HJ44+HK44+HL44)/4</f>
        <v>2.25</v>
      </c>
      <c r="HN44" s="9" t="n">
        <f aca="false">(HI44/GR44)</f>
        <v>0.05</v>
      </c>
      <c r="HO44" s="9" t="n">
        <f aca="false">(HJ44/GS44)</f>
        <v>0.142857142857143</v>
      </c>
      <c r="HP44" s="9" t="n">
        <f aca="false">(HK44/GT44)</f>
        <v>0.277777777777778</v>
      </c>
      <c r="HQ44" s="9" t="n">
        <f aca="false">(HL44/GU44)</f>
        <v>0.0769230769230769</v>
      </c>
      <c r="HR44" s="9" t="n">
        <f aca="false">(HM44/GV44)</f>
        <v>0.138461538461538</v>
      </c>
      <c r="HS44" s="9" t="n">
        <f aca="false">(100*HR44)</f>
        <v>13.8461538461538</v>
      </c>
      <c r="HT44" s="18" t="n">
        <v>2</v>
      </c>
      <c r="HU44" s="9" t="n">
        <v>0</v>
      </c>
      <c r="HV44" s="9" t="n">
        <v>0</v>
      </c>
      <c r="HW44" s="9" t="n">
        <v>0</v>
      </c>
      <c r="HX44" s="19" t="n">
        <v>0</v>
      </c>
      <c r="HY44" s="9" t="n">
        <f aca="false">(HU44+HV44+HW44+HX44)/4</f>
        <v>0</v>
      </c>
      <c r="HZ44" s="9" t="n">
        <f aca="false">(HU44/GR44)</f>
        <v>0</v>
      </c>
      <c r="IA44" s="9" t="n">
        <f aca="false">HV44/GS44</f>
        <v>0</v>
      </c>
      <c r="IB44" s="9" t="n">
        <f aca="false">(HW44/GT44)</f>
        <v>0</v>
      </c>
      <c r="IC44" s="9" t="n">
        <f aca="false">(HX44/GU44)</f>
        <v>0</v>
      </c>
      <c r="ID44" s="9" t="n">
        <f aca="false">(HY44/GV44)</f>
        <v>0</v>
      </c>
      <c r="IE44" s="9" t="n">
        <f aca="false">(100*ID44)</f>
        <v>0</v>
      </c>
      <c r="IF44" s="18" t="n">
        <v>0</v>
      </c>
      <c r="IG44" s="9" t="n">
        <v>3</v>
      </c>
      <c r="IH44" s="9" t="n">
        <v>0</v>
      </c>
      <c r="II44" s="19" t="n">
        <v>2</v>
      </c>
      <c r="IJ44" s="9" t="n">
        <v>0</v>
      </c>
      <c r="IK44" s="9" t="n">
        <f aca="false">(IG44+IH44+II44+IJ44)/4</f>
        <v>1.25</v>
      </c>
      <c r="IL44" s="9" t="n">
        <f aca="false">(IG44/GM44)</f>
        <v>0.0789473684210526</v>
      </c>
      <c r="IM44" s="9" t="n">
        <f aca="false">(IH44/GN44)</f>
        <v>0</v>
      </c>
      <c r="IN44" s="9" t="n">
        <f aca="false">(II44/GO44)</f>
        <v>0.166666666666667</v>
      </c>
      <c r="IO44" s="9" t="n">
        <f aca="false">(IJ44/GP44)</f>
        <v>0</v>
      </c>
      <c r="IP44" s="9" t="n">
        <f aca="false">(IK44/GQ44)</f>
        <v>0.0347222222222222</v>
      </c>
      <c r="IQ44" s="9" t="n">
        <f aca="false">(100*IP44)</f>
        <v>3.47222222222222</v>
      </c>
      <c r="IR44" s="18" t="n">
        <v>1</v>
      </c>
      <c r="IS44" s="9" t="n">
        <v>67.7</v>
      </c>
      <c r="IT44" s="9" t="n">
        <v>66</v>
      </c>
      <c r="IU44" s="19" t="n">
        <v>62.9</v>
      </c>
      <c r="IV44" s="9" t="n">
        <v>62.4</v>
      </c>
      <c r="IW44" s="9" t="n">
        <f aca="false">(IS44+IT44+IU44+IV44)/4</f>
        <v>64.75</v>
      </c>
      <c r="IX44" s="16" t="n">
        <v>45205</v>
      </c>
      <c r="IY44" s="10" t="s">
        <v>268</v>
      </c>
    </row>
    <row r="45" customFormat="false" ht="15.75" hidden="false" customHeight="true" outlineLevel="0" collapsed="false">
      <c r="A45" s="9" t="s">
        <v>370</v>
      </c>
      <c r="B45" s="10" t="s">
        <v>371</v>
      </c>
      <c r="C45" s="10" t="s">
        <v>261</v>
      </c>
      <c r="D45" s="9" t="n">
        <v>1</v>
      </c>
      <c r="E45" s="9" t="n">
        <v>15</v>
      </c>
      <c r="F45" s="10" t="s">
        <v>376</v>
      </c>
      <c r="G45" s="10" t="s">
        <v>291</v>
      </c>
      <c r="H45" s="9" t="n">
        <v>21</v>
      </c>
      <c r="I45" s="9" t="n">
        <v>11</v>
      </c>
      <c r="J45" s="12" t="s">
        <v>270</v>
      </c>
      <c r="K45" s="20"/>
      <c r="L45" s="20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 t="n">
        <v>0</v>
      </c>
      <c r="Y45" s="9" t="n">
        <v>0</v>
      </c>
      <c r="Z45" s="9" t="n">
        <v>0</v>
      </c>
      <c r="AA45" s="9" t="n">
        <v>0</v>
      </c>
      <c r="AB45" s="11" t="n">
        <f aca="false">(X45+Y45+Z45+AA45)/4</f>
        <v>0</v>
      </c>
      <c r="AC45" s="9" t="n">
        <v>1</v>
      </c>
      <c r="AD45" s="9" t="n">
        <v>1</v>
      </c>
      <c r="AE45" s="9" t="n">
        <v>1</v>
      </c>
      <c r="AF45" s="9" t="n">
        <v>1</v>
      </c>
      <c r="AG45" s="11" t="n">
        <f aca="false">(AC45+AD45+AE45+AF45)/4</f>
        <v>1</v>
      </c>
      <c r="AH45" s="9" t="n">
        <v>0</v>
      </c>
      <c r="AI45" s="9" t="n">
        <v>1</v>
      </c>
      <c r="AJ45" s="9" t="n">
        <v>1</v>
      </c>
      <c r="AK45" s="9" t="n">
        <v>0</v>
      </c>
      <c r="AL45" s="11" t="n">
        <f aca="false">(AH45+AI45+AJ45+AK45)/4</f>
        <v>0.5</v>
      </c>
      <c r="AM45" s="9" t="n">
        <v>21</v>
      </c>
      <c r="AN45" s="9" t="n">
        <v>115</v>
      </c>
      <c r="AO45" s="9" t="n">
        <v>86</v>
      </c>
      <c r="AP45" s="9" t="n">
        <v>9</v>
      </c>
      <c r="AQ45" s="11" t="n">
        <f aca="false">(AM45+AN45+AO45+AP45)/4</f>
        <v>57.75</v>
      </c>
      <c r="AR45" s="9" t="n">
        <v>16</v>
      </c>
      <c r="AS45" s="9" t="n">
        <v>7</v>
      </c>
      <c r="AT45" s="9" t="n">
        <v>26</v>
      </c>
      <c r="AU45" s="9" t="n">
        <v>14</v>
      </c>
      <c r="AV45" s="11" t="n">
        <f aca="false">(AR45+AS45+AT45+AU45)/4</f>
        <v>15.75</v>
      </c>
      <c r="AW45" s="9" t="n">
        <v>0</v>
      </c>
      <c r="AX45" s="9" t="n">
        <v>0</v>
      </c>
      <c r="AY45" s="9" t="n">
        <v>0</v>
      </c>
      <c r="AZ45" s="9" t="n">
        <v>0</v>
      </c>
      <c r="BA45" s="11" t="n">
        <f aca="false">(AW45+AX45+AY45+AZ45)/4</f>
        <v>0</v>
      </c>
      <c r="BB45" s="11" t="n">
        <f aca="false">(AW45/AR45)</f>
        <v>0</v>
      </c>
      <c r="BC45" s="11" t="n">
        <f aca="false">(AX45/AS45)</f>
        <v>0</v>
      </c>
      <c r="BD45" s="11" t="n">
        <f aca="false">(AY45/AT45)</f>
        <v>0</v>
      </c>
      <c r="BE45" s="11" t="n">
        <f aca="false">(AZ45/AU45)</f>
        <v>0</v>
      </c>
      <c r="BF45" s="11" t="n">
        <f aca="false">(BA45/AV45)</f>
        <v>0</v>
      </c>
      <c r="BG45" s="11" t="n">
        <f aca="false">(BF45*100)</f>
        <v>0</v>
      </c>
      <c r="BH45" s="9" t="n">
        <v>0</v>
      </c>
      <c r="BI45" s="9" t="n">
        <v>6</v>
      </c>
      <c r="BJ45" s="9" t="n">
        <v>1</v>
      </c>
      <c r="BK45" s="9" t="n">
        <v>8</v>
      </c>
      <c r="BL45" s="9" t="n">
        <v>8</v>
      </c>
      <c r="BM45" s="11" t="n">
        <f aca="false">(BI45+BJ45+BK45+BL45)/4</f>
        <v>5.75</v>
      </c>
      <c r="BN45" s="11" t="n">
        <f aca="false">(BI45/AR45)</f>
        <v>0.375</v>
      </c>
      <c r="BO45" s="11" t="n">
        <f aca="false">(BJ45/AS45)</f>
        <v>0.142857142857143</v>
      </c>
      <c r="BP45" s="11" t="n">
        <f aca="false">(BK45/AT45)</f>
        <v>0.307692307692308</v>
      </c>
      <c r="BQ45" s="11" t="n">
        <f aca="false">(BL45/AU45)</f>
        <v>0.571428571428571</v>
      </c>
      <c r="BR45" s="11" t="n">
        <f aca="false">(BM45/AV45)</f>
        <v>0.365079365079365</v>
      </c>
      <c r="BS45" s="11" t="n">
        <f aca="false">(100*BR45)</f>
        <v>36.5079365079365</v>
      </c>
      <c r="BT45" s="9" t="n">
        <v>3</v>
      </c>
      <c r="BU45" s="9" t="n">
        <v>0</v>
      </c>
      <c r="BV45" s="9" t="n">
        <v>0</v>
      </c>
      <c r="BW45" s="9" t="n">
        <v>0</v>
      </c>
      <c r="BX45" s="9" t="n">
        <v>0</v>
      </c>
      <c r="BY45" s="11" t="n">
        <f aca="false">(BU45+BV45+BW45+BX45)/4</f>
        <v>0</v>
      </c>
      <c r="BZ45" s="11" t="n">
        <f aca="false">(BU45/AR45)</f>
        <v>0</v>
      </c>
      <c r="CA45" s="11" t="n">
        <f aca="false">(BV45/AS45)</f>
        <v>0</v>
      </c>
      <c r="CB45" s="11" t="n">
        <f aca="false">(BW45/AT45)</f>
        <v>0</v>
      </c>
      <c r="CC45" s="11" t="n">
        <f aca="false">(BX45/AU45)</f>
        <v>0</v>
      </c>
      <c r="CD45" s="11" t="n">
        <f aca="false">(BY45/AV45)</f>
        <v>0</v>
      </c>
      <c r="CE45" s="11" t="n">
        <f aca="false">(100*CD45)</f>
        <v>0</v>
      </c>
      <c r="CF45" s="9" t="n">
        <v>0</v>
      </c>
      <c r="CG45" s="9" t="n">
        <v>0</v>
      </c>
      <c r="CH45" s="9" t="n">
        <v>9</v>
      </c>
      <c r="CI45" s="9" t="n">
        <v>20</v>
      </c>
      <c r="CJ45" s="9" t="n">
        <v>0</v>
      </c>
      <c r="CK45" s="11" t="n">
        <f aca="false">(CG45+CH45+CI45+CJ45)/4</f>
        <v>7.25</v>
      </c>
      <c r="CL45" s="11" t="n">
        <f aca="false">(CG45/AM45)</f>
        <v>0</v>
      </c>
      <c r="CM45" s="11" t="n">
        <f aca="false">(CH45/AN45)</f>
        <v>0.0782608695652174</v>
      </c>
      <c r="CN45" s="11" t="n">
        <f aca="false">(CI45/AO45)</f>
        <v>0.232558139534884</v>
      </c>
      <c r="CO45" s="9" t="n">
        <f aca="false">(CJ45/AP45)</f>
        <v>0</v>
      </c>
      <c r="CP45" s="9" t="n">
        <f aca="false">(CK45/AQ45)</f>
        <v>0.125541125541126</v>
      </c>
      <c r="CQ45" s="9" t="n">
        <f aca="false">(100*CP45)</f>
        <v>12.5541125541126</v>
      </c>
      <c r="CR45" s="18" t="n">
        <v>2</v>
      </c>
      <c r="CS45" s="9" t="n">
        <v>55.4</v>
      </c>
      <c r="CT45" s="9" t="n">
        <v>61.9</v>
      </c>
      <c r="CU45" s="9" t="n">
        <v>65.9</v>
      </c>
      <c r="CV45" s="9" t="n">
        <v>63.5</v>
      </c>
      <c r="CW45" s="11" t="n">
        <f aca="false">(CS45+CT45+CU45+CV45)/4</f>
        <v>61.675</v>
      </c>
      <c r="CX45" s="9" t="n">
        <v>0</v>
      </c>
      <c r="CY45" s="9" t="n">
        <v>0</v>
      </c>
      <c r="CZ45" s="9" t="n">
        <v>0</v>
      </c>
      <c r="DA45" s="9" t="n">
        <v>0</v>
      </c>
      <c r="DB45" s="11" t="n">
        <f aca="false">(CX45+CY45+CZ45+DA45)/4</f>
        <v>0</v>
      </c>
      <c r="DC45" s="9" t="n">
        <v>1</v>
      </c>
      <c r="DD45" s="9" t="n">
        <v>1</v>
      </c>
      <c r="DE45" s="9" t="n">
        <v>1</v>
      </c>
      <c r="DF45" s="9" t="n">
        <v>1</v>
      </c>
      <c r="DG45" s="11" t="n">
        <f aca="false">(DC45+DD45+DE45+DF45)/4</f>
        <v>1</v>
      </c>
      <c r="DH45" s="9" t="n">
        <v>1</v>
      </c>
      <c r="DI45" s="9" t="n">
        <v>1</v>
      </c>
      <c r="DJ45" s="9" t="n">
        <v>1</v>
      </c>
      <c r="DK45" s="9" t="n">
        <v>0</v>
      </c>
      <c r="DL45" s="11" t="n">
        <f aca="false">(DH45+DI45+DJ45+DK45)/4</f>
        <v>0.75</v>
      </c>
      <c r="DM45" s="9" t="n">
        <v>81</v>
      </c>
      <c r="DN45" s="9" t="n">
        <v>78</v>
      </c>
      <c r="DO45" s="9" t="n">
        <v>48</v>
      </c>
      <c r="DP45" s="9" t="n">
        <v>96</v>
      </c>
      <c r="DQ45" s="11" t="n">
        <f aca="false">(DM45+DN45+DO45+DP45)/4</f>
        <v>75.75</v>
      </c>
      <c r="DR45" s="9" t="n">
        <v>20</v>
      </c>
      <c r="DS45" s="9" t="n">
        <v>15</v>
      </c>
      <c r="DT45" s="9" t="n">
        <v>17</v>
      </c>
      <c r="DU45" s="9" t="n">
        <v>35</v>
      </c>
      <c r="DV45" s="11" t="n">
        <f aca="false">(DR45+DS45+DT45+DU45)/4</f>
        <v>21.75</v>
      </c>
      <c r="DW45" s="9" t="n">
        <v>0</v>
      </c>
      <c r="DX45" s="9" t="n">
        <v>0</v>
      </c>
      <c r="DY45" s="9" t="n">
        <v>0</v>
      </c>
      <c r="DZ45" s="9" t="n">
        <v>0</v>
      </c>
      <c r="EA45" s="11" t="n">
        <f aca="false">(DW45+DX45+DY45+DZ45)/4</f>
        <v>0</v>
      </c>
      <c r="EB45" s="11" t="n">
        <f aca="false">(DW45/DR45)</f>
        <v>0</v>
      </c>
      <c r="EC45" s="11" t="n">
        <f aca="false">(DX45/DS45)</f>
        <v>0</v>
      </c>
      <c r="ED45" s="11" t="n">
        <f aca="false">(DY45/DT45)</f>
        <v>0</v>
      </c>
      <c r="EE45" s="11" t="n">
        <f aca="false">(DZ45/DU45)</f>
        <v>0</v>
      </c>
      <c r="EF45" s="11" t="n">
        <f aca="false">(EA45/DV45)</f>
        <v>0</v>
      </c>
      <c r="EG45" s="11" t="n">
        <f aca="false">(100*EF45)</f>
        <v>0</v>
      </c>
      <c r="EH45" s="9" t="n">
        <v>0</v>
      </c>
      <c r="EI45" s="9" t="n">
        <v>8</v>
      </c>
      <c r="EJ45" s="9" t="n">
        <v>6</v>
      </c>
      <c r="EK45" s="19" t="n">
        <v>5</v>
      </c>
      <c r="EL45" s="9" t="n">
        <v>13</v>
      </c>
      <c r="EM45" s="9" t="n">
        <f aca="false">(EI45+EJ45+EK45+EL45)/4</f>
        <v>8</v>
      </c>
      <c r="EN45" s="9" t="n">
        <f aca="false">(EI45/DR45)</f>
        <v>0.4</v>
      </c>
      <c r="EO45" s="9" t="n">
        <f aca="false">(EJ45/DS45)</f>
        <v>0.4</v>
      </c>
      <c r="EP45" s="9" t="n">
        <f aca="false">(EK45/DT45)</f>
        <v>0.294117647058824</v>
      </c>
      <c r="EQ45" s="9" t="n">
        <f aca="false">(EL45/DU45)</f>
        <v>0.371428571428571</v>
      </c>
      <c r="ER45" s="9" t="n">
        <f aca="false">EM45/DV45</f>
        <v>0.367816091954023</v>
      </c>
      <c r="ES45" s="9" t="n">
        <f aca="false">(100*ER45)</f>
        <v>36.7816091954023</v>
      </c>
      <c r="ET45" s="9" t="n">
        <v>3</v>
      </c>
      <c r="EU45" s="18" t="n">
        <v>0</v>
      </c>
      <c r="EV45" s="9" t="n">
        <v>0</v>
      </c>
      <c r="EW45" s="9" t="n">
        <v>0</v>
      </c>
      <c r="EX45" s="9" t="n">
        <v>0</v>
      </c>
      <c r="EY45" s="11" t="n">
        <f aca="false">(EU45+EV45+EW45+EX45)/4</f>
        <v>0</v>
      </c>
      <c r="EZ45" s="11" t="n">
        <f aca="false">(EU45/DR45)</f>
        <v>0</v>
      </c>
      <c r="FA45" s="11" t="n">
        <f aca="false">(EV45/DS45)</f>
        <v>0</v>
      </c>
      <c r="FB45" s="11" t="n">
        <f aca="false">(EW45/DT45)</f>
        <v>0</v>
      </c>
      <c r="FC45" s="11" t="n">
        <f aca="false">(EX45/DU45)</f>
        <v>0</v>
      </c>
      <c r="FD45" s="11" t="n">
        <f aca="false">(EY45/DV45)</f>
        <v>0</v>
      </c>
      <c r="FE45" s="11" t="n">
        <f aca="false">(100*FD45)</f>
        <v>0</v>
      </c>
      <c r="FF45" s="9" t="n">
        <v>0</v>
      </c>
      <c r="FG45" s="9" t="n">
        <v>1</v>
      </c>
      <c r="FH45" s="9" t="n">
        <v>2</v>
      </c>
      <c r="FI45" s="9" t="n">
        <v>1</v>
      </c>
      <c r="FJ45" s="9" t="n">
        <v>0</v>
      </c>
      <c r="FK45" s="11" t="n">
        <f aca="false">(FG45+FH45+FI45+FJ45)/4</f>
        <v>1</v>
      </c>
      <c r="FL45" s="11" t="n">
        <f aca="false">(FG45/DR45)</f>
        <v>0.05</v>
      </c>
      <c r="FM45" s="11" t="n">
        <f aca="false">(FH45/DS45)</f>
        <v>0.133333333333333</v>
      </c>
      <c r="FN45" s="11" t="n">
        <f aca="false">(FI45/DT45)</f>
        <v>0.0588235294117647</v>
      </c>
      <c r="FO45" s="11" t="n">
        <f aca="false">(FJ45/DU45)</f>
        <v>0</v>
      </c>
      <c r="FP45" s="11" t="n">
        <f aca="false">(FK45/DV45)</f>
        <v>0.0459770114942529</v>
      </c>
      <c r="FQ45" s="11" t="n">
        <f aca="false">(100*FP45)</f>
        <v>4.59770114942529</v>
      </c>
      <c r="FR45" s="9" t="n">
        <v>1</v>
      </c>
      <c r="FS45" s="9" t="n">
        <v>67.7</v>
      </c>
      <c r="FT45" s="9" t="n">
        <v>50.8</v>
      </c>
      <c r="FU45" s="9" t="n">
        <v>55.2</v>
      </c>
      <c r="FV45" s="9" t="n">
        <v>66.2</v>
      </c>
      <c r="FW45" s="11" t="n">
        <f aca="false">(FS45+FT45+FU45+FV45)/4</f>
        <v>59.975</v>
      </c>
      <c r="FX45" s="9" t="n">
        <v>0</v>
      </c>
      <c r="FY45" s="9" t="n">
        <v>0</v>
      </c>
      <c r="FZ45" s="9" t="n">
        <v>0</v>
      </c>
      <c r="GA45" s="9" t="n">
        <v>0</v>
      </c>
      <c r="GB45" s="11" t="n">
        <f aca="false">(FX45+FY45+FZ45+GA45)/4</f>
        <v>0</v>
      </c>
      <c r="GC45" s="9" t="n">
        <v>1</v>
      </c>
      <c r="GD45" s="9" t="n">
        <v>1</v>
      </c>
      <c r="GE45" s="9" t="n">
        <v>1</v>
      </c>
      <c r="GF45" s="9" t="n">
        <v>1</v>
      </c>
      <c r="GG45" s="11" t="n">
        <f aca="false">(GC45+GD45+GE45+GF45)/4</f>
        <v>1</v>
      </c>
      <c r="GH45" s="9" t="n">
        <v>1</v>
      </c>
      <c r="GI45" s="9" t="n">
        <v>1</v>
      </c>
      <c r="GJ45" s="9" t="n">
        <v>1</v>
      </c>
      <c r="GK45" s="9" t="n">
        <v>1</v>
      </c>
      <c r="GL45" s="11" t="n">
        <f aca="false">(GH45+GI45+GJ45+GK45)/4</f>
        <v>1</v>
      </c>
      <c r="GM45" s="9" t="n">
        <v>78</v>
      </c>
      <c r="GN45" s="9" t="n">
        <v>152</v>
      </c>
      <c r="GO45" s="9" t="n">
        <v>32</v>
      </c>
      <c r="GP45" s="9" t="n">
        <v>114</v>
      </c>
      <c r="GQ45" s="11" t="n">
        <f aca="false">(GM45+GN45+GO45+GP45)/4</f>
        <v>94</v>
      </c>
      <c r="GR45" s="9" t="n">
        <v>13</v>
      </c>
      <c r="GS45" s="9" t="n">
        <v>23</v>
      </c>
      <c r="GT45" s="9" t="n">
        <v>15</v>
      </c>
      <c r="GU45" s="9" t="n">
        <v>37</v>
      </c>
      <c r="GV45" s="11" t="n">
        <f aca="false">(GR45+GS45+GT45+GU45)/4</f>
        <v>22</v>
      </c>
      <c r="GW45" s="9" t="n">
        <v>0</v>
      </c>
      <c r="GX45" s="9" t="n">
        <v>0</v>
      </c>
      <c r="GY45" s="9" t="n">
        <v>0</v>
      </c>
      <c r="GZ45" s="9" t="n">
        <v>0</v>
      </c>
      <c r="HA45" s="11" t="n">
        <f aca="false">(GW45+GX45+GY45+GZ45)/4</f>
        <v>0</v>
      </c>
      <c r="HB45" s="9" t="n">
        <f aca="false">(GW45/GR45)</f>
        <v>0</v>
      </c>
      <c r="HC45" s="9" t="n">
        <f aca="false">(GX45/GS45)</f>
        <v>0</v>
      </c>
      <c r="HD45" s="9" t="n">
        <f aca="false">(GY45/GT45)</f>
        <v>0</v>
      </c>
      <c r="HE45" s="9" t="n">
        <f aca="false">(GZ45/GU45)/4</f>
        <v>0</v>
      </c>
      <c r="HF45" s="9" t="n">
        <f aca="false">(HB45+HC45+HD45+HE45)/4</f>
        <v>0</v>
      </c>
      <c r="HG45" s="9" t="n">
        <f aca="false">(100*HF45)</f>
        <v>0</v>
      </c>
      <c r="HH45" s="18" t="n">
        <v>0</v>
      </c>
      <c r="HI45" s="9" t="n">
        <v>4</v>
      </c>
      <c r="HJ45" s="9" t="n">
        <v>5</v>
      </c>
      <c r="HK45" s="9" t="n">
        <v>1</v>
      </c>
      <c r="HL45" s="19" t="n">
        <v>1</v>
      </c>
      <c r="HM45" s="9" t="n">
        <f aca="false">(HI45+HJ45+HK45+HL45)/4</f>
        <v>2.75</v>
      </c>
      <c r="HN45" s="9" t="n">
        <f aca="false">(HI45/GR45)</f>
        <v>0.307692307692308</v>
      </c>
      <c r="HO45" s="9" t="n">
        <f aca="false">(HJ45/GS45)</f>
        <v>0.217391304347826</v>
      </c>
      <c r="HP45" s="9" t="n">
        <f aca="false">(HK45/GT45)</f>
        <v>0.0666666666666667</v>
      </c>
      <c r="HQ45" s="9" t="n">
        <f aca="false">(HL45/GU45)</f>
        <v>0.027027027027027</v>
      </c>
      <c r="HR45" s="9" t="n">
        <f aca="false">(HM45/GV45)</f>
        <v>0.125</v>
      </c>
      <c r="HS45" s="9" t="n">
        <f aca="false">(100*HR45)</f>
        <v>12.5</v>
      </c>
      <c r="HT45" s="18" t="n">
        <v>2</v>
      </c>
      <c r="HU45" s="9" t="n">
        <v>0</v>
      </c>
      <c r="HV45" s="9" t="n">
        <v>0</v>
      </c>
      <c r="HW45" s="9" t="n">
        <v>0</v>
      </c>
      <c r="HX45" s="19" t="n">
        <v>0</v>
      </c>
      <c r="HY45" s="9" t="n">
        <f aca="false">(HU45+HV45+HW45+HX45)/4</f>
        <v>0</v>
      </c>
      <c r="HZ45" s="9" t="n">
        <f aca="false">(HU45/GR45)</f>
        <v>0</v>
      </c>
      <c r="IA45" s="9" t="n">
        <f aca="false">HV45/GS45</f>
        <v>0</v>
      </c>
      <c r="IB45" s="9" t="n">
        <f aca="false">(HW45/GT45)</f>
        <v>0</v>
      </c>
      <c r="IC45" s="9" t="n">
        <f aca="false">(HX45/GU45)</f>
        <v>0</v>
      </c>
      <c r="ID45" s="9" t="n">
        <f aca="false">(HY45/GV45)</f>
        <v>0</v>
      </c>
      <c r="IE45" s="9" t="n">
        <f aca="false">(100*ID45)</f>
        <v>0</v>
      </c>
      <c r="IF45" s="18" t="n">
        <v>0</v>
      </c>
      <c r="IG45" s="9" t="n">
        <v>3</v>
      </c>
      <c r="IH45" s="9" t="n">
        <v>4</v>
      </c>
      <c r="II45" s="19" t="n">
        <v>8</v>
      </c>
      <c r="IJ45" s="9" t="n">
        <v>2</v>
      </c>
      <c r="IK45" s="9" t="n">
        <f aca="false">(IG45+IH45+II45+IJ45)/4</f>
        <v>4.25</v>
      </c>
      <c r="IL45" s="9" t="n">
        <f aca="false">(IG45/GM45)</f>
        <v>0.0384615384615385</v>
      </c>
      <c r="IM45" s="9" t="n">
        <f aca="false">(IH45/GN45)</f>
        <v>0.0263157894736842</v>
      </c>
      <c r="IN45" s="9" t="n">
        <f aca="false">(II45/GO45)</f>
        <v>0.25</v>
      </c>
      <c r="IO45" s="9" t="n">
        <f aca="false">(IJ45/GP45)</f>
        <v>0.0175438596491228</v>
      </c>
      <c r="IP45" s="9" t="n">
        <f aca="false">(IK45/GQ45)</f>
        <v>0.0452127659574468</v>
      </c>
      <c r="IQ45" s="9" t="n">
        <f aca="false">(100*IP45)</f>
        <v>4.52127659574468</v>
      </c>
      <c r="IR45" s="18" t="n">
        <v>1</v>
      </c>
      <c r="IS45" s="9" t="n">
        <v>74.3</v>
      </c>
      <c r="IT45" s="9" t="n">
        <v>66.8</v>
      </c>
      <c r="IU45" s="19" t="n">
        <v>67.1</v>
      </c>
      <c r="IV45" s="9" t="n">
        <v>68.1</v>
      </c>
      <c r="IW45" s="9" t="n">
        <f aca="false">(IS45+IT45+IU45+IV45)/4</f>
        <v>69.075</v>
      </c>
      <c r="IX45" s="16" t="n">
        <v>45205</v>
      </c>
      <c r="IY45" s="10" t="s">
        <v>268</v>
      </c>
    </row>
    <row r="46" customFormat="false" ht="15.75" hidden="false" customHeight="true" outlineLevel="0" collapsed="false">
      <c r="A46" s="9" t="s">
        <v>370</v>
      </c>
      <c r="B46" s="10" t="s">
        <v>371</v>
      </c>
      <c r="C46" s="10" t="s">
        <v>261</v>
      </c>
      <c r="D46" s="9" t="n">
        <v>1</v>
      </c>
      <c r="E46" s="9" t="n">
        <v>15</v>
      </c>
      <c r="F46" s="10" t="s">
        <v>377</v>
      </c>
      <c r="G46" s="10" t="s">
        <v>320</v>
      </c>
      <c r="H46" s="9" t="n">
        <v>21</v>
      </c>
      <c r="I46" s="9" t="n">
        <v>20</v>
      </c>
      <c r="J46" s="10" t="s">
        <v>272</v>
      </c>
      <c r="K46" s="20"/>
      <c r="L46" s="20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 t="n">
        <v>0</v>
      </c>
      <c r="Y46" s="9" t="n">
        <v>0</v>
      </c>
      <c r="Z46" s="9" t="n">
        <v>0</v>
      </c>
      <c r="AA46" s="9" t="n">
        <v>0</v>
      </c>
      <c r="AB46" s="11" t="n">
        <f aca="false">(X46+Y46+Z46+AA46)/4</f>
        <v>0</v>
      </c>
      <c r="AC46" s="9" t="n">
        <v>0</v>
      </c>
      <c r="AD46" s="9" t="n">
        <v>1</v>
      </c>
      <c r="AE46" s="9" t="n">
        <v>1</v>
      </c>
      <c r="AF46" s="9" t="n">
        <v>0</v>
      </c>
      <c r="AG46" s="11" t="n">
        <f aca="false">(AC46+AD46+AE46+AF46)/4</f>
        <v>0.5</v>
      </c>
      <c r="AH46" s="9" t="n">
        <v>0</v>
      </c>
      <c r="AI46" s="9" t="n">
        <v>0</v>
      </c>
      <c r="AJ46" s="9" t="n">
        <v>0</v>
      </c>
      <c r="AK46" s="9" t="n">
        <v>0</v>
      </c>
      <c r="AL46" s="11" t="n">
        <f aca="false">(AH46+AI46+AJ46+AK46)/4</f>
        <v>0</v>
      </c>
      <c r="AM46" s="9" t="n">
        <v>65</v>
      </c>
      <c r="AN46" s="9" t="n">
        <v>79</v>
      </c>
      <c r="AO46" s="9" t="n">
        <v>12</v>
      </c>
      <c r="AP46" s="9" t="n">
        <v>46</v>
      </c>
      <c r="AQ46" s="11" t="n">
        <f aca="false">(AM46+AN46+AO46+AP46)/4</f>
        <v>50.5</v>
      </c>
      <c r="AR46" s="9" t="n">
        <v>31</v>
      </c>
      <c r="AS46" s="9" t="n">
        <v>56</v>
      </c>
      <c r="AT46" s="9" t="n">
        <v>8</v>
      </c>
      <c r="AU46" s="9" t="n">
        <v>15</v>
      </c>
      <c r="AV46" s="11" t="n">
        <f aca="false">(AR46+AS46+AT46+AU46)/4</f>
        <v>27.5</v>
      </c>
      <c r="AW46" s="9" t="n">
        <v>0</v>
      </c>
      <c r="AX46" s="9" t="n">
        <v>0</v>
      </c>
      <c r="AY46" s="9" t="n">
        <v>0</v>
      </c>
      <c r="AZ46" s="9" t="n">
        <v>0</v>
      </c>
      <c r="BA46" s="11" t="n">
        <f aca="false">(AW46+AX46+AY46+AZ46)/4</f>
        <v>0</v>
      </c>
      <c r="BB46" s="11" t="n">
        <f aca="false">(AW46/AR46)</f>
        <v>0</v>
      </c>
      <c r="BC46" s="11" t="n">
        <f aca="false">(AX46/AS46)</f>
        <v>0</v>
      </c>
      <c r="BD46" s="11" t="n">
        <f aca="false">(AY46/AT46)</f>
        <v>0</v>
      </c>
      <c r="BE46" s="11" t="n">
        <f aca="false">(AZ46/AU46)</f>
        <v>0</v>
      </c>
      <c r="BF46" s="11" t="n">
        <f aca="false">(BA46/AV46)</f>
        <v>0</v>
      </c>
      <c r="BG46" s="11" t="n">
        <f aca="false">(BF46*100)</f>
        <v>0</v>
      </c>
      <c r="BH46" s="9" t="n">
        <v>0</v>
      </c>
      <c r="BI46" s="9" t="n">
        <v>0</v>
      </c>
      <c r="BJ46" s="9" t="n">
        <v>6</v>
      </c>
      <c r="BK46" s="9" t="n">
        <v>1</v>
      </c>
      <c r="BL46" s="9" t="n">
        <v>0</v>
      </c>
      <c r="BM46" s="11" t="n">
        <f aca="false">(BI46+BJ46+BK46+BL46)/4</f>
        <v>1.75</v>
      </c>
      <c r="BN46" s="11" t="n">
        <f aca="false">(BI46/AR46)</f>
        <v>0</v>
      </c>
      <c r="BO46" s="11" t="n">
        <f aca="false">(BJ46/AS46)</f>
        <v>0.107142857142857</v>
      </c>
      <c r="BP46" s="11" t="n">
        <f aca="false">(BK46/AT46)</f>
        <v>0.125</v>
      </c>
      <c r="BQ46" s="11" t="n">
        <f aca="false">(BL46/AU46)</f>
        <v>0</v>
      </c>
      <c r="BR46" s="11" t="n">
        <f aca="false">(BM46/AV46)</f>
        <v>0.0636363636363636</v>
      </c>
      <c r="BS46" s="11" t="n">
        <f aca="false">(100*BR46)</f>
        <v>6.36363636363636</v>
      </c>
      <c r="BT46" s="9" t="n">
        <v>1</v>
      </c>
      <c r="BU46" s="9" t="n">
        <v>0</v>
      </c>
      <c r="BV46" s="9" t="n">
        <v>0</v>
      </c>
      <c r="BW46" s="9" t="n">
        <v>0</v>
      </c>
      <c r="BX46" s="9" t="n">
        <v>0</v>
      </c>
      <c r="BY46" s="11" t="n">
        <f aca="false">(BU46+BV46+BW46+BX46)/4</f>
        <v>0</v>
      </c>
      <c r="BZ46" s="11" t="n">
        <f aca="false">(BU46/AR46)</f>
        <v>0</v>
      </c>
      <c r="CA46" s="11" t="n">
        <f aca="false">(BV46/AS46)</f>
        <v>0</v>
      </c>
      <c r="CB46" s="11" t="n">
        <f aca="false">(BW46/AT46)</f>
        <v>0</v>
      </c>
      <c r="CC46" s="11" t="n">
        <f aca="false">(BX46/AU46)</f>
        <v>0</v>
      </c>
      <c r="CD46" s="11" t="n">
        <f aca="false">(BY46/AV46)</f>
        <v>0</v>
      </c>
      <c r="CE46" s="11" t="n">
        <f aca="false">(100*CD46)</f>
        <v>0</v>
      </c>
      <c r="CF46" s="9" t="n">
        <v>0</v>
      </c>
      <c r="CG46" s="9" t="n">
        <v>0</v>
      </c>
      <c r="CH46" s="9" t="n">
        <v>0</v>
      </c>
      <c r="CI46" s="9" t="n">
        <v>0</v>
      </c>
      <c r="CJ46" s="9" t="n">
        <v>0</v>
      </c>
      <c r="CK46" s="11" t="n">
        <f aca="false">(CG46+CH46+CI46+CJ46)/4</f>
        <v>0</v>
      </c>
      <c r="CL46" s="11" t="n">
        <f aca="false">(CG46/AM46)</f>
        <v>0</v>
      </c>
      <c r="CM46" s="11" t="n">
        <f aca="false">(CH46/AN46)</f>
        <v>0</v>
      </c>
      <c r="CN46" s="11" t="n">
        <f aca="false">(CI46/AO46)</f>
        <v>0</v>
      </c>
      <c r="CO46" s="9" t="n">
        <f aca="false">(CJ46/AP46)</f>
        <v>0</v>
      </c>
      <c r="CP46" s="9" t="n">
        <f aca="false">(CK46/AQ46)</f>
        <v>0</v>
      </c>
      <c r="CQ46" s="9" t="n">
        <f aca="false">(100*CP46)</f>
        <v>0</v>
      </c>
      <c r="CR46" s="18" t="n">
        <v>0</v>
      </c>
      <c r="CS46" s="9" t="n">
        <v>68.7</v>
      </c>
      <c r="CT46" s="9" t="n">
        <v>52.9</v>
      </c>
      <c r="CU46" s="9" t="n">
        <v>67.1</v>
      </c>
      <c r="CV46" s="9" t="n">
        <v>60.6</v>
      </c>
      <c r="CW46" s="11" t="n">
        <f aca="false">(CS46+CT46+CU46+CV46)/4</f>
        <v>62.325</v>
      </c>
      <c r="CX46" s="9" t="n">
        <v>0</v>
      </c>
      <c r="CY46" s="9" t="n">
        <v>0</v>
      </c>
      <c r="CZ46" s="9" t="n">
        <v>0</v>
      </c>
      <c r="DA46" s="9" t="n">
        <v>0</v>
      </c>
      <c r="DB46" s="11" t="n">
        <f aca="false">(CX46+CY46+CZ46+DA46)/4</f>
        <v>0</v>
      </c>
      <c r="DC46" s="9" t="n">
        <v>0</v>
      </c>
      <c r="DD46" s="9" t="n">
        <v>1</v>
      </c>
      <c r="DE46" s="9" t="n">
        <v>0</v>
      </c>
      <c r="DF46" s="9" t="n">
        <v>0</v>
      </c>
      <c r="DG46" s="11" t="n">
        <f aca="false">(DC46+DD46+DE46+DF46)/4</f>
        <v>0.25</v>
      </c>
      <c r="DH46" s="9" t="n">
        <v>1</v>
      </c>
      <c r="DI46" s="9" t="n">
        <v>1</v>
      </c>
      <c r="DJ46" s="9" t="n">
        <v>0</v>
      </c>
      <c r="DK46" s="9" t="n">
        <v>1</v>
      </c>
      <c r="DL46" s="11" t="n">
        <f aca="false">(DH46+DI46+DJ46+DK46)/4</f>
        <v>0.75</v>
      </c>
      <c r="DM46" s="9" t="n">
        <v>30</v>
      </c>
      <c r="DN46" s="9" t="n">
        <v>48</v>
      </c>
      <c r="DO46" s="9" t="n">
        <v>46</v>
      </c>
      <c r="DP46" s="9" t="n">
        <v>18</v>
      </c>
      <c r="DQ46" s="11" t="n">
        <f aca="false">(DM46+DN46+DO46+DP46)/4</f>
        <v>35.5</v>
      </c>
      <c r="DR46" s="9" t="n">
        <v>12</v>
      </c>
      <c r="DS46" s="9" t="n">
        <v>17</v>
      </c>
      <c r="DT46" s="9" t="n">
        <v>16</v>
      </c>
      <c r="DU46" s="9" t="n">
        <v>15</v>
      </c>
      <c r="DV46" s="11" t="n">
        <f aca="false">(DR46+DS46+DT46+DU46)/4</f>
        <v>15</v>
      </c>
      <c r="DW46" s="9" t="n">
        <v>0</v>
      </c>
      <c r="DX46" s="9" t="n">
        <v>0</v>
      </c>
      <c r="DY46" s="9" t="n">
        <v>0</v>
      </c>
      <c r="DZ46" s="9" t="n">
        <v>0</v>
      </c>
      <c r="EA46" s="11" t="n">
        <f aca="false">(DW46+DX46+DY46+DZ46)/4</f>
        <v>0</v>
      </c>
      <c r="EB46" s="11" t="n">
        <f aca="false">(DW46/DR46)</f>
        <v>0</v>
      </c>
      <c r="EC46" s="11" t="n">
        <f aca="false">(DX46/DS46)</f>
        <v>0</v>
      </c>
      <c r="ED46" s="11" t="n">
        <f aca="false">(DY46/DT46)</f>
        <v>0</v>
      </c>
      <c r="EE46" s="11" t="n">
        <f aca="false">(DZ46/DU46)</f>
        <v>0</v>
      </c>
      <c r="EF46" s="11" t="n">
        <f aca="false">(EA46/DV46)</f>
        <v>0</v>
      </c>
      <c r="EG46" s="11" t="n">
        <f aca="false">(100*EF46)</f>
        <v>0</v>
      </c>
      <c r="EH46" s="9" t="n">
        <v>0</v>
      </c>
      <c r="EI46" s="9" t="n">
        <v>0</v>
      </c>
      <c r="EJ46" s="9" t="n">
        <v>3</v>
      </c>
      <c r="EK46" s="19" t="n">
        <v>0</v>
      </c>
      <c r="EL46" s="9" t="n">
        <v>0</v>
      </c>
      <c r="EM46" s="9" t="n">
        <f aca="false">(EI46+EJ46+EK46+EL46)/4</f>
        <v>0.75</v>
      </c>
      <c r="EN46" s="9" t="n">
        <f aca="false">(EI46/DR46)</f>
        <v>0</v>
      </c>
      <c r="EO46" s="9" t="n">
        <f aca="false">(EJ46/DS46)</f>
        <v>0.176470588235294</v>
      </c>
      <c r="EP46" s="9" t="n">
        <f aca="false">(EK46/DT46)</f>
        <v>0</v>
      </c>
      <c r="EQ46" s="9" t="n">
        <f aca="false">(EL46/DU46)</f>
        <v>0</v>
      </c>
      <c r="ER46" s="9" t="n">
        <f aca="false">EM46/DV46</f>
        <v>0.05</v>
      </c>
      <c r="ES46" s="9" t="n">
        <f aca="false">(100*ER46)</f>
        <v>5</v>
      </c>
      <c r="ET46" s="9" t="n">
        <v>1</v>
      </c>
      <c r="EU46" s="18" t="n">
        <v>0</v>
      </c>
      <c r="EV46" s="9" t="n">
        <v>0</v>
      </c>
      <c r="EW46" s="9" t="n">
        <v>0</v>
      </c>
      <c r="EX46" s="9" t="n">
        <v>0</v>
      </c>
      <c r="EY46" s="11" t="n">
        <f aca="false">(EU46+EV46+EW46+EX46)/4</f>
        <v>0</v>
      </c>
      <c r="EZ46" s="11" t="n">
        <f aca="false">(EU46/DR46)</f>
        <v>0</v>
      </c>
      <c r="FA46" s="11" t="n">
        <f aca="false">(EV46/DS46)</f>
        <v>0</v>
      </c>
      <c r="FB46" s="11" t="n">
        <f aca="false">(EW46/DT46)</f>
        <v>0</v>
      </c>
      <c r="FC46" s="11" t="n">
        <f aca="false">(EX46/DU46)</f>
        <v>0</v>
      </c>
      <c r="FD46" s="11" t="n">
        <f aca="false">(EY46/DV46)</f>
        <v>0</v>
      </c>
      <c r="FE46" s="11" t="n">
        <f aca="false">(100*FD46)</f>
        <v>0</v>
      </c>
      <c r="FF46" s="9" t="n">
        <v>0</v>
      </c>
      <c r="FG46" s="9" t="n">
        <v>6</v>
      </c>
      <c r="FH46" s="9" t="n">
        <v>17</v>
      </c>
      <c r="FI46" s="9" t="n">
        <v>0</v>
      </c>
      <c r="FJ46" s="9" t="n">
        <v>1</v>
      </c>
      <c r="FK46" s="11" t="n">
        <f aca="false">(FG46+FH46+FI46+FJ46)/4</f>
        <v>6</v>
      </c>
      <c r="FL46" s="11" t="n">
        <f aca="false">(FG46/DR46)</f>
        <v>0.5</v>
      </c>
      <c r="FM46" s="11" t="n">
        <f aca="false">(FH46/DS46)</f>
        <v>1</v>
      </c>
      <c r="FN46" s="11" t="n">
        <f aca="false">(FI46/DT46)</f>
        <v>0</v>
      </c>
      <c r="FO46" s="11" t="n">
        <f aca="false">(FJ46/DU46)</f>
        <v>0.0666666666666667</v>
      </c>
      <c r="FP46" s="11" t="n">
        <f aca="false">(FK46/DV46)</f>
        <v>0.4</v>
      </c>
      <c r="FQ46" s="11" t="n">
        <f aca="false">(100*FP46)</f>
        <v>40</v>
      </c>
      <c r="FR46" s="9" t="n">
        <v>3</v>
      </c>
      <c r="FS46" s="9" t="n">
        <v>55.5</v>
      </c>
      <c r="FT46" s="9" t="n">
        <v>71.8</v>
      </c>
      <c r="FU46" s="9" t="n">
        <v>60.7</v>
      </c>
      <c r="FV46" s="9" t="n">
        <v>59.9</v>
      </c>
      <c r="FW46" s="11" t="n">
        <f aca="false">(FS46+FT46+FU46+FV46)/4</f>
        <v>61.975</v>
      </c>
      <c r="FX46" s="9" t="n">
        <v>0</v>
      </c>
      <c r="FY46" s="9" t="n">
        <v>0</v>
      </c>
      <c r="FZ46" s="9" t="n">
        <v>0</v>
      </c>
      <c r="GA46" s="9" t="n">
        <v>0</v>
      </c>
      <c r="GB46" s="11" t="n">
        <f aca="false">(FX46+FY46+FZ46+GA46)/4</f>
        <v>0</v>
      </c>
      <c r="GC46" s="9" t="n">
        <v>1</v>
      </c>
      <c r="GD46" s="9" t="n">
        <v>0</v>
      </c>
      <c r="GE46" s="9" t="n">
        <v>1</v>
      </c>
      <c r="GF46" s="9" t="n">
        <v>1</v>
      </c>
      <c r="GG46" s="11" t="n">
        <f aca="false">(GC46+GD46+GE46+GF46)/4</f>
        <v>0.75</v>
      </c>
      <c r="GH46" s="9" t="n">
        <v>1</v>
      </c>
      <c r="GI46" s="9" t="n">
        <v>1</v>
      </c>
      <c r="GJ46" s="9" t="n">
        <v>1</v>
      </c>
      <c r="GK46" s="9" t="n">
        <v>1</v>
      </c>
      <c r="GL46" s="11" t="n">
        <f aca="false">(GH46+GI46+GJ46+GK46)/4</f>
        <v>1</v>
      </c>
      <c r="GM46" s="9" t="n">
        <v>65</v>
      </c>
      <c r="GN46" s="9" t="n">
        <v>50</v>
      </c>
      <c r="GO46" s="9" t="n">
        <v>56</v>
      </c>
      <c r="GP46" s="9" t="n">
        <v>9</v>
      </c>
      <c r="GQ46" s="11" t="n">
        <f aca="false">(GM46+GN46+GO46+GP46)/4</f>
        <v>45</v>
      </c>
      <c r="GR46" s="9" t="n">
        <v>15</v>
      </c>
      <c r="GS46" s="9" t="n">
        <v>14</v>
      </c>
      <c r="GT46" s="9" t="n">
        <v>15</v>
      </c>
      <c r="GU46" s="9" t="n">
        <v>14</v>
      </c>
      <c r="GV46" s="11" t="n">
        <f aca="false">(GR46+GS46+GT46+GU46)/4</f>
        <v>14.5</v>
      </c>
      <c r="GW46" s="9" t="n">
        <v>0</v>
      </c>
      <c r="GX46" s="9" t="n">
        <v>0</v>
      </c>
      <c r="GY46" s="9" t="n">
        <v>0</v>
      </c>
      <c r="GZ46" s="9" t="n">
        <v>0</v>
      </c>
      <c r="HA46" s="11" t="n">
        <f aca="false">(GW46+GX46+GY46+GZ46)/4</f>
        <v>0</v>
      </c>
      <c r="HB46" s="9" t="n">
        <f aca="false">(GW46/GR46)</f>
        <v>0</v>
      </c>
      <c r="HC46" s="9" t="n">
        <f aca="false">(GX46/GS46)</f>
        <v>0</v>
      </c>
      <c r="HD46" s="9" t="n">
        <f aca="false">(GY46/GT46)</f>
        <v>0</v>
      </c>
      <c r="HE46" s="9" t="n">
        <f aca="false">(GZ46/GU46)/4</f>
        <v>0</v>
      </c>
      <c r="HF46" s="9" t="n">
        <f aca="false">(HB46+HC46+HD46+HE46)/4</f>
        <v>0</v>
      </c>
      <c r="HG46" s="9" t="n">
        <f aca="false">(100*HF46)</f>
        <v>0</v>
      </c>
      <c r="HH46" s="18" t="n">
        <v>0</v>
      </c>
      <c r="HI46" s="9" t="n">
        <v>5</v>
      </c>
      <c r="HJ46" s="9" t="n">
        <v>0</v>
      </c>
      <c r="HK46" s="9" t="n">
        <v>4</v>
      </c>
      <c r="HL46" s="19" t="n">
        <v>1</v>
      </c>
      <c r="HM46" s="9" t="n">
        <f aca="false">(HI46+HJ46+HK46+HL46)/4</f>
        <v>2.5</v>
      </c>
      <c r="HN46" s="9" t="n">
        <f aca="false">(HI46/GR46)</f>
        <v>0.333333333333333</v>
      </c>
      <c r="HO46" s="9" t="n">
        <f aca="false">(HJ46/GS46)</f>
        <v>0</v>
      </c>
      <c r="HP46" s="9" t="n">
        <f aca="false">(HK46/GT46)</f>
        <v>0.266666666666667</v>
      </c>
      <c r="HQ46" s="9" t="n">
        <f aca="false">(HL46/GU46)</f>
        <v>0.0714285714285714</v>
      </c>
      <c r="HR46" s="9" t="n">
        <f aca="false">(HM46/GV46)</f>
        <v>0.172413793103448</v>
      </c>
      <c r="HS46" s="9" t="n">
        <f aca="false">(100*HR46)</f>
        <v>17.2413793103448</v>
      </c>
      <c r="HT46" s="18" t="n">
        <v>2</v>
      </c>
      <c r="HU46" s="9" t="n">
        <v>0</v>
      </c>
      <c r="HV46" s="9" t="n">
        <v>0</v>
      </c>
      <c r="HW46" s="9" t="n">
        <v>0</v>
      </c>
      <c r="HX46" s="19" t="n">
        <v>0</v>
      </c>
      <c r="HY46" s="9" t="n">
        <f aca="false">(HU46+HV46+HW46+HX46)/4</f>
        <v>0</v>
      </c>
      <c r="HZ46" s="9" t="n">
        <f aca="false">(HU46/GR46)</f>
        <v>0</v>
      </c>
      <c r="IA46" s="9" t="n">
        <f aca="false">HV46/GS46</f>
        <v>0</v>
      </c>
      <c r="IB46" s="9" t="n">
        <f aca="false">(HW46/GT46)</f>
        <v>0</v>
      </c>
      <c r="IC46" s="9" t="n">
        <f aca="false">(HX46/GU46)</f>
        <v>0</v>
      </c>
      <c r="ID46" s="9" t="n">
        <f aca="false">(HY46/GV46)</f>
        <v>0</v>
      </c>
      <c r="IE46" s="9" t="n">
        <f aca="false">(100*ID46)</f>
        <v>0</v>
      </c>
      <c r="IF46" s="18" t="n">
        <v>0</v>
      </c>
      <c r="IG46" s="9" t="n">
        <v>3</v>
      </c>
      <c r="IH46" s="9" t="n">
        <v>14</v>
      </c>
      <c r="II46" s="19" t="n">
        <v>14</v>
      </c>
      <c r="IJ46" s="9" t="n">
        <v>1</v>
      </c>
      <c r="IK46" s="9" t="n">
        <f aca="false">(IG46+IH46+II46+IJ46)/4</f>
        <v>8</v>
      </c>
      <c r="IL46" s="9" t="n">
        <f aca="false">(IG46/GM46)</f>
        <v>0.0461538461538462</v>
      </c>
      <c r="IM46" s="9" t="n">
        <f aca="false">(IH46/GN46)</f>
        <v>0.28</v>
      </c>
      <c r="IN46" s="9" t="n">
        <f aca="false">(II46/GO46)</f>
        <v>0.25</v>
      </c>
      <c r="IO46" s="9" t="n">
        <f aca="false">(IJ46/GP46)</f>
        <v>0.111111111111111</v>
      </c>
      <c r="IP46" s="9" t="n">
        <f aca="false">(IK46/GQ46)</f>
        <v>0.177777777777778</v>
      </c>
      <c r="IQ46" s="9" t="n">
        <f aca="false">(100*IP46)</f>
        <v>17.7777777777778</v>
      </c>
      <c r="IR46" s="18" t="n">
        <v>2</v>
      </c>
      <c r="IS46" s="9" t="n">
        <v>60.9</v>
      </c>
      <c r="IT46" s="9" t="n">
        <v>66</v>
      </c>
      <c r="IU46" s="19" t="n">
        <v>66.4</v>
      </c>
      <c r="IV46" s="9" t="n">
        <v>59.6</v>
      </c>
      <c r="IW46" s="9" t="n">
        <f aca="false">(IS46+IT46+IU46+IV46)/4</f>
        <v>63.225</v>
      </c>
      <c r="IX46" s="16" t="n">
        <v>45205</v>
      </c>
      <c r="IY46" s="10" t="s">
        <v>268</v>
      </c>
    </row>
    <row r="47" customFormat="false" ht="15.75" hidden="false" customHeight="true" outlineLevel="0" collapsed="false">
      <c r="A47" s="9" t="s">
        <v>370</v>
      </c>
      <c r="B47" s="10" t="s">
        <v>378</v>
      </c>
      <c r="C47" s="10" t="s">
        <v>261</v>
      </c>
      <c r="D47" s="9" t="n">
        <v>2</v>
      </c>
      <c r="E47" s="9" t="n">
        <v>16</v>
      </c>
      <c r="F47" s="10" t="s">
        <v>379</v>
      </c>
      <c r="G47" s="10" t="s">
        <v>320</v>
      </c>
      <c r="H47" s="9" t="n">
        <v>21</v>
      </c>
      <c r="I47" s="9" t="n">
        <v>5</v>
      </c>
      <c r="J47" s="12" t="s">
        <v>264</v>
      </c>
      <c r="K47" s="13" t="s">
        <v>380</v>
      </c>
      <c r="L47" s="13" t="s">
        <v>381</v>
      </c>
      <c r="M47" s="14" t="n">
        <v>1305</v>
      </c>
      <c r="N47" s="15" t="n">
        <v>45134</v>
      </c>
      <c r="O47" s="10" t="s">
        <v>267</v>
      </c>
      <c r="P47" s="9"/>
      <c r="Q47" s="9" t="n">
        <v>1.04</v>
      </c>
      <c r="R47" s="9" t="n">
        <v>12</v>
      </c>
      <c r="S47" s="9" t="n">
        <v>-12</v>
      </c>
      <c r="T47" s="9" t="n">
        <v>90</v>
      </c>
      <c r="U47" s="9"/>
      <c r="V47" s="9" t="n">
        <f aca="false">(28.8/100)</f>
        <v>0.288</v>
      </c>
      <c r="W47" s="22" t="s">
        <v>382</v>
      </c>
      <c r="X47" s="9" t="n">
        <v>0</v>
      </c>
      <c r="Y47" s="9" t="n">
        <v>1</v>
      </c>
      <c r="Z47" s="9" t="n">
        <v>0</v>
      </c>
      <c r="AA47" s="9" t="n">
        <v>1</v>
      </c>
      <c r="AB47" s="11" t="n">
        <f aca="false">(X47+Y47+Z47+AA47)/4</f>
        <v>0.5</v>
      </c>
      <c r="AC47" s="9" t="n">
        <v>0</v>
      </c>
      <c r="AD47" s="9" t="n">
        <v>1</v>
      </c>
      <c r="AE47" s="9" t="n">
        <v>1</v>
      </c>
      <c r="AF47" s="9" t="n">
        <v>0</v>
      </c>
      <c r="AG47" s="11" t="n">
        <f aca="false">(AC47+AD47+AE47+AF47)/4</f>
        <v>0.5</v>
      </c>
      <c r="AH47" s="9" t="n">
        <v>1</v>
      </c>
      <c r="AI47" s="9" t="n">
        <v>0</v>
      </c>
      <c r="AJ47" s="9" t="n">
        <v>1</v>
      </c>
      <c r="AK47" s="9" t="n">
        <v>1</v>
      </c>
      <c r="AL47" s="11" t="n">
        <f aca="false">(AH47+AI47+AJ47+AK47)/4</f>
        <v>0.75</v>
      </c>
      <c r="AM47" s="9" t="n">
        <v>147</v>
      </c>
      <c r="AN47" s="9" t="n">
        <v>15</v>
      </c>
      <c r="AO47" s="9" t="n">
        <v>125</v>
      </c>
      <c r="AP47" s="9" t="n">
        <v>185</v>
      </c>
      <c r="AQ47" s="11" t="n">
        <f aca="false">(AM47+AN47+AO47+AP47)/4</f>
        <v>118</v>
      </c>
      <c r="AR47" s="9" t="n">
        <v>12</v>
      </c>
      <c r="AS47" s="9" t="n">
        <v>43</v>
      </c>
      <c r="AT47" s="9" t="n">
        <v>21</v>
      </c>
      <c r="AU47" s="9" t="n">
        <v>8</v>
      </c>
      <c r="AV47" s="11" t="n">
        <f aca="false">(AR47+AS47+AT47+AU47)/4</f>
        <v>21</v>
      </c>
      <c r="AW47" s="9" t="n">
        <v>0</v>
      </c>
      <c r="AX47" s="9" t="n">
        <v>1</v>
      </c>
      <c r="AY47" s="9" t="n">
        <v>0</v>
      </c>
      <c r="AZ47" s="9" t="n">
        <v>1</v>
      </c>
      <c r="BA47" s="11" t="n">
        <f aca="false">(AW47+AX47+AY47+AZ47)/4</f>
        <v>0.5</v>
      </c>
      <c r="BB47" s="11" t="n">
        <f aca="false">(AW47/AR47)</f>
        <v>0</v>
      </c>
      <c r="BC47" s="11" t="n">
        <f aca="false">(AX47/AS47)</f>
        <v>0.0232558139534884</v>
      </c>
      <c r="BD47" s="11" t="n">
        <f aca="false">(AY47/AT47)</f>
        <v>0</v>
      </c>
      <c r="BE47" s="11" t="n">
        <f aca="false">(AZ47/AU47)</f>
        <v>0.125</v>
      </c>
      <c r="BF47" s="11" t="n">
        <f aca="false">(BA47/AV47)</f>
        <v>0.0238095238095238</v>
      </c>
      <c r="BG47" s="11" t="n">
        <f aca="false">(BF47*100)</f>
        <v>2.38095238095238</v>
      </c>
      <c r="BH47" s="9" t="n">
        <v>1</v>
      </c>
      <c r="BI47" s="9" t="n">
        <v>0</v>
      </c>
      <c r="BJ47" s="9" t="n">
        <v>2</v>
      </c>
      <c r="BK47" s="9" t="n">
        <v>3</v>
      </c>
      <c r="BL47" s="9" t="n">
        <v>0</v>
      </c>
      <c r="BM47" s="11" t="n">
        <f aca="false">(BI47+BJ47+BK47+BL47)/4</f>
        <v>1.25</v>
      </c>
      <c r="BN47" s="11" t="n">
        <f aca="false">(BI47/AR47)</f>
        <v>0</v>
      </c>
      <c r="BO47" s="11" t="n">
        <f aca="false">(BJ47/AS47)</f>
        <v>0.0465116279069767</v>
      </c>
      <c r="BP47" s="11" t="n">
        <f aca="false">(BK47/AT47)</f>
        <v>0.142857142857143</v>
      </c>
      <c r="BQ47" s="11" t="n">
        <f aca="false">(BL47/AU47)</f>
        <v>0</v>
      </c>
      <c r="BR47" s="11" t="n">
        <f aca="false">(BM47/AV47)</f>
        <v>0.0595238095238095</v>
      </c>
      <c r="BS47" s="11" t="n">
        <f aca="false">(100*BR47)</f>
        <v>5.95238095238095</v>
      </c>
      <c r="BT47" s="9" t="n">
        <v>1</v>
      </c>
      <c r="BU47" s="9" t="n">
        <v>4</v>
      </c>
      <c r="BV47" s="9" t="n">
        <v>0</v>
      </c>
      <c r="BW47" s="9" t="n">
        <v>1</v>
      </c>
      <c r="BX47" s="9" t="n">
        <v>0</v>
      </c>
      <c r="BY47" s="11" t="n">
        <f aca="false">(BU47+BV47+BW47+BX47)/4</f>
        <v>1.25</v>
      </c>
      <c r="BZ47" s="11" t="n">
        <f aca="false">(BU47/AR47)</f>
        <v>0.333333333333333</v>
      </c>
      <c r="CA47" s="11" t="n">
        <f aca="false">(BV47/AS47)</f>
        <v>0</v>
      </c>
      <c r="CB47" s="11" t="n">
        <f aca="false">(BW47/AT47)</f>
        <v>0.0476190476190476</v>
      </c>
      <c r="CC47" s="11" t="n">
        <f aca="false">(BX47/AU47)</f>
        <v>0</v>
      </c>
      <c r="CD47" s="11" t="n">
        <f aca="false">(BY47/AV47)</f>
        <v>0.0595238095238095</v>
      </c>
      <c r="CE47" s="11" t="n">
        <f aca="false">(100*CD47)</f>
        <v>5.95238095238095</v>
      </c>
      <c r="CF47" s="9" t="n">
        <v>1</v>
      </c>
      <c r="CG47" s="9" t="n">
        <v>5</v>
      </c>
      <c r="CH47" s="9" t="n">
        <v>0</v>
      </c>
      <c r="CI47" s="9" t="n">
        <v>13</v>
      </c>
      <c r="CJ47" s="9" t="n">
        <v>9</v>
      </c>
      <c r="CK47" s="11" t="n">
        <f aca="false">(CG47+CH47+CI47+CJ47)/4</f>
        <v>6.75</v>
      </c>
      <c r="CL47" s="11" t="n">
        <f aca="false">(CG47/AM47)</f>
        <v>0.0340136054421769</v>
      </c>
      <c r="CM47" s="11" t="n">
        <f aca="false">(CH47/AN47)</f>
        <v>0</v>
      </c>
      <c r="CN47" s="11" t="n">
        <f aca="false">(CI47/AO47)</f>
        <v>0.104</v>
      </c>
      <c r="CO47" s="9" t="n">
        <f aca="false">(CJ47/AP47)</f>
        <v>0.0486486486486487</v>
      </c>
      <c r="CP47" s="9" t="n">
        <f aca="false">(CK47/AQ47)</f>
        <v>0.0572033898305085</v>
      </c>
      <c r="CQ47" s="9" t="n">
        <f aca="false">(100*CP47)</f>
        <v>5.72033898305085</v>
      </c>
      <c r="CR47" s="18" t="n">
        <v>1</v>
      </c>
      <c r="CS47" s="9" t="n">
        <v>66.2</v>
      </c>
      <c r="CT47" s="9" t="n">
        <v>57.7</v>
      </c>
      <c r="CU47" s="9" t="n">
        <v>51.4</v>
      </c>
      <c r="CV47" s="9" t="n">
        <v>50.8</v>
      </c>
      <c r="CW47" s="11" t="n">
        <f aca="false">(CS47+CT47+CU47+CV47)/4</f>
        <v>56.525</v>
      </c>
      <c r="CX47" s="9" t="n">
        <v>0</v>
      </c>
      <c r="CY47" s="9" t="n">
        <v>1</v>
      </c>
      <c r="CZ47" s="9" t="n">
        <v>0</v>
      </c>
      <c r="DA47" s="9" t="n">
        <v>0</v>
      </c>
      <c r="DB47" s="11" t="n">
        <f aca="false">(CX47+CY47+CZ47+DA47)/4</f>
        <v>0.25</v>
      </c>
      <c r="DC47" s="9" t="n">
        <v>1</v>
      </c>
      <c r="DD47" s="9" t="n">
        <v>1</v>
      </c>
      <c r="DE47" s="9" t="n">
        <v>1</v>
      </c>
      <c r="DF47" s="9" t="n">
        <v>0</v>
      </c>
      <c r="DG47" s="11" t="n">
        <f aca="false">(DC47+DD47+DE47+DF47)/4</f>
        <v>0.75</v>
      </c>
      <c r="DH47" s="9" t="n">
        <v>1</v>
      </c>
      <c r="DI47" s="9" t="n">
        <v>1</v>
      </c>
      <c r="DJ47" s="9" t="n">
        <v>1</v>
      </c>
      <c r="DK47" s="9" t="n">
        <v>1</v>
      </c>
      <c r="DL47" s="11" t="n">
        <f aca="false">(DH47+DI47+DJ47+DK47)/4</f>
        <v>1</v>
      </c>
      <c r="DM47" s="9" t="n">
        <v>163</v>
      </c>
      <c r="DN47" s="9" t="n">
        <v>78</v>
      </c>
      <c r="DO47" s="9" t="n">
        <v>137</v>
      </c>
      <c r="DP47" s="9" t="n">
        <v>19</v>
      </c>
      <c r="DQ47" s="11" t="n">
        <f aca="false">(DM47+DN47+DO47+DP47)/4</f>
        <v>99.25</v>
      </c>
      <c r="DR47" s="9" t="n">
        <v>9</v>
      </c>
      <c r="DS47" s="9" t="n">
        <v>15</v>
      </c>
      <c r="DT47" s="9" t="n">
        <v>4</v>
      </c>
      <c r="DU47" s="9" t="n">
        <v>17</v>
      </c>
      <c r="DV47" s="11" t="n">
        <f aca="false">(DR47+DS47+DT47+DU47)/4</f>
        <v>11.25</v>
      </c>
      <c r="DW47" s="9" t="n">
        <v>0</v>
      </c>
      <c r="DX47" s="9" t="n">
        <v>1</v>
      </c>
      <c r="DY47" s="9" t="n">
        <v>0</v>
      </c>
      <c r="DZ47" s="9" t="n">
        <v>0</v>
      </c>
      <c r="EA47" s="11" t="n">
        <f aca="false">(DW47+DX47+DY47+DZ47)/4</f>
        <v>0.25</v>
      </c>
      <c r="EB47" s="11" t="n">
        <f aca="false">(DW47/DR47)</f>
        <v>0</v>
      </c>
      <c r="EC47" s="11" t="n">
        <f aca="false">(DX47/DS47)</f>
        <v>0.0666666666666667</v>
      </c>
      <c r="ED47" s="11" t="n">
        <f aca="false">(DY47/DT47)</f>
        <v>0</v>
      </c>
      <c r="EE47" s="11" t="n">
        <f aca="false">(DZ47/DU47)</f>
        <v>0</v>
      </c>
      <c r="EF47" s="11" t="n">
        <f aca="false">(EA47/DV47)</f>
        <v>0.0222222222222222</v>
      </c>
      <c r="EG47" s="11" t="n">
        <f aca="false">(100*EF47)</f>
        <v>2.22222222222222</v>
      </c>
      <c r="EH47" s="9" t="n">
        <v>1</v>
      </c>
      <c r="EI47" s="9" t="n">
        <v>1</v>
      </c>
      <c r="EJ47" s="9" t="n">
        <v>3</v>
      </c>
      <c r="EK47" s="19" t="n">
        <v>1</v>
      </c>
      <c r="EL47" s="9" t="n">
        <v>0</v>
      </c>
      <c r="EM47" s="9" t="n">
        <f aca="false">(EI47+EJ47+EK47+EL47)/4</f>
        <v>1.25</v>
      </c>
      <c r="EN47" s="9" t="n">
        <f aca="false">(EI47/DR47)</f>
        <v>0.111111111111111</v>
      </c>
      <c r="EO47" s="9" t="n">
        <f aca="false">(EJ47/DS47)</f>
        <v>0.2</v>
      </c>
      <c r="EP47" s="9" t="n">
        <f aca="false">(EK47/DT47)</f>
        <v>0.25</v>
      </c>
      <c r="EQ47" s="9" t="n">
        <f aca="false">(EL47/DU47)</f>
        <v>0</v>
      </c>
      <c r="ER47" s="9" t="n">
        <f aca="false">EM47/DV47</f>
        <v>0.111111111111111</v>
      </c>
      <c r="ES47" s="9" t="n">
        <f aca="false">(100*ER47)</f>
        <v>11.1111111111111</v>
      </c>
      <c r="ET47" s="9" t="n">
        <v>2</v>
      </c>
      <c r="EU47" s="18" t="n">
        <v>2</v>
      </c>
      <c r="EV47" s="9" t="n">
        <v>0</v>
      </c>
      <c r="EW47" s="9" t="n">
        <v>0</v>
      </c>
      <c r="EX47" s="9" t="n">
        <v>5</v>
      </c>
      <c r="EY47" s="11" t="n">
        <f aca="false">(EU47+EV47+EW47+EX47)/4</f>
        <v>1.75</v>
      </c>
      <c r="EZ47" s="11" t="n">
        <f aca="false">(EU47/DR47)</f>
        <v>0.222222222222222</v>
      </c>
      <c r="FA47" s="11" t="n">
        <f aca="false">(EV47/DS47)</f>
        <v>0</v>
      </c>
      <c r="FB47" s="11" t="n">
        <f aca="false">(EW47/DT47)</f>
        <v>0</v>
      </c>
      <c r="FC47" s="11" t="n">
        <f aca="false">(EX47/DU47)</f>
        <v>0.294117647058824</v>
      </c>
      <c r="FD47" s="11" t="n">
        <f aca="false">(EY47/DV47)</f>
        <v>0.155555555555556</v>
      </c>
      <c r="FE47" s="11" t="n">
        <f aca="false">(100*FD47)</f>
        <v>15.5555555555556</v>
      </c>
      <c r="FF47" s="9" t="n">
        <v>2</v>
      </c>
      <c r="FG47" s="9" t="n">
        <v>3</v>
      </c>
      <c r="FH47" s="9" t="n">
        <v>12</v>
      </c>
      <c r="FI47" s="9" t="n">
        <v>13</v>
      </c>
      <c r="FJ47" s="9" t="n">
        <v>2</v>
      </c>
      <c r="FK47" s="11" t="n">
        <f aca="false">(FG47+FH47+FI47+FJ47)/4</f>
        <v>7.5</v>
      </c>
      <c r="FL47" s="11" t="n">
        <f aca="false">(FG47/DR47)</f>
        <v>0.333333333333333</v>
      </c>
      <c r="FM47" s="11" t="n">
        <f aca="false">(FH47/DS47)</f>
        <v>0.8</v>
      </c>
      <c r="FN47" s="11" t="n">
        <f aca="false">(FI47/DT47)</f>
        <v>3.25</v>
      </c>
      <c r="FO47" s="11" t="n">
        <f aca="false">(FJ47/DU47)</f>
        <v>0.117647058823529</v>
      </c>
      <c r="FP47" s="11" t="n">
        <f aca="false">(FK47/DV47)</f>
        <v>0.666666666666667</v>
      </c>
      <c r="FQ47" s="11" t="n">
        <f aca="false">(100*FP47)</f>
        <v>66.6666666666667</v>
      </c>
      <c r="FR47" s="9" t="n">
        <v>3</v>
      </c>
      <c r="FS47" s="9" t="n">
        <v>63.5</v>
      </c>
      <c r="FT47" s="9" t="n">
        <v>65.1</v>
      </c>
      <c r="FU47" s="9" t="n">
        <v>53.1</v>
      </c>
      <c r="FV47" s="9" t="n">
        <v>69.8</v>
      </c>
      <c r="FW47" s="11" t="n">
        <f aca="false">(FS47+FT47+FU47+FV47)/4</f>
        <v>62.875</v>
      </c>
      <c r="FX47" s="9" t="n">
        <v>0</v>
      </c>
      <c r="FY47" s="9" t="n">
        <v>0</v>
      </c>
      <c r="FZ47" s="9" t="n">
        <v>1</v>
      </c>
      <c r="GA47" s="9" t="n">
        <v>1</v>
      </c>
      <c r="GB47" s="11" t="n">
        <f aca="false">(FX47+FY47+FZ47+GA47)/4</f>
        <v>0.5</v>
      </c>
      <c r="GC47" s="9" t="n">
        <v>0</v>
      </c>
      <c r="GD47" s="9" t="n">
        <v>0</v>
      </c>
      <c r="GE47" s="9" t="n">
        <v>0</v>
      </c>
      <c r="GF47" s="9" t="n">
        <v>1</v>
      </c>
      <c r="GG47" s="11" t="n">
        <f aca="false">(GC47+GD47+GE47+GF47)/4</f>
        <v>0.25</v>
      </c>
      <c r="GH47" s="9" t="n">
        <v>1</v>
      </c>
      <c r="GI47" s="9" t="n">
        <v>1</v>
      </c>
      <c r="GJ47" s="9" t="n">
        <v>1</v>
      </c>
      <c r="GK47" s="9" t="n">
        <v>1</v>
      </c>
      <c r="GL47" s="11" t="n">
        <f aca="false">(GH47+GI47+GJ47+GK47)/4</f>
        <v>1</v>
      </c>
      <c r="GM47" s="9" t="n">
        <v>31</v>
      </c>
      <c r="GN47" s="9" t="n">
        <v>138</v>
      </c>
      <c r="GO47" s="9" t="n">
        <v>104</v>
      </c>
      <c r="GP47" s="9" t="n">
        <v>166</v>
      </c>
      <c r="GQ47" s="11" t="n">
        <f aca="false">(GM47+GN47+GO47+GP47)/4</f>
        <v>109.75</v>
      </c>
      <c r="GR47" s="9" t="n">
        <v>19</v>
      </c>
      <c r="GS47" s="9" t="n">
        <v>16</v>
      </c>
      <c r="GT47" s="9" t="n">
        <v>25</v>
      </c>
      <c r="GU47" s="9" t="n">
        <v>8</v>
      </c>
      <c r="GV47" s="11" t="n">
        <f aca="false">(GR47+GS47+GT47+GU47)/4</f>
        <v>17</v>
      </c>
      <c r="GW47" s="9" t="n">
        <v>0</v>
      </c>
      <c r="GX47" s="9" t="n">
        <v>0</v>
      </c>
      <c r="GY47" s="9" t="n">
        <v>1</v>
      </c>
      <c r="GZ47" s="9" t="n">
        <v>1</v>
      </c>
      <c r="HA47" s="11" t="n">
        <f aca="false">(GW47+GX47+GY47+GZ47)/4</f>
        <v>0.5</v>
      </c>
      <c r="HB47" s="9" t="n">
        <f aca="false">(GW47/GR47)</f>
        <v>0</v>
      </c>
      <c r="HC47" s="9" t="n">
        <f aca="false">(GX47/GS47)</f>
        <v>0</v>
      </c>
      <c r="HD47" s="9" t="n">
        <f aca="false">(GY47/GT47)</f>
        <v>0.04</v>
      </c>
      <c r="HE47" s="9" t="n">
        <f aca="false">(GZ47/GU47)/4</f>
        <v>0.03125</v>
      </c>
      <c r="HF47" s="9" t="n">
        <f aca="false">(HB47+HC47+HD47+HE47)/4</f>
        <v>0.0178125</v>
      </c>
      <c r="HG47" s="9" t="n">
        <f aca="false">(100*HF47)</f>
        <v>1.78125</v>
      </c>
      <c r="HH47" s="18" t="n">
        <v>1</v>
      </c>
      <c r="HI47" s="9" t="n">
        <v>0</v>
      </c>
      <c r="HJ47" s="9" t="n">
        <v>0</v>
      </c>
      <c r="HK47" s="9" t="n">
        <v>0</v>
      </c>
      <c r="HL47" s="19" t="n">
        <v>1</v>
      </c>
      <c r="HM47" s="9" t="n">
        <f aca="false">(HI47+HJ47+HK47+HL47)/4</f>
        <v>0.25</v>
      </c>
      <c r="HN47" s="9" t="n">
        <f aca="false">(HI47/GR47)</f>
        <v>0</v>
      </c>
      <c r="HO47" s="9" t="n">
        <f aca="false">(HJ47/GS47)</f>
        <v>0</v>
      </c>
      <c r="HP47" s="9" t="n">
        <f aca="false">(HK47/GT47)</f>
        <v>0</v>
      </c>
      <c r="HQ47" s="9" t="n">
        <f aca="false">(HL47/GU47)</f>
        <v>0.125</v>
      </c>
      <c r="HR47" s="9" t="n">
        <f aca="false">(HM47/GV47)</f>
        <v>0.0147058823529412</v>
      </c>
      <c r="HS47" s="9" t="n">
        <f aca="false">(100*HR47)</f>
        <v>1.47058823529412</v>
      </c>
      <c r="HT47" s="18" t="n">
        <v>1</v>
      </c>
      <c r="HU47" s="9" t="n">
        <v>4</v>
      </c>
      <c r="HV47" s="9" t="n">
        <v>2</v>
      </c>
      <c r="HW47" s="9" t="n">
        <v>2</v>
      </c>
      <c r="HX47" s="19" t="n">
        <v>0</v>
      </c>
      <c r="HY47" s="9" t="n">
        <f aca="false">(HU47+HV47+HW47+HX47)/4</f>
        <v>2</v>
      </c>
      <c r="HZ47" s="9" t="n">
        <f aca="false">(HU47/GR47)</f>
        <v>0.210526315789474</v>
      </c>
      <c r="IA47" s="9" t="n">
        <f aca="false">HV47/GS47</f>
        <v>0.125</v>
      </c>
      <c r="IB47" s="9" t="n">
        <f aca="false">(HW47/GT47)</f>
        <v>0.08</v>
      </c>
      <c r="IC47" s="9" t="n">
        <f aca="false">(HX47/GU47)</f>
        <v>0</v>
      </c>
      <c r="ID47" s="9" t="n">
        <f aca="false">(HY47/GV47)</f>
        <v>0.117647058823529</v>
      </c>
      <c r="IE47" s="9" t="n">
        <f aca="false">(100*ID47)</f>
        <v>11.7647058823529</v>
      </c>
      <c r="IF47" s="18" t="n">
        <v>2</v>
      </c>
      <c r="IG47" s="9" t="n">
        <v>7</v>
      </c>
      <c r="IH47" s="9" t="n">
        <v>19</v>
      </c>
      <c r="II47" s="19" t="n">
        <v>17</v>
      </c>
      <c r="IJ47" s="9" t="n">
        <v>18</v>
      </c>
      <c r="IK47" s="9" t="n">
        <f aca="false">(IG47+IH47+II47+IJ47)/4</f>
        <v>15.25</v>
      </c>
      <c r="IL47" s="9" t="n">
        <f aca="false">(IG47/GM47)</f>
        <v>0.225806451612903</v>
      </c>
      <c r="IM47" s="9" t="n">
        <f aca="false">(IH47/GN47)</f>
        <v>0.13768115942029</v>
      </c>
      <c r="IN47" s="9" t="n">
        <f aca="false">(II47/GO47)</f>
        <v>0.163461538461538</v>
      </c>
      <c r="IO47" s="9" t="n">
        <f aca="false">(IJ47/GP47)</f>
        <v>0.108433734939759</v>
      </c>
      <c r="IP47" s="9" t="n">
        <f aca="false">(IK47/GQ47)</f>
        <v>0.138952164009112</v>
      </c>
      <c r="IQ47" s="9" t="n">
        <f aca="false">(100*IP47)</f>
        <v>13.8952164009112</v>
      </c>
      <c r="IR47" s="18" t="n">
        <v>32</v>
      </c>
      <c r="IS47" s="9" t="n">
        <v>53</v>
      </c>
      <c r="IT47" s="9" t="n">
        <v>63.5</v>
      </c>
      <c r="IU47" s="19" t="n">
        <v>63.8</v>
      </c>
      <c r="IV47" s="9" t="n">
        <v>63.3</v>
      </c>
      <c r="IW47" s="9" t="n">
        <f aca="false">(IS47+IT47+IU47+IV47)/4</f>
        <v>60.9</v>
      </c>
      <c r="IX47" s="16" t="n">
        <v>45205</v>
      </c>
      <c r="IY47" s="10" t="s">
        <v>268</v>
      </c>
    </row>
    <row r="48" customFormat="false" ht="15.75" hidden="false" customHeight="true" outlineLevel="0" collapsed="false">
      <c r="A48" s="9" t="s">
        <v>370</v>
      </c>
      <c r="B48" s="10" t="s">
        <v>378</v>
      </c>
      <c r="C48" s="10" t="s">
        <v>261</v>
      </c>
      <c r="D48" s="9" t="n">
        <v>2</v>
      </c>
      <c r="E48" s="9" t="n">
        <v>16</v>
      </c>
      <c r="F48" s="10" t="s">
        <v>383</v>
      </c>
      <c r="G48" s="10" t="s">
        <v>297</v>
      </c>
      <c r="H48" s="9" t="n">
        <v>21</v>
      </c>
      <c r="I48" s="9" t="n">
        <v>11</v>
      </c>
      <c r="J48" s="12" t="s">
        <v>270</v>
      </c>
      <c r="K48" s="20"/>
      <c r="L48" s="20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 t="n">
        <v>0</v>
      </c>
      <c r="Y48" s="9" t="n">
        <v>0</v>
      </c>
      <c r="Z48" s="9" t="n">
        <v>0</v>
      </c>
      <c r="AA48" s="9" t="n">
        <v>0</v>
      </c>
      <c r="AB48" s="11" t="n">
        <f aca="false">(X48+Y48+Z48+AA48)/4</f>
        <v>0</v>
      </c>
      <c r="AC48" s="9" t="n">
        <v>1</v>
      </c>
      <c r="AD48" s="9" t="n">
        <v>1</v>
      </c>
      <c r="AE48" s="9" t="n">
        <v>1</v>
      </c>
      <c r="AF48" s="9" t="n">
        <v>1</v>
      </c>
      <c r="AG48" s="11" t="n">
        <f aca="false">(AC48+AD48+AE48+AF48)/4</f>
        <v>1</v>
      </c>
      <c r="AH48" s="9" t="n">
        <v>1</v>
      </c>
      <c r="AI48" s="9" t="n">
        <v>1</v>
      </c>
      <c r="AJ48" s="9" t="n">
        <v>1</v>
      </c>
      <c r="AK48" s="9" t="n">
        <v>1</v>
      </c>
      <c r="AL48" s="11" t="n">
        <f aca="false">(AH48+AI48+AJ48+AK48)/4</f>
        <v>1</v>
      </c>
      <c r="AM48" s="9" t="n">
        <v>78</v>
      </c>
      <c r="AN48" s="9" t="n">
        <v>165</v>
      </c>
      <c r="AO48" s="9" t="n">
        <v>179</v>
      </c>
      <c r="AP48" s="9" t="n">
        <v>103</v>
      </c>
      <c r="AQ48" s="11" t="n">
        <f aca="false">(AM48+AN48+AO48+AP48)/4</f>
        <v>131.25</v>
      </c>
      <c r="AR48" s="9" t="n">
        <v>17</v>
      </c>
      <c r="AS48" s="9" t="n">
        <v>12</v>
      </c>
      <c r="AT48" s="9" t="n">
        <v>54</v>
      </c>
      <c r="AU48" s="9" t="n">
        <v>21</v>
      </c>
      <c r="AV48" s="11" t="n">
        <f aca="false">(AR48+AS48+AT48+AU48)/4</f>
        <v>26</v>
      </c>
      <c r="AW48" s="9" t="n">
        <v>0</v>
      </c>
      <c r="AX48" s="9" t="n">
        <v>0</v>
      </c>
      <c r="AY48" s="9" t="n">
        <v>0</v>
      </c>
      <c r="AZ48" s="9" t="n">
        <v>0</v>
      </c>
      <c r="BA48" s="11" t="n">
        <f aca="false">(AW48+AX48+AY48+AZ48)/4</f>
        <v>0</v>
      </c>
      <c r="BB48" s="11" t="n">
        <f aca="false">(AW48/AR48)</f>
        <v>0</v>
      </c>
      <c r="BC48" s="11" t="n">
        <f aca="false">(AX48/AS48)</f>
        <v>0</v>
      </c>
      <c r="BD48" s="11" t="n">
        <f aca="false">(AY48/AT48)</f>
        <v>0</v>
      </c>
      <c r="BE48" s="11" t="n">
        <f aca="false">(AZ48/AU48)</f>
        <v>0</v>
      </c>
      <c r="BF48" s="11" t="n">
        <f aca="false">(BA48/AV48)</f>
        <v>0</v>
      </c>
      <c r="BG48" s="11" t="n">
        <f aca="false">(BF48*100)</f>
        <v>0</v>
      </c>
      <c r="BH48" s="9" t="n">
        <v>0</v>
      </c>
      <c r="BI48" s="9" t="n">
        <v>5</v>
      </c>
      <c r="BJ48" s="9" t="n">
        <v>4</v>
      </c>
      <c r="BK48" s="9" t="n">
        <v>5</v>
      </c>
      <c r="BL48" s="9" t="n">
        <v>7</v>
      </c>
      <c r="BM48" s="11" t="n">
        <f aca="false">(BI48+BJ48+BK48+BL48)/4</f>
        <v>5.25</v>
      </c>
      <c r="BN48" s="11" t="n">
        <f aca="false">(BI48/AR48)</f>
        <v>0.294117647058824</v>
      </c>
      <c r="BO48" s="11" t="n">
        <f aca="false">(BJ48/AS48)</f>
        <v>0.333333333333333</v>
      </c>
      <c r="BP48" s="11" t="n">
        <f aca="false">(BK48/AT48)</f>
        <v>0.0925925925925926</v>
      </c>
      <c r="BQ48" s="11" t="n">
        <f aca="false">(BL48/AU48)</f>
        <v>0.333333333333333</v>
      </c>
      <c r="BR48" s="11" t="n">
        <f aca="false">(BM48/AV48)</f>
        <v>0.201923076923077</v>
      </c>
      <c r="BS48" s="11" t="n">
        <f aca="false">(100*BR48)</f>
        <v>20.1923076923077</v>
      </c>
      <c r="BT48" s="9" t="n">
        <v>2</v>
      </c>
      <c r="BU48" s="9" t="n">
        <v>0</v>
      </c>
      <c r="BV48" s="9" t="n">
        <v>0</v>
      </c>
      <c r="BW48" s="9" t="n">
        <v>0</v>
      </c>
      <c r="BX48" s="9" t="n">
        <v>0</v>
      </c>
      <c r="BY48" s="11" t="n">
        <f aca="false">(BU48+BV48+BW48+BX48)/4</f>
        <v>0</v>
      </c>
      <c r="BZ48" s="11" t="n">
        <f aca="false">(BU48/AR48)</f>
        <v>0</v>
      </c>
      <c r="CA48" s="11" t="n">
        <f aca="false">(BV48/AS48)</f>
        <v>0</v>
      </c>
      <c r="CB48" s="11" t="n">
        <f aca="false">(BW48/AT48)</f>
        <v>0</v>
      </c>
      <c r="CC48" s="11" t="n">
        <f aca="false">(BX48/AU48)</f>
        <v>0</v>
      </c>
      <c r="CD48" s="11" t="n">
        <f aca="false">(BY48/AV48)</f>
        <v>0</v>
      </c>
      <c r="CE48" s="11" t="n">
        <f aca="false">(100*CD48)</f>
        <v>0</v>
      </c>
      <c r="CF48" s="9" t="n">
        <v>0</v>
      </c>
      <c r="CG48" s="9" t="n">
        <v>4</v>
      </c>
      <c r="CH48" s="9" t="n">
        <v>70</v>
      </c>
      <c r="CI48" s="9" t="n">
        <v>4</v>
      </c>
      <c r="CJ48" s="9" t="n">
        <v>6</v>
      </c>
      <c r="CK48" s="11" t="n">
        <f aca="false">(CG48+CH48+CI48+CJ48)/4</f>
        <v>21</v>
      </c>
      <c r="CL48" s="11" t="n">
        <f aca="false">(CG48/AM48)</f>
        <v>0.0512820512820513</v>
      </c>
      <c r="CM48" s="11" t="n">
        <f aca="false">(CH48/AN48)</f>
        <v>0.424242424242424</v>
      </c>
      <c r="CN48" s="11" t="n">
        <f aca="false">(CI48/AO48)</f>
        <v>0.0223463687150838</v>
      </c>
      <c r="CO48" s="9" t="n">
        <f aca="false">(CJ48/AP48)</f>
        <v>0.058252427184466</v>
      </c>
      <c r="CP48" s="9" t="n">
        <f aca="false">(CK48/AQ48)</f>
        <v>0.16</v>
      </c>
      <c r="CQ48" s="9" t="n">
        <f aca="false">(100*CP48)</f>
        <v>16</v>
      </c>
      <c r="CR48" s="18" t="n">
        <v>2</v>
      </c>
      <c r="CS48" s="9" t="n">
        <v>52.4</v>
      </c>
      <c r="CT48" s="9" t="n">
        <v>64.2</v>
      </c>
      <c r="CU48" s="9" t="n">
        <v>66.9</v>
      </c>
      <c r="CV48" s="9" t="n">
        <v>45.5</v>
      </c>
      <c r="CW48" s="11" t="n">
        <f aca="false">(CS48+CT48+CU48+CV48)/4</f>
        <v>57.25</v>
      </c>
      <c r="CX48" s="9" t="n">
        <v>1</v>
      </c>
      <c r="CY48" s="9" t="n">
        <v>0</v>
      </c>
      <c r="CZ48" s="9" t="n">
        <v>0</v>
      </c>
      <c r="DA48" s="9"/>
      <c r="DB48" s="11" t="n">
        <f aca="false">(CX48+CY48+CZ48+DA48)/4</f>
        <v>0.25</v>
      </c>
      <c r="DC48" s="9" t="n">
        <v>1</v>
      </c>
      <c r="DD48" s="9" t="n">
        <v>1</v>
      </c>
      <c r="DE48" s="9" t="n">
        <v>1</v>
      </c>
      <c r="DF48" s="9"/>
      <c r="DG48" s="11" t="n">
        <f aca="false">(DC48+DD48+DE48+DF48)/4</f>
        <v>0.75</v>
      </c>
      <c r="DH48" s="9" t="n">
        <v>0</v>
      </c>
      <c r="DI48" s="9" t="n">
        <v>1</v>
      </c>
      <c r="DJ48" s="9" t="n">
        <v>1</v>
      </c>
      <c r="DK48" s="9"/>
      <c r="DL48" s="11" t="n">
        <f aca="false">(DH48+DI48+DJ48+DK48)/4</f>
        <v>0.5</v>
      </c>
      <c r="DM48" s="9" t="n">
        <v>14</v>
      </c>
      <c r="DN48" s="9" t="n">
        <v>33</v>
      </c>
      <c r="DO48" s="9" t="n">
        <v>54</v>
      </c>
      <c r="DP48" s="9"/>
      <c r="DQ48" s="11" t="n">
        <f aca="false">(DM48+DN48+DO48+DP48)/4</f>
        <v>25.25</v>
      </c>
      <c r="DR48" s="9" t="n">
        <v>64</v>
      </c>
      <c r="DS48" s="9" t="n">
        <v>32</v>
      </c>
      <c r="DT48" s="9" t="n">
        <v>10</v>
      </c>
      <c r="DU48" s="9"/>
      <c r="DV48" s="11" t="n">
        <f aca="false">(DR48+DS48+DT48+DU48)/4</f>
        <v>26.5</v>
      </c>
      <c r="DW48" s="9" t="n">
        <v>1</v>
      </c>
      <c r="DX48" s="9" t="n">
        <v>0</v>
      </c>
      <c r="DY48" s="9" t="n">
        <v>0</v>
      </c>
      <c r="DZ48" s="9"/>
      <c r="EA48" s="11" t="n">
        <f aca="false">(DW48+DX48+DY48+DZ48)/4</f>
        <v>0.25</v>
      </c>
      <c r="EB48" s="11" t="n">
        <f aca="false">(DW48/DR48)</f>
        <v>0.015625</v>
      </c>
      <c r="EC48" s="11" t="n">
        <f aca="false">(DX48/DS48)</f>
        <v>0</v>
      </c>
      <c r="ED48" s="11" t="n">
        <f aca="false">(DY48/DT48)</f>
        <v>0</v>
      </c>
      <c r="EE48" s="11" t="e">
        <f aca="false">(DZ48/DU48)</f>
        <v>#DIV/0!</v>
      </c>
      <c r="EF48" s="11" t="n">
        <f aca="false">(EA48/DV48)</f>
        <v>0.00943396226415094</v>
      </c>
      <c r="EG48" s="11" t="n">
        <f aca="false">(100*EF48)</f>
        <v>0.943396226415094</v>
      </c>
      <c r="EH48" s="9" t="n">
        <v>1</v>
      </c>
      <c r="EI48" s="9" t="n">
        <v>12</v>
      </c>
      <c r="EJ48" s="9" t="n">
        <v>7</v>
      </c>
      <c r="EK48" s="19" t="n">
        <v>4</v>
      </c>
      <c r="EL48" s="9"/>
      <c r="EM48" s="9" t="n">
        <f aca="false">(EI48+EJ48+EK48+EL48)/4</f>
        <v>5.75</v>
      </c>
      <c r="EN48" s="9" t="n">
        <f aca="false">(EI48/DR48)</f>
        <v>0.1875</v>
      </c>
      <c r="EO48" s="9" t="n">
        <f aca="false">(EJ48/DS48)</f>
        <v>0.21875</v>
      </c>
      <c r="EP48" s="9" t="n">
        <f aca="false">(EK48/DT48)</f>
        <v>0.4</v>
      </c>
      <c r="EQ48" s="9" t="e">
        <f aca="false">(EL48/DU48)</f>
        <v>#DIV/0!</v>
      </c>
      <c r="ER48" s="9" t="n">
        <f aca="false">EM48/DV48</f>
        <v>0.216981132075472</v>
      </c>
      <c r="ES48" s="9" t="n">
        <f aca="false">(100*ER48)</f>
        <v>21.6981132075472</v>
      </c>
      <c r="ET48" s="9" t="n">
        <v>2</v>
      </c>
      <c r="EU48" s="18" t="n">
        <v>0</v>
      </c>
      <c r="EV48" s="9" t="n">
        <v>0</v>
      </c>
      <c r="EW48" s="9" t="n">
        <v>0</v>
      </c>
      <c r="EX48" s="9"/>
      <c r="EY48" s="11" t="n">
        <f aca="false">(EU48+EV48+EW48+EX48)/4</f>
        <v>0</v>
      </c>
      <c r="EZ48" s="11" t="n">
        <f aca="false">(EU48/DR48)</f>
        <v>0</v>
      </c>
      <c r="FA48" s="11" t="n">
        <f aca="false">(EV48/DS48)</f>
        <v>0</v>
      </c>
      <c r="FB48" s="11" t="n">
        <f aca="false">(EW48/DT48)</f>
        <v>0</v>
      </c>
      <c r="FC48" s="11" t="e">
        <f aca="false">(EX48/DU48)</f>
        <v>#DIV/0!</v>
      </c>
      <c r="FD48" s="11" t="n">
        <f aca="false">(EY48/DV48)</f>
        <v>0</v>
      </c>
      <c r="FE48" s="11" t="n">
        <f aca="false">(100*FD48)</f>
        <v>0</v>
      </c>
      <c r="FF48" s="9" t="n">
        <v>0</v>
      </c>
      <c r="FG48" s="9" t="n">
        <v>0</v>
      </c>
      <c r="FH48" s="9" t="n">
        <v>8</v>
      </c>
      <c r="FI48" s="9" t="n">
        <v>6</v>
      </c>
      <c r="FJ48" s="9"/>
      <c r="FK48" s="11" t="n">
        <f aca="false">(FG48+FH48+FI48+FJ48)/4</f>
        <v>3.5</v>
      </c>
      <c r="FL48" s="11" t="n">
        <f aca="false">(FG48/DR48)</f>
        <v>0</v>
      </c>
      <c r="FM48" s="11" t="n">
        <f aca="false">(FH48/DS48)</f>
        <v>0.25</v>
      </c>
      <c r="FN48" s="11" t="n">
        <f aca="false">(FI48/DT48)</f>
        <v>0.6</v>
      </c>
      <c r="FO48" s="11" t="e">
        <f aca="false">(FJ48/DU48)</f>
        <v>#DIV/0!</v>
      </c>
      <c r="FP48" s="11" t="n">
        <f aca="false">(FK48/DV48)</f>
        <v>0.132075471698113</v>
      </c>
      <c r="FQ48" s="11" t="n">
        <f aca="false">(100*FP48)</f>
        <v>13.2075471698113</v>
      </c>
      <c r="FR48" s="9" t="n">
        <v>2</v>
      </c>
      <c r="FS48" s="9" t="n">
        <v>63.8</v>
      </c>
      <c r="FT48" s="9" t="n">
        <v>68.3</v>
      </c>
      <c r="FU48" s="9" t="n">
        <v>58.6</v>
      </c>
      <c r="FV48" s="9"/>
      <c r="FW48" s="11" t="n">
        <f aca="false">(FS48+FT48+FU48+FV48)/4</f>
        <v>47.675</v>
      </c>
      <c r="FX48" s="9" t="n">
        <v>0</v>
      </c>
      <c r="FY48" s="9" t="n">
        <v>0</v>
      </c>
      <c r="FZ48" s="9" t="n">
        <v>0</v>
      </c>
      <c r="GA48" s="9" t="n">
        <v>0</v>
      </c>
      <c r="GB48" s="11" t="n">
        <f aca="false">(FX48+FY48+FZ48+GA48)/4</f>
        <v>0</v>
      </c>
      <c r="GC48" s="9" t="n">
        <v>1</v>
      </c>
      <c r="GD48" s="9"/>
      <c r="GE48" s="9" t="n">
        <v>1</v>
      </c>
      <c r="GF48" s="9" t="n">
        <v>1</v>
      </c>
      <c r="GG48" s="11" t="n">
        <f aca="false">(GC48+GD48+GE48+GF48)/4</f>
        <v>0.75</v>
      </c>
      <c r="GH48" s="9" t="n">
        <v>0</v>
      </c>
      <c r="GI48" s="9"/>
      <c r="GJ48" s="9" t="n">
        <v>0</v>
      </c>
      <c r="GK48" s="9" t="n">
        <v>0</v>
      </c>
      <c r="GL48" s="11" t="n">
        <f aca="false">(GH48+GI48+GJ48+GK48)/4</f>
        <v>0</v>
      </c>
      <c r="GM48" s="9" t="n">
        <v>19</v>
      </c>
      <c r="GN48" s="9" t="n">
        <v>15</v>
      </c>
      <c r="GO48" s="9" t="n">
        <v>125</v>
      </c>
      <c r="GP48" s="9" t="n">
        <v>103</v>
      </c>
      <c r="GQ48" s="11" t="n">
        <f aca="false">(GM48+GN48+GO48+GP48)/4</f>
        <v>65.5</v>
      </c>
      <c r="GR48" s="9" t="n">
        <v>7</v>
      </c>
      <c r="GS48" s="9" t="n">
        <v>8</v>
      </c>
      <c r="GT48" s="9" t="n">
        <v>7</v>
      </c>
      <c r="GU48" s="9" t="n">
        <v>14</v>
      </c>
      <c r="GV48" s="11" t="n">
        <f aca="false">(GR48+GS48+GT48+GU48)/4</f>
        <v>9</v>
      </c>
      <c r="GW48" s="9" t="n">
        <v>0</v>
      </c>
      <c r="GX48" s="9" t="n">
        <v>0</v>
      </c>
      <c r="GY48" s="9" t="n">
        <v>0</v>
      </c>
      <c r="GZ48" s="9" t="n">
        <v>0</v>
      </c>
      <c r="HA48" s="11" t="n">
        <f aca="false">(GW48+GX48+GY48+GZ48)/4</f>
        <v>0</v>
      </c>
      <c r="HB48" s="9" t="n">
        <f aca="false">(GW48/GR48)</f>
        <v>0</v>
      </c>
      <c r="HC48" s="9" t="n">
        <f aca="false">(GX48/GS48)</f>
        <v>0</v>
      </c>
      <c r="HD48" s="9" t="n">
        <f aca="false">(GY48/GT48)</f>
        <v>0</v>
      </c>
      <c r="HE48" s="9" t="n">
        <f aca="false">(GZ48/GU48)/4</f>
        <v>0</v>
      </c>
      <c r="HF48" s="9" t="n">
        <f aca="false">(HB48+HC48+HD48+HE48)/4</f>
        <v>0</v>
      </c>
      <c r="HG48" s="9" t="n">
        <f aca="false">(100*HF48)</f>
        <v>0</v>
      </c>
      <c r="HH48" s="18" t="n">
        <v>0</v>
      </c>
      <c r="HI48" s="9" t="n">
        <v>1</v>
      </c>
      <c r="HJ48" s="9"/>
      <c r="HK48" s="9" t="n">
        <v>1</v>
      </c>
      <c r="HL48" s="19" t="n">
        <v>3</v>
      </c>
      <c r="HM48" s="9" t="n">
        <f aca="false">(HI48+HJ48+HK48+HL48)/4</f>
        <v>1.25</v>
      </c>
      <c r="HN48" s="9" t="n">
        <f aca="false">(HI48/GR48)</f>
        <v>0.142857142857143</v>
      </c>
      <c r="HO48" s="9" t="n">
        <f aca="false">(HJ48/GS48)</f>
        <v>0</v>
      </c>
      <c r="HP48" s="9" t="n">
        <f aca="false">(HK48/GT48)</f>
        <v>0.142857142857143</v>
      </c>
      <c r="HQ48" s="9" t="n">
        <f aca="false">(HL48/GU48)</f>
        <v>0.214285714285714</v>
      </c>
      <c r="HR48" s="9" t="n">
        <f aca="false">(HM48/GV48)</f>
        <v>0.138888888888889</v>
      </c>
      <c r="HS48" s="9" t="n">
        <f aca="false">(100*HR48)</f>
        <v>13.8888888888889</v>
      </c>
      <c r="HT48" s="18" t="n">
        <v>2</v>
      </c>
      <c r="HU48" s="9" t="n">
        <v>0</v>
      </c>
      <c r="HV48" s="9"/>
      <c r="HW48" s="9" t="n">
        <v>0</v>
      </c>
      <c r="HX48" s="19" t="n">
        <v>0</v>
      </c>
      <c r="HY48" s="9" t="n">
        <f aca="false">(HU48+HV48+HW48+HX48)/4</f>
        <v>0</v>
      </c>
      <c r="HZ48" s="9" t="n">
        <f aca="false">(HU48/GR48)</f>
        <v>0</v>
      </c>
      <c r="IA48" s="9" t="n">
        <f aca="false">HV48/GS48</f>
        <v>0</v>
      </c>
      <c r="IB48" s="9" t="n">
        <f aca="false">(HW48/GT48)</f>
        <v>0</v>
      </c>
      <c r="IC48" s="9" t="n">
        <f aca="false">(HX48/GU48)</f>
        <v>0</v>
      </c>
      <c r="ID48" s="9" t="n">
        <f aca="false">(HY48/GV48)</f>
        <v>0</v>
      </c>
      <c r="IE48" s="9" t="n">
        <f aca="false">(100*ID48)</f>
        <v>0</v>
      </c>
      <c r="IF48" s="18" t="n">
        <v>0</v>
      </c>
      <c r="IG48" s="9" t="n">
        <v>2</v>
      </c>
      <c r="IH48" s="9"/>
      <c r="II48" s="19" t="n">
        <v>11</v>
      </c>
      <c r="IJ48" s="9" t="n">
        <v>8</v>
      </c>
      <c r="IK48" s="9" t="n">
        <f aca="false">(IG48+IH48+II48+IJ48)/4</f>
        <v>5.25</v>
      </c>
      <c r="IL48" s="9" t="n">
        <f aca="false">(IG48/GM48)</f>
        <v>0.105263157894737</v>
      </c>
      <c r="IM48" s="9" t="n">
        <f aca="false">(IH48/GN48)</f>
        <v>0</v>
      </c>
      <c r="IN48" s="9" t="n">
        <f aca="false">(II48/GO48)</f>
        <v>0.088</v>
      </c>
      <c r="IO48" s="9" t="n">
        <f aca="false">(IJ48/GP48)</f>
        <v>0.0776699029126214</v>
      </c>
      <c r="IP48" s="9" t="n">
        <f aca="false">(IK48/GQ48)</f>
        <v>0.0801526717557252</v>
      </c>
      <c r="IQ48" s="9" t="n">
        <f aca="false">(100*IP48)</f>
        <v>8.01526717557252</v>
      </c>
      <c r="IR48" s="18" t="n">
        <v>1</v>
      </c>
      <c r="IS48" s="9" t="n">
        <v>47.8</v>
      </c>
      <c r="IT48" s="9" t="n">
        <v>59</v>
      </c>
      <c r="IU48" s="19" t="n">
        <v>56.6</v>
      </c>
      <c r="IV48" s="9" t="n">
        <v>60.5</v>
      </c>
      <c r="IW48" s="9" t="n">
        <f aca="false">(IS48+IT48+IU48+IV48)/4</f>
        <v>55.975</v>
      </c>
      <c r="IX48" s="16" t="n">
        <v>45205</v>
      </c>
      <c r="IY48" s="10" t="s">
        <v>268</v>
      </c>
    </row>
    <row r="49" customFormat="false" ht="15.75" hidden="false" customHeight="true" outlineLevel="0" collapsed="false">
      <c r="A49" s="9" t="s">
        <v>370</v>
      </c>
      <c r="B49" s="10" t="s">
        <v>378</v>
      </c>
      <c r="C49" s="10" t="s">
        <v>261</v>
      </c>
      <c r="D49" s="9" t="n">
        <v>2</v>
      </c>
      <c r="E49" s="9" t="n">
        <v>16</v>
      </c>
      <c r="F49" s="10" t="s">
        <v>384</v>
      </c>
      <c r="G49" s="10" t="s">
        <v>275</v>
      </c>
      <c r="H49" s="9" t="n">
        <v>21</v>
      </c>
      <c r="I49" s="9" t="n">
        <v>21</v>
      </c>
      <c r="J49" s="10" t="s">
        <v>272</v>
      </c>
      <c r="K49" s="20"/>
      <c r="L49" s="20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 t="n">
        <v>0</v>
      </c>
      <c r="Y49" s="9" t="n">
        <v>0</v>
      </c>
      <c r="Z49" s="9" t="n">
        <v>0</v>
      </c>
      <c r="AA49" s="9" t="n">
        <v>0</v>
      </c>
      <c r="AB49" s="11" t="n">
        <f aca="false">(X49+Y49+Z49+AA49)/4</f>
        <v>0</v>
      </c>
      <c r="AC49" s="9" t="n">
        <v>1</v>
      </c>
      <c r="AD49" s="9" t="n">
        <v>0</v>
      </c>
      <c r="AE49" s="9" t="n">
        <v>1</v>
      </c>
      <c r="AF49" s="9" t="n">
        <v>1</v>
      </c>
      <c r="AG49" s="11" t="n">
        <f aca="false">(AC49+AD49+AE49+AF49)/4</f>
        <v>0.75</v>
      </c>
      <c r="AH49" s="9" t="n">
        <v>1</v>
      </c>
      <c r="AI49" s="9" t="n">
        <v>1</v>
      </c>
      <c r="AJ49" s="9" t="n">
        <v>1</v>
      </c>
      <c r="AK49" s="9" t="n">
        <v>1</v>
      </c>
      <c r="AL49" s="11" t="n">
        <f aca="false">(AH49+AI49+AJ49+AK49)/4</f>
        <v>1</v>
      </c>
      <c r="AM49" s="9" t="n">
        <v>27</v>
      </c>
      <c r="AN49" s="9" t="n">
        <v>16</v>
      </c>
      <c r="AO49" s="9" t="n">
        <v>39</v>
      </c>
      <c r="AP49" s="9" t="n">
        <v>86</v>
      </c>
      <c r="AQ49" s="11" t="n">
        <f aca="false">(AM49+AN49+AO49+AP49)/4</f>
        <v>42</v>
      </c>
      <c r="AR49" s="9" t="n">
        <v>6</v>
      </c>
      <c r="AS49" s="9" t="n">
        <v>3</v>
      </c>
      <c r="AT49" s="9" t="n">
        <v>5</v>
      </c>
      <c r="AU49" s="9" t="n">
        <v>4</v>
      </c>
      <c r="AV49" s="11" t="n">
        <f aca="false">(AR49+AS49+AT49+AU49)/4</f>
        <v>4.5</v>
      </c>
      <c r="AW49" s="9" t="n">
        <v>0</v>
      </c>
      <c r="AX49" s="9" t="n">
        <v>0</v>
      </c>
      <c r="AY49" s="9" t="n">
        <v>0</v>
      </c>
      <c r="AZ49" s="9" t="n">
        <v>0</v>
      </c>
      <c r="BA49" s="11" t="n">
        <f aca="false">(AW49+AX49+AY49+AZ49)/4</f>
        <v>0</v>
      </c>
      <c r="BB49" s="11" t="n">
        <f aca="false">(AW49/AR49)</f>
        <v>0</v>
      </c>
      <c r="BC49" s="11" t="n">
        <f aca="false">(AX49/AS49)</f>
        <v>0</v>
      </c>
      <c r="BD49" s="11" t="n">
        <f aca="false">(AY49/AT49)</f>
        <v>0</v>
      </c>
      <c r="BE49" s="11" t="n">
        <f aca="false">(AZ49/AU49)</f>
        <v>0</v>
      </c>
      <c r="BF49" s="11" t="n">
        <f aca="false">(BA49/AV49)</f>
        <v>0</v>
      </c>
      <c r="BG49" s="11" t="n">
        <f aca="false">(BF49*100)</f>
        <v>0</v>
      </c>
      <c r="BH49" s="9" t="n">
        <v>0</v>
      </c>
      <c r="BI49" s="9" t="n">
        <v>2</v>
      </c>
      <c r="BJ49" s="9" t="n">
        <v>0</v>
      </c>
      <c r="BK49" s="9" t="n">
        <v>1</v>
      </c>
      <c r="BL49" s="9" t="n">
        <v>3</v>
      </c>
      <c r="BM49" s="11" t="n">
        <f aca="false">(BI49+BJ49+BK49+BL49)/4</f>
        <v>1.5</v>
      </c>
      <c r="BN49" s="11" t="n">
        <f aca="false">(BI49/AR49)</f>
        <v>0.333333333333333</v>
      </c>
      <c r="BO49" s="11" t="n">
        <f aca="false">(BJ49/AS49)</f>
        <v>0</v>
      </c>
      <c r="BP49" s="11" t="n">
        <f aca="false">(BK49/AT49)</f>
        <v>0.2</v>
      </c>
      <c r="BQ49" s="11" t="n">
        <f aca="false">(BL49/AU49)</f>
        <v>0.75</v>
      </c>
      <c r="BR49" s="11" t="n">
        <f aca="false">(BM49/AV49)</f>
        <v>0.333333333333333</v>
      </c>
      <c r="BS49" s="11" t="n">
        <f aca="false">(100*BR49)</f>
        <v>33.3333333333333</v>
      </c>
      <c r="BT49" s="9" t="n">
        <v>3</v>
      </c>
      <c r="BU49" s="9" t="n">
        <v>0</v>
      </c>
      <c r="BV49" s="9" t="n">
        <v>0</v>
      </c>
      <c r="BW49" s="9" t="n">
        <v>0</v>
      </c>
      <c r="BX49" s="9" t="n">
        <v>0</v>
      </c>
      <c r="BY49" s="11" t="n">
        <f aca="false">(BU49+BV49+BW49+BX49)/4</f>
        <v>0</v>
      </c>
      <c r="BZ49" s="11" t="n">
        <f aca="false">(BU49/AR49)</f>
        <v>0</v>
      </c>
      <c r="CA49" s="11" t="n">
        <f aca="false">(BV49/AS49)</f>
        <v>0</v>
      </c>
      <c r="CB49" s="11" t="n">
        <f aca="false">(BW49/AT49)</f>
        <v>0</v>
      </c>
      <c r="CC49" s="11" t="n">
        <f aca="false">(BX49/AU49)</f>
        <v>0</v>
      </c>
      <c r="CD49" s="11" t="n">
        <f aca="false">(BY49/AV49)</f>
        <v>0</v>
      </c>
      <c r="CE49" s="11" t="n">
        <f aca="false">(100*CD49)</f>
        <v>0</v>
      </c>
      <c r="CF49" s="9" t="n">
        <v>0</v>
      </c>
      <c r="CG49" s="9" t="n">
        <v>4</v>
      </c>
      <c r="CH49" s="9" t="n">
        <v>3</v>
      </c>
      <c r="CI49" s="9" t="n">
        <v>5</v>
      </c>
      <c r="CJ49" s="9" t="n">
        <v>24</v>
      </c>
      <c r="CK49" s="11" t="n">
        <f aca="false">(CG49+CH49+CI49+CJ49)/4</f>
        <v>9</v>
      </c>
      <c r="CL49" s="11" t="n">
        <f aca="false">(CG49/AM49)</f>
        <v>0.148148148148148</v>
      </c>
      <c r="CM49" s="11" t="n">
        <f aca="false">(CH49/AN49)</f>
        <v>0.1875</v>
      </c>
      <c r="CN49" s="11" t="n">
        <f aca="false">(CI49/AO49)</f>
        <v>0.128205128205128</v>
      </c>
      <c r="CO49" s="9" t="n">
        <f aca="false">(CJ49/AP49)</f>
        <v>0.27906976744186</v>
      </c>
      <c r="CP49" s="9" t="n">
        <f aca="false">(CK49/AQ49)</f>
        <v>0.214285714285714</v>
      </c>
      <c r="CQ49" s="9" t="n">
        <f aca="false">(100*CP49)</f>
        <v>21.4285714285714</v>
      </c>
      <c r="CR49" s="18" t="n">
        <v>2</v>
      </c>
      <c r="CS49" s="9" t="n">
        <v>51.4</v>
      </c>
      <c r="CT49" s="9" t="n">
        <v>32.2</v>
      </c>
      <c r="CU49" s="9" t="n">
        <v>37.5</v>
      </c>
      <c r="CV49" s="9" t="n">
        <v>61.2</v>
      </c>
      <c r="CW49" s="11" t="n">
        <f aca="false">(CS49+CT49+CU49+CV49)/4</f>
        <v>45.575</v>
      </c>
      <c r="CX49" s="9" t="n">
        <v>0</v>
      </c>
      <c r="CY49" s="9" t="n">
        <v>0</v>
      </c>
      <c r="CZ49" s="9" t="n">
        <v>1</v>
      </c>
      <c r="DA49" s="9" t="n">
        <v>0</v>
      </c>
      <c r="DB49" s="11" t="n">
        <f aca="false">(CX49+CY49+CZ49+DA49)/4</f>
        <v>0.25</v>
      </c>
      <c r="DC49" s="9" t="n">
        <v>0</v>
      </c>
      <c r="DD49" s="9" t="n">
        <v>1</v>
      </c>
      <c r="DE49" s="9" t="n">
        <v>1</v>
      </c>
      <c r="DF49" s="9" t="n">
        <v>1</v>
      </c>
      <c r="DG49" s="11" t="n">
        <f aca="false">(DC49+DD49+DE49+DF49)/4</f>
        <v>0.75</v>
      </c>
      <c r="DH49" s="9" t="n">
        <v>1</v>
      </c>
      <c r="DI49" s="9" t="n">
        <v>1</v>
      </c>
      <c r="DJ49" s="9" t="n">
        <v>1</v>
      </c>
      <c r="DK49" s="9" t="n">
        <v>1</v>
      </c>
      <c r="DL49" s="11" t="n">
        <f aca="false">(DH49+DI49+DJ49+DK49)/4</f>
        <v>1</v>
      </c>
      <c r="DM49" s="9" t="n">
        <v>120</v>
      </c>
      <c r="DN49" s="9" t="n">
        <v>48</v>
      </c>
      <c r="DO49" s="9" t="n">
        <v>69</v>
      </c>
      <c r="DP49" s="9" t="n">
        <v>53</v>
      </c>
      <c r="DQ49" s="11" t="n">
        <f aca="false">(DM49+DN49+DO49+DP49)/4</f>
        <v>72.5</v>
      </c>
      <c r="DR49" s="9" t="n">
        <v>3</v>
      </c>
      <c r="DS49" s="9" t="n">
        <v>22</v>
      </c>
      <c r="DT49" s="9" t="n">
        <v>13</v>
      </c>
      <c r="DU49" s="9" t="n">
        <v>11</v>
      </c>
      <c r="DV49" s="11" t="n">
        <f aca="false">(DR49+DS49+DT49+DU49)/4</f>
        <v>12.25</v>
      </c>
      <c r="DW49" s="9" t="n">
        <v>0</v>
      </c>
      <c r="DX49" s="9" t="n">
        <v>0</v>
      </c>
      <c r="DY49" s="9" t="n">
        <v>1</v>
      </c>
      <c r="DZ49" s="9" t="n">
        <v>0</v>
      </c>
      <c r="EA49" s="11" t="n">
        <f aca="false">(DW49+DX49+DY49+DZ49)/4</f>
        <v>0.25</v>
      </c>
      <c r="EB49" s="11" t="n">
        <f aca="false">(DW49/DR49)</f>
        <v>0</v>
      </c>
      <c r="EC49" s="11" t="n">
        <f aca="false">(DX49/DS49)</f>
        <v>0</v>
      </c>
      <c r="ED49" s="11" t="n">
        <f aca="false">(DY49/DT49)</f>
        <v>0.0769230769230769</v>
      </c>
      <c r="EE49" s="11" t="n">
        <f aca="false">(DZ49/DU49)</f>
        <v>0</v>
      </c>
      <c r="EF49" s="11" t="n">
        <f aca="false">(EA49/DV49)</f>
        <v>0.0204081632653061</v>
      </c>
      <c r="EG49" s="11" t="n">
        <f aca="false">(100*EF49)</f>
        <v>2.04081632653061</v>
      </c>
      <c r="EH49" s="9" t="n">
        <v>1</v>
      </c>
      <c r="EI49" s="9" t="n">
        <v>0</v>
      </c>
      <c r="EJ49" s="9" t="n">
        <v>6</v>
      </c>
      <c r="EK49" s="19" t="n">
        <v>2</v>
      </c>
      <c r="EL49" s="9" t="n">
        <v>5</v>
      </c>
      <c r="EM49" s="9" t="n">
        <f aca="false">(EI49+EJ49+EK49+EL49)/4</f>
        <v>3.25</v>
      </c>
      <c r="EN49" s="9" t="n">
        <f aca="false">(EI49/DR49)</f>
        <v>0</v>
      </c>
      <c r="EO49" s="9" t="n">
        <f aca="false">(EJ49/DS49)</f>
        <v>0.272727272727273</v>
      </c>
      <c r="EP49" s="9" t="n">
        <f aca="false">(EK49/DT49)</f>
        <v>0.153846153846154</v>
      </c>
      <c r="EQ49" s="9" t="n">
        <f aca="false">(EL49/DU49)</f>
        <v>0.454545454545455</v>
      </c>
      <c r="ER49" s="9" t="n">
        <f aca="false">EM49/DV49</f>
        <v>0.26530612244898</v>
      </c>
      <c r="ES49" s="9" t="n">
        <f aca="false">(100*ER49)</f>
        <v>26.530612244898</v>
      </c>
      <c r="ET49" s="9" t="n">
        <v>2</v>
      </c>
      <c r="EU49" s="18" t="n">
        <v>0</v>
      </c>
      <c r="EV49" s="9" t="n">
        <v>0</v>
      </c>
      <c r="EW49" s="9" t="n">
        <v>0</v>
      </c>
      <c r="EX49" s="9" t="n">
        <v>0</v>
      </c>
      <c r="EY49" s="11" t="n">
        <f aca="false">(EU49+EV49+EW49+EX49)/4</f>
        <v>0</v>
      </c>
      <c r="EZ49" s="11" t="n">
        <f aca="false">(EU49/DR49)</f>
        <v>0</v>
      </c>
      <c r="FA49" s="11" t="n">
        <f aca="false">(EV49/DS49)</f>
        <v>0</v>
      </c>
      <c r="FB49" s="11" t="n">
        <f aca="false">(EW49/DT49)</f>
        <v>0</v>
      </c>
      <c r="FC49" s="11" t="n">
        <f aca="false">(EX49/DU49)</f>
        <v>0</v>
      </c>
      <c r="FD49" s="11" t="n">
        <f aca="false">(EY49/DV49)</f>
        <v>0</v>
      </c>
      <c r="FE49" s="11" t="n">
        <f aca="false">(100*FD49)</f>
        <v>0</v>
      </c>
      <c r="FF49" s="9" t="n">
        <v>0</v>
      </c>
      <c r="FG49" s="9" t="n">
        <v>18</v>
      </c>
      <c r="FH49" s="9" t="n">
        <v>4</v>
      </c>
      <c r="FI49" s="9" t="n">
        <v>1</v>
      </c>
      <c r="FJ49" s="9" t="n">
        <v>5</v>
      </c>
      <c r="FK49" s="11" t="n">
        <f aca="false">(FG49+FH49+FI49+FJ49)/4</f>
        <v>7</v>
      </c>
      <c r="FL49" s="11" t="n">
        <f aca="false">(FG49/DR49)</f>
        <v>6</v>
      </c>
      <c r="FM49" s="11" t="n">
        <f aca="false">(FH49/DS49)</f>
        <v>0.181818181818182</v>
      </c>
      <c r="FN49" s="11" t="n">
        <f aca="false">(FI49/DT49)</f>
        <v>0.0769230769230769</v>
      </c>
      <c r="FO49" s="11" t="n">
        <f aca="false">(FJ49/DU49)</f>
        <v>0.454545454545455</v>
      </c>
      <c r="FP49" s="11" t="n">
        <f aca="false">(FK49/DV49)</f>
        <v>0.571428571428571</v>
      </c>
      <c r="FQ49" s="11" t="n">
        <f aca="false">(100*FP49)</f>
        <v>57.1428571428571</v>
      </c>
      <c r="FR49" s="9" t="n">
        <v>3</v>
      </c>
      <c r="FS49" s="9" t="n">
        <v>35.8</v>
      </c>
      <c r="FT49" s="9" t="n">
        <v>70.6</v>
      </c>
      <c r="FU49" s="9" t="n">
        <v>68.3</v>
      </c>
      <c r="FV49" s="9" t="n">
        <v>65.4</v>
      </c>
      <c r="FW49" s="11" t="n">
        <f aca="false">(FS49+FT49+FU49+FV49)/4</f>
        <v>60.025</v>
      </c>
      <c r="FX49" s="9" t="n">
        <v>0</v>
      </c>
      <c r="FY49" s="9" t="n">
        <v>0</v>
      </c>
      <c r="FZ49" s="9" t="n">
        <v>0</v>
      </c>
      <c r="GA49" s="9" t="n">
        <v>0</v>
      </c>
      <c r="GB49" s="11" t="n">
        <f aca="false">(FX49+FY49+FZ49+GA49)/4</f>
        <v>0</v>
      </c>
      <c r="GC49" s="9" t="n">
        <v>1</v>
      </c>
      <c r="GD49" s="9" t="n">
        <v>1</v>
      </c>
      <c r="GE49" s="9" t="n">
        <v>1</v>
      </c>
      <c r="GF49" s="9" t="n">
        <v>1</v>
      </c>
      <c r="GG49" s="11" t="n">
        <f aca="false">(GC49+GD49+GE49+GF49)/4</f>
        <v>1</v>
      </c>
      <c r="GH49" s="9" t="n">
        <v>0</v>
      </c>
      <c r="GI49" s="9" t="n">
        <v>0</v>
      </c>
      <c r="GJ49" s="9" t="n">
        <v>1</v>
      </c>
      <c r="GK49" s="9" t="n">
        <v>0</v>
      </c>
      <c r="GL49" s="11" t="n">
        <f aca="false">(GH49+GI49+GJ49+GK49)/4</f>
        <v>0.25</v>
      </c>
      <c r="GM49" s="9" t="n">
        <v>14</v>
      </c>
      <c r="GN49" s="9" t="n">
        <v>16</v>
      </c>
      <c r="GO49" s="9" t="n">
        <v>22</v>
      </c>
      <c r="GP49" s="9" t="n">
        <v>12</v>
      </c>
      <c r="GQ49" s="11" t="n">
        <f aca="false">(GM49+GN49+GO49+GP49)/4</f>
        <v>16</v>
      </c>
      <c r="GR49" s="9" t="n">
        <v>20</v>
      </c>
      <c r="GS49" s="9" t="n">
        <v>6</v>
      </c>
      <c r="GT49" s="9" t="n">
        <v>21</v>
      </c>
      <c r="GU49" s="9" t="n">
        <v>20</v>
      </c>
      <c r="GV49" s="11" t="n">
        <f aca="false">(GR49+GS49+GT49+GU49)/4</f>
        <v>16.75</v>
      </c>
      <c r="GW49" s="9" t="n">
        <v>0</v>
      </c>
      <c r="GX49" s="9" t="n">
        <v>0</v>
      </c>
      <c r="GY49" s="9" t="n">
        <v>0</v>
      </c>
      <c r="GZ49" s="9" t="n">
        <v>0</v>
      </c>
      <c r="HA49" s="11" t="n">
        <f aca="false">(GW49+GX49+GY49+GZ49)/4</f>
        <v>0</v>
      </c>
      <c r="HB49" s="9" t="n">
        <f aca="false">(GW49/GR49)</f>
        <v>0</v>
      </c>
      <c r="HC49" s="9" t="n">
        <f aca="false">(GX49/GS49)</f>
        <v>0</v>
      </c>
      <c r="HD49" s="9" t="n">
        <f aca="false">(GY49/GT49)</f>
        <v>0</v>
      </c>
      <c r="HE49" s="9" t="n">
        <f aca="false">(GZ49/GU49)/4</f>
        <v>0</v>
      </c>
      <c r="HF49" s="9" t="n">
        <f aca="false">(HB49+HC49+HD49+HE49)/4</f>
        <v>0</v>
      </c>
      <c r="HG49" s="9" t="n">
        <f aca="false">(100*HF49)</f>
        <v>0</v>
      </c>
      <c r="HH49" s="18" t="n">
        <v>0</v>
      </c>
      <c r="HI49" s="9" t="n">
        <v>9</v>
      </c>
      <c r="HJ49" s="9" t="n">
        <v>1</v>
      </c>
      <c r="HK49" s="9" t="n">
        <v>9</v>
      </c>
      <c r="HL49" s="19" t="n">
        <v>3</v>
      </c>
      <c r="HM49" s="9" t="n">
        <f aca="false">(HI49+HJ49+HK49+HL49)/4</f>
        <v>5.5</v>
      </c>
      <c r="HN49" s="9" t="n">
        <f aca="false">(HI49/GR49)</f>
        <v>0.45</v>
      </c>
      <c r="HO49" s="9" t="n">
        <f aca="false">(HJ49/GS49)</f>
        <v>0.166666666666667</v>
      </c>
      <c r="HP49" s="9" t="n">
        <f aca="false">(HK49/GT49)</f>
        <v>0.428571428571429</v>
      </c>
      <c r="HQ49" s="9" t="n">
        <f aca="false">(HL49/GU49)</f>
        <v>0.15</v>
      </c>
      <c r="HR49" s="9" t="n">
        <f aca="false">(HM49/GV49)</f>
        <v>0.328358208955224</v>
      </c>
      <c r="HS49" s="9" t="n">
        <f aca="false">(100*HR49)</f>
        <v>32.8358208955224</v>
      </c>
      <c r="HT49" s="18" t="n">
        <v>3</v>
      </c>
      <c r="HU49" s="9" t="n">
        <v>0</v>
      </c>
      <c r="HV49" s="9" t="n">
        <v>0</v>
      </c>
      <c r="HW49" s="9" t="n">
        <v>0</v>
      </c>
      <c r="HX49" s="19" t="n">
        <v>0</v>
      </c>
      <c r="HY49" s="9" t="n">
        <f aca="false">(HU49+HV49+HW49+HX49)/4</f>
        <v>0</v>
      </c>
      <c r="HZ49" s="9" t="n">
        <f aca="false">(HU49/GR49)</f>
        <v>0</v>
      </c>
      <c r="IA49" s="9" t="n">
        <f aca="false">HV49/GS49</f>
        <v>0</v>
      </c>
      <c r="IB49" s="9" t="n">
        <f aca="false">(HW49/GT49)</f>
        <v>0</v>
      </c>
      <c r="IC49" s="9" t="n">
        <f aca="false">(HX49/GU49)</f>
        <v>0</v>
      </c>
      <c r="ID49" s="9" t="n">
        <f aca="false">(HY49/GV49)</f>
        <v>0</v>
      </c>
      <c r="IE49" s="9" t="n">
        <f aca="false">(100*ID49)</f>
        <v>0</v>
      </c>
      <c r="IF49" s="18" t="n">
        <v>0</v>
      </c>
      <c r="IG49" s="9" t="n">
        <v>0</v>
      </c>
      <c r="IH49" s="9" t="n">
        <v>0</v>
      </c>
      <c r="II49" s="19" t="n">
        <v>1</v>
      </c>
      <c r="IJ49" s="9" t="n">
        <v>0</v>
      </c>
      <c r="IK49" s="9" t="n">
        <f aca="false">(IG49+IH49+II49+IJ49)/4</f>
        <v>0.25</v>
      </c>
      <c r="IL49" s="9" t="n">
        <f aca="false">(IG49/GM49)</f>
        <v>0</v>
      </c>
      <c r="IM49" s="9" t="n">
        <f aca="false">(IH49/GN49)</f>
        <v>0</v>
      </c>
      <c r="IN49" s="9" t="n">
        <f aca="false">(II49/GO49)</f>
        <v>0.0454545454545455</v>
      </c>
      <c r="IO49" s="9" t="n">
        <f aca="false">(IJ49/GP49)</f>
        <v>0</v>
      </c>
      <c r="IP49" s="9" t="n">
        <f aca="false">(IK49/GQ49)</f>
        <v>0.015625</v>
      </c>
      <c r="IQ49" s="9" t="n">
        <f aca="false">(100*IP49)</f>
        <v>1.5625</v>
      </c>
      <c r="IR49" s="18" t="n">
        <v>1</v>
      </c>
      <c r="IS49" s="9" t="n">
        <v>73.7</v>
      </c>
      <c r="IT49" s="9" t="n">
        <v>58.8</v>
      </c>
      <c r="IU49" s="19" t="n">
        <v>83.3</v>
      </c>
      <c r="IV49" s="9" t="n">
        <v>73.3</v>
      </c>
      <c r="IW49" s="9" t="n">
        <f aca="false">(IS49+IT49+IU49+IV49)/4</f>
        <v>72.275</v>
      </c>
      <c r="IX49" s="16" t="n">
        <v>45205</v>
      </c>
      <c r="IY49" s="10" t="s">
        <v>268</v>
      </c>
    </row>
    <row r="50" customFormat="false" ht="15.75" hidden="false" customHeight="true" outlineLevel="0" collapsed="false">
      <c r="A50" s="24" t="s">
        <v>370</v>
      </c>
      <c r="B50" s="25" t="s">
        <v>385</v>
      </c>
      <c r="C50" s="25" t="s">
        <v>261</v>
      </c>
      <c r="D50" s="25" t="n">
        <v>3</v>
      </c>
      <c r="E50" s="25" t="n">
        <v>17</v>
      </c>
      <c r="F50" s="25" t="s">
        <v>386</v>
      </c>
      <c r="G50" s="25" t="s">
        <v>275</v>
      </c>
      <c r="H50" s="25" t="n">
        <v>21</v>
      </c>
      <c r="I50" s="25" t="n">
        <v>5</v>
      </c>
      <c r="J50" s="26" t="s">
        <v>264</v>
      </c>
      <c r="K50" s="13" t="s">
        <v>387</v>
      </c>
      <c r="L50" s="13" t="s">
        <v>388</v>
      </c>
      <c r="M50" s="14" t="n">
        <v>1301</v>
      </c>
      <c r="N50" s="15" t="n">
        <v>45153</v>
      </c>
      <c r="O50" s="10" t="s">
        <v>294</v>
      </c>
      <c r="P50" s="9"/>
      <c r="Q50" s="9" t="n">
        <v>4.62</v>
      </c>
      <c r="R50" s="9" t="n">
        <v>10</v>
      </c>
      <c r="S50" s="9" t="n">
        <v>-10</v>
      </c>
      <c r="T50" s="9" t="n">
        <v>80</v>
      </c>
      <c r="U50" s="9"/>
      <c r="V50" s="9" t="n">
        <f aca="false">(17.5/100)</f>
        <v>0.175</v>
      </c>
      <c r="W50" s="9" t="s">
        <v>389</v>
      </c>
      <c r="X50" s="9" t="n">
        <v>0</v>
      </c>
      <c r="Y50" s="9" t="n">
        <v>0</v>
      </c>
      <c r="Z50" s="9" t="n">
        <v>0</v>
      </c>
      <c r="AA50" s="9" t="n">
        <v>0</v>
      </c>
      <c r="AB50" s="11" t="n">
        <f aca="false">(X50+Y50+Z50+AA50)/4</f>
        <v>0</v>
      </c>
      <c r="AC50" s="9" t="n">
        <v>1</v>
      </c>
      <c r="AD50" s="9" t="n">
        <v>1</v>
      </c>
      <c r="AE50" s="9" t="n">
        <v>1</v>
      </c>
      <c r="AF50" s="9" t="n">
        <v>1</v>
      </c>
      <c r="AG50" s="11" t="n">
        <f aca="false">(AC50+AD50+AE50+AF50)/4</f>
        <v>1</v>
      </c>
      <c r="AH50" s="9" t="n">
        <v>1</v>
      </c>
      <c r="AI50" s="9" t="n">
        <v>1</v>
      </c>
      <c r="AJ50" s="9" t="n">
        <v>1</v>
      </c>
      <c r="AK50" s="9" t="n">
        <v>1</v>
      </c>
      <c r="AL50" s="11" t="n">
        <f aca="false">(AH50+AI50+AJ50+AK50)/4</f>
        <v>1</v>
      </c>
      <c r="AM50" s="9" t="n">
        <v>7</v>
      </c>
      <c r="AN50" s="9" t="n">
        <v>17</v>
      </c>
      <c r="AO50" s="9" t="n">
        <v>34</v>
      </c>
      <c r="AP50" s="9" t="n">
        <v>23</v>
      </c>
      <c r="AQ50" s="11" t="n">
        <f aca="false">(AM50+AN50+AO50+AP50)/4</f>
        <v>20.25</v>
      </c>
      <c r="AR50" s="9" t="n">
        <v>9</v>
      </c>
      <c r="AS50" s="9" t="n">
        <v>6</v>
      </c>
      <c r="AT50" s="9" t="n">
        <v>4</v>
      </c>
      <c r="AU50" s="9" t="n">
        <v>8</v>
      </c>
      <c r="AV50" s="11" t="n">
        <f aca="false">(AR50+AS50+AT50+AU50)/4</f>
        <v>6.75</v>
      </c>
      <c r="AW50" s="9" t="n">
        <v>0</v>
      </c>
      <c r="AX50" s="9" t="n">
        <v>0</v>
      </c>
      <c r="AY50" s="9" t="n">
        <v>0</v>
      </c>
      <c r="AZ50" s="9" t="n">
        <v>0</v>
      </c>
      <c r="BA50" s="11" t="n">
        <f aca="false">(AW50+AX50+AY50+AZ50)/4</f>
        <v>0</v>
      </c>
      <c r="BB50" s="11" t="n">
        <f aca="false">(AW50/AR50)</f>
        <v>0</v>
      </c>
      <c r="BC50" s="11" t="n">
        <f aca="false">(AX50/AS50)</f>
        <v>0</v>
      </c>
      <c r="BD50" s="11" t="n">
        <f aca="false">(AY50/AT50)</f>
        <v>0</v>
      </c>
      <c r="BE50" s="11" t="n">
        <f aca="false">(AZ50/AU50)</f>
        <v>0</v>
      </c>
      <c r="BF50" s="11" t="n">
        <f aca="false">(BA50/AV50)</f>
        <v>0</v>
      </c>
      <c r="BG50" s="11" t="n">
        <f aca="false">(BF50*100)</f>
        <v>0</v>
      </c>
      <c r="BH50" s="9" t="n">
        <v>0</v>
      </c>
      <c r="BI50" s="9" t="n">
        <v>3</v>
      </c>
      <c r="BJ50" s="9" t="n">
        <v>2</v>
      </c>
      <c r="BK50" s="9" t="n">
        <v>2</v>
      </c>
      <c r="BL50" s="9" t="n">
        <v>3</v>
      </c>
      <c r="BM50" s="11" t="n">
        <f aca="false">(BI50+BJ50+BK50+BL50)/4</f>
        <v>2.5</v>
      </c>
      <c r="BN50" s="11" t="n">
        <f aca="false">(BI50/AR50)</f>
        <v>0.333333333333333</v>
      </c>
      <c r="BO50" s="11" t="n">
        <f aca="false">(BJ50/AS50)</f>
        <v>0.333333333333333</v>
      </c>
      <c r="BP50" s="11" t="n">
        <f aca="false">(BK50/AT50)</f>
        <v>0.5</v>
      </c>
      <c r="BQ50" s="11" t="n">
        <f aca="false">(BL50/AU50)</f>
        <v>0.375</v>
      </c>
      <c r="BR50" s="11" t="n">
        <f aca="false">(BM50/AV50)</f>
        <v>0.37037037037037</v>
      </c>
      <c r="BS50" s="11" t="n">
        <f aca="false">(100*BR50)</f>
        <v>37.037037037037</v>
      </c>
      <c r="BT50" s="9" t="n">
        <v>3</v>
      </c>
      <c r="BU50" s="9" t="n">
        <v>0</v>
      </c>
      <c r="BV50" s="9" t="n">
        <v>0</v>
      </c>
      <c r="BW50" s="9" t="n">
        <v>0</v>
      </c>
      <c r="BX50" s="9" t="n">
        <v>0</v>
      </c>
      <c r="BY50" s="11" t="n">
        <f aca="false">(BU50+BV50+BW50+BX50)/4</f>
        <v>0</v>
      </c>
      <c r="BZ50" s="11" t="n">
        <f aca="false">(BU50/AR50)</f>
        <v>0</v>
      </c>
      <c r="CA50" s="11" t="n">
        <f aca="false">(BV50/AS50)</f>
        <v>0</v>
      </c>
      <c r="CB50" s="11" t="n">
        <f aca="false">(BW50/AT50)</f>
        <v>0</v>
      </c>
      <c r="CC50" s="11" t="n">
        <f aca="false">(BX50/AU50)</f>
        <v>0</v>
      </c>
      <c r="CD50" s="11" t="n">
        <f aca="false">(BY50/AV50)</f>
        <v>0</v>
      </c>
      <c r="CE50" s="11" t="n">
        <f aca="false">(100*CD50)</f>
        <v>0</v>
      </c>
      <c r="CF50" s="9" t="n">
        <v>0</v>
      </c>
      <c r="CG50" s="9" t="n">
        <v>3</v>
      </c>
      <c r="CH50" s="9" t="n">
        <v>15</v>
      </c>
      <c r="CI50" s="9" t="n">
        <v>10</v>
      </c>
      <c r="CJ50" s="9" t="n">
        <v>16</v>
      </c>
      <c r="CK50" s="11" t="n">
        <f aca="false">(CG50+CH50+CI50+CJ50)/4</f>
        <v>11</v>
      </c>
      <c r="CL50" s="11" t="n">
        <f aca="false">(CG50/AM50)</f>
        <v>0.428571428571429</v>
      </c>
      <c r="CM50" s="11" t="n">
        <f aca="false">(CH50/AN50)</f>
        <v>0.882352941176471</v>
      </c>
      <c r="CN50" s="11" t="n">
        <f aca="false">(CI50/AO50)</f>
        <v>0.294117647058824</v>
      </c>
      <c r="CO50" s="9" t="n">
        <f aca="false">(CJ50/AP50)</f>
        <v>0.695652173913044</v>
      </c>
      <c r="CP50" s="9" t="n">
        <f aca="false">(CK50/AQ50)</f>
        <v>0.54320987654321</v>
      </c>
      <c r="CQ50" s="9" t="n">
        <f aca="false">(100*CP50)</f>
        <v>54.320987654321</v>
      </c>
      <c r="CR50" s="18" t="n">
        <v>3</v>
      </c>
      <c r="CS50" s="9" t="n">
        <v>53.9</v>
      </c>
      <c r="CT50" s="9" t="n">
        <v>41</v>
      </c>
      <c r="CU50" s="9" t="n">
        <v>41.8</v>
      </c>
      <c r="CV50" s="9" t="n">
        <v>59.8</v>
      </c>
      <c r="CW50" s="11" t="n">
        <f aca="false">(CS50+CT50+CU50+CV50)/4</f>
        <v>49.125</v>
      </c>
      <c r="CX50" s="9" t="n">
        <v>0</v>
      </c>
      <c r="CY50" s="9" t="n">
        <v>0</v>
      </c>
      <c r="CZ50" s="9" t="n">
        <v>0</v>
      </c>
      <c r="DA50" s="9" t="n">
        <v>0</v>
      </c>
      <c r="DB50" s="11" t="n">
        <f aca="false">(CX50+CY50+CZ50+DA50)/4</f>
        <v>0</v>
      </c>
      <c r="DC50" s="9" t="n">
        <v>0</v>
      </c>
      <c r="DD50" s="9" t="n">
        <v>1</v>
      </c>
      <c r="DE50" s="9" t="n">
        <v>1</v>
      </c>
      <c r="DF50" s="9" t="n">
        <v>1</v>
      </c>
      <c r="DG50" s="11" t="n">
        <f aca="false">(DC50+DD50+DE50+DF50)/4</f>
        <v>0.75</v>
      </c>
      <c r="DH50" s="9" t="n">
        <v>1</v>
      </c>
      <c r="DI50" s="9" t="n">
        <v>1</v>
      </c>
      <c r="DJ50" s="9" t="n">
        <v>1</v>
      </c>
      <c r="DK50" s="9" t="n">
        <v>1</v>
      </c>
      <c r="DL50" s="11" t="n">
        <f aca="false">(DH50+DI50+DJ50+DK50)/4</f>
        <v>1</v>
      </c>
      <c r="DM50" s="9" t="n">
        <v>4</v>
      </c>
      <c r="DN50" s="9" t="n">
        <v>94</v>
      </c>
      <c r="DO50" s="9" t="n">
        <v>83</v>
      </c>
      <c r="DP50" s="9" t="n">
        <v>30</v>
      </c>
      <c r="DQ50" s="11" t="n">
        <f aca="false">(DM50+DN50+DO50+DP50)/4</f>
        <v>52.75</v>
      </c>
      <c r="DR50" s="9" t="n">
        <v>6</v>
      </c>
      <c r="DS50" s="9" t="n">
        <v>22</v>
      </c>
      <c r="DT50" s="9" t="n">
        <v>7</v>
      </c>
      <c r="DU50" s="9" t="n">
        <v>10</v>
      </c>
      <c r="DV50" s="11" t="n">
        <f aca="false">(DR50+DS50+DT50+DU50)/4</f>
        <v>11.25</v>
      </c>
      <c r="DW50" s="9" t="n">
        <v>0</v>
      </c>
      <c r="DX50" s="9" t="n">
        <v>0</v>
      </c>
      <c r="DY50" s="9" t="n">
        <v>0</v>
      </c>
      <c r="DZ50" s="9" t="n">
        <v>0</v>
      </c>
      <c r="EA50" s="11" t="n">
        <f aca="false">(DW50+DX50+DY50+DZ50)/4</f>
        <v>0</v>
      </c>
      <c r="EB50" s="11" t="n">
        <f aca="false">(DW50/DR50)</f>
        <v>0</v>
      </c>
      <c r="EC50" s="11" t="n">
        <f aca="false">(DX50/DS50)</f>
        <v>0</v>
      </c>
      <c r="ED50" s="11" t="n">
        <f aca="false">(DY50/DT50)</f>
        <v>0</v>
      </c>
      <c r="EE50" s="11" t="n">
        <f aca="false">(DZ50/DU50)</f>
        <v>0</v>
      </c>
      <c r="EF50" s="11" t="n">
        <f aca="false">(EA50/DV50)</f>
        <v>0</v>
      </c>
      <c r="EG50" s="11" t="n">
        <f aca="false">(100*EF50)</f>
        <v>0</v>
      </c>
      <c r="EH50" s="9" t="n">
        <v>0</v>
      </c>
      <c r="EI50" s="9" t="n">
        <v>0</v>
      </c>
      <c r="EJ50" s="9" t="n">
        <v>5</v>
      </c>
      <c r="EK50" s="19" t="n">
        <v>1</v>
      </c>
      <c r="EL50" s="9" t="n">
        <v>4</v>
      </c>
      <c r="EM50" s="9" t="n">
        <f aca="false">(EI50+EJ50+EK50+EL50)/4</f>
        <v>2.5</v>
      </c>
      <c r="EN50" s="9" t="n">
        <f aca="false">(EI50/DR50)</f>
        <v>0</v>
      </c>
      <c r="EO50" s="9" t="n">
        <f aca="false">(EJ50/DS50)</f>
        <v>0.227272727272727</v>
      </c>
      <c r="EP50" s="9" t="n">
        <f aca="false">(EK50/DT50)</f>
        <v>0.142857142857143</v>
      </c>
      <c r="EQ50" s="9" t="n">
        <f aca="false">(EL50/DU50)</f>
        <v>0.4</v>
      </c>
      <c r="ER50" s="9" t="n">
        <f aca="false">EM50/DV50</f>
        <v>0.222222222222222</v>
      </c>
      <c r="ES50" s="9" t="n">
        <f aca="false">(100*ER50)</f>
        <v>22.2222222222222</v>
      </c>
      <c r="ET50" s="9" t="n">
        <v>2</v>
      </c>
      <c r="EU50" s="18" t="n">
        <v>0</v>
      </c>
      <c r="EV50" s="9" t="n">
        <v>0</v>
      </c>
      <c r="EW50" s="9" t="n">
        <v>0</v>
      </c>
      <c r="EX50" s="9" t="n">
        <v>0</v>
      </c>
      <c r="EY50" s="11" t="n">
        <f aca="false">(EU50+EV50+EW50+EX50)/4</f>
        <v>0</v>
      </c>
      <c r="EZ50" s="11" t="n">
        <f aca="false">(EU50/DR50)</f>
        <v>0</v>
      </c>
      <c r="FA50" s="11" t="n">
        <f aca="false">(EV50/DS50)</f>
        <v>0</v>
      </c>
      <c r="FB50" s="11" t="n">
        <f aca="false">(EW50/DT50)</f>
        <v>0</v>
      </c>
      <c r="FC50" s="11" t="n">
        <f aca="false">(EX50/DU50)</f>
        <v>0</v>
      </c>
      <c r="FD50" s="11" t="n">
        <f aca="false">(EY50/DV50)</f>
        <v>0</v>
      </c>
      <c r="FE50" s="11" t="n">
        <f aca="false">(100*FD50)</f>
        <v>0</v>
      </c>
      <c r="FF50" s="9" t="n">
        <v>0</v>
      </c>
      <c r="FG50" s="9" t="n">
        <v>3</v>
      </c>
      <c r="FH50" s="9" t="n">
        <v>15</v>
      </c>
      <c r="FI50" s="9" t="n">
        <v>15</v>
      </c>
      <c r="FJ50" s="9" t="n">
        <v>3</v>
      </c>
      <c r="FK50" s="11" t="n">
        <f aca="false">(FG50+FH50+FI50+FJ50)/4</f>
        <v>9</v>
      </c>
      <c r="FL50" s="11" t="n">
        <f aca="false">(FG50/DR50)</f>
        <v>0.5</v>
      </c>
      <c r="FM50" s="11" t="n">
        <f aca="false">(FH50/DS50)</f>
        <v>0.681818181818182</v>
      </c>
      <c r="FN50" s="11" t="n">
        <f aca="false">(FI50/DT50)</f>
        <v>2.14285714285714</v>
      </c>
      <c r="FO50" s="11" t="n">
        <f aca="false">(FJ50/DU50)</f>
        <v>0.3</v>
      </c>
      <c r="FP50" s="11" t="n">
        <f aca="false">(FK50/DV50)</f>
        <v>0.8</v>
      </c>
      <c r="FQ50" s="11" t="n">
        <f aca="false">(100*FP50)</f>
        <v>80</v>
      </c>
      <c r="FR50" s="9" t="n">
        <v>3</v>
      </c>
      <c r="FS50" s="9" t="n">
        <v>41.5</v>
      </c>
      <c r="FT50" s="9" t="n">
        <v>38.6</v>
      </c>
      <c r="FU50" s="9" t="n">
        <v>51.7</v>
      </c>
      <c r="FV50" s="9" t="n">
        <v>49.6</v>
      </c>
      <c r="FW50" s="11" t="n">
        <f aca="false">(FS50+FT50+FU50+FV50)/4</f>
        <v>45.35</v>
      </c>
      <c r="FX50" s="9" t="n">
        <v>0</v>
      </c>
      <c r="FY50" s="9" t="n">
        <v>0</v>
      </c>
      <c r="FZ50" s="9" t="n">
        <v>0</v>
      </c>
      <c r="GA50" s="9" t="n">
        <v>0</v>
      </c>
      <c r="GB50" s="11" t="n">
        <f aca="false">(FX50+FY50+FZ50+GA50)/4</f>
        <v>0</v>
      </c>
      <c r="GC50" s="9" t="n">
        <v>1</v>
      </c>
      <c r="GD50" s="9" t="n">
        <v>1</v>
      </c>
      <c r="GE50" s="9" t="n">
        <v>1</v>
      </c>
      <c r="GF50" s="9" t="n">
        <v>1</v>
      </c>
      <c r="GG50" s="11" t="n">
        <f aca="false">(GC50+GD50+GE50+GF50)/4</f>
        <v>1</v>
      </c>
      <c r="GH50" s="9" t="n">
        <v>1</v>
      </c>
      <c r="GI50" s="9" t="n">
        <v>1</v>
      </c>
      <c r="GJ50" s="9" t="n">
        <v>1</v>
      </c>
      <c r="GK50" s="9" t="n">
        <v>1</v>
      </c>
      <c r="GL50" s="11" t="n">
        <f aca="false">(GH50+GI50+GJ50+GK50)/4</f>
        <v>1</v>
      </c>
      <c r="GM50" s="9" t="n">
        <v>57</v>
      </c>
      <c r="GN50" s="9" t="n">
        <v>78</v>
      </c>
      <c r="GO50" s="9" t="n">
        <v>98</v>
      </c>
      <c r="GP50" s="9" t="n">
        <v>167</v>
      </c>
      <c r="GQ50" s="11" t="n">
        <f aca="false">(GM50+GN50+GO50+GP50)/4</f>
        <v>100</v>
      </c>
      <c r="GR50" s="9" t="n">
        <v>10</v>
      </c>
      <c r="GS50" s="9" t="n">
        <v>5</v>
      </c>
      <c r="GT50" s="9" t="n">
        <v>5</v>
      </c>
      <c r="GU50" s="9" t="n">
        <v>7</v>
      </c>
      <c r="GV50" s="11" t="n">
        <f aca="false">(GR50+GS50+GT50+GU50)/4</f>
        <v>6.75</v>
      </c>
      <c r="GW50" s="9" t="n">
        <v>0</v>
      </c>
      <c r="GX50" s="9" t="n">
        <v>0</v>
      </c>
      <c r="GY50" s="9" t="n">
        <v>0</v>
      </c>
      <c r="GZ50" s="9" t="n">
        <v>0</v>
      </c>
      <c r="HA50" s="11" t="n">
        <f aca="false">(GW50+GX50+GY50+GZ50)/4</f>
        <v>0</v>
      </c>
      <c r="HB50" s="9" t="n">
        <f aca="false">(GW50/GR50)</f>
        <v>0</v>
      </c>
      <c r="HC50" s="9" t="n">
        <f aca="false">(GX50/GS50)</f>
        <v>0</v>
      </c>
      <c r="HD50" s="9" t="n">
        <f aca="false">(GY50/GT50)</f>
        <v>0</v>
      </c>
      <c r="HE50" s="9" t="n">
        <f aca="false">(GZ50/GU50)/4</f>
        <v>0</v>
      </c>
      <c r="HF50" s="9" t="n">
        <f aca="false">(HB50+HC50+HD50+HE50)/4</f>
        <v>0</v>
      </c>
      <c r="HG50" s="9" t="n">
        <f aca="false">(100*HF50)</f>
        <v>0</v>
      </c>
      <c r="HH50" s="18" t="n">
        <v>0</v>
      </c>
      <c r="HI50" s="9" t="n">
        <v>4</v>
      </c>
      <c r="HJ50" s="9" t="n">
        <v>4</v>
      </c>
      <c r="HK50" s="9" t="n">
        <v>4</v>
      </c>
      <c r="HL50" s="19" t="n">
        <v>2</v>
      </c>
      <c r="HM50" s="9" t="n">
        <f aca="false">(HI50+HJ50+HK50+HL50)/4</f>
        <v>3.5</v>
      </c>
      <c r="HN50" s="9" t="n">
        <f aca="false">(HI50/GR50)</f>
        <v>0.4</v>
      </c>
      <c r="HO50" s="9" t="n">
        <f aca="false">(HJ50/GS50)</f>
        <v>0.8</v>
      </c>
      <c r="HP50" s="9" t="n">
        <f aca="false">(HK50/GT50)</f>
        <v>0.8</v>
      </c>
      <c r="HQ50" s="9" t="n">
        <f aca="false">(HL50/GU50)</f>
        <v>0.285714285714286</v>
      </c>
      <c r="HR50" s="9" t="n">
        <f aca="false">(HM50/GV50)</f>
        <v>0.518518518518519</v>
      </c>
      <c r="HS50" s="9" t="n">
        <f aca="false">(100*HR50)</f>
        <v>51.8518518518519</v>
      </c>
      <c r="HT50" s="18" t="n">
        <v>3</v>
      </c>
      <c r="HU50" s="9" t="n">
        <v>0</v>
      </c>
      <c r="HV50" s="9" t="n">
        <v>0</v>
      </c>
      <c r="HW50" s="9" t="n">
        <v>0</v>
      </c>
      <c r="HX50" s="19" t="n">
        <v>0</v>
      </c>
      <c r="HY50" s="9" t="n">
        <f aca="false">(HU50+HV50+HW50+HX50)/4</f>
        <v>0</v>
      </c>
      <c r="HZ50" s="9" t="n">
        <f aca="false">(HU50/GR50)</f>
        <v>0</v>
      </c>
      <c r="IA50" s="9" t="n">
        <f aca="false">HV50/GS50</f>
        <v>0</v>
      </c>
      <c r="IB50" s="9" t="n">
        <f aca="false">(HW50/GT50)</f>
        <v>0</v>
      </c>
      <c r="IC50" s="9" t="n">
        <f aca="false">(HX50/GU50)</f>
        <v>0</v>
      </c>
      <c r="ID50" s="9" t="n">
        <f aca="false">(HY50/GV50)</f>
        <v>0</v>
      </c>
      <c r="IE50" s="9" t="n">
        <f aca="false">(100*ID50)</f>
        <v>0</v>
      </c>
      <c r="IF50" s="18" t="n">
        <v>0</v>
      </c>
      <c r="IG50" s="9" t="n">
        <v>17</v>
      </c>
      <c r="IH50" s="9" t="n">
        <v>1</v>
      </c>
      <c r="II50" s="19" t="n">
        <v>22</v>
      </c>
      <c r="IJ50" s="9" t="n">
        <v>42</v>
      </c>
      <c r="IK50" s="9" t="n">
        <f aca="false">(IG50+IH50+II50+IJ50)/4</f>
        <v>20.5</v>
      </c>
      <c r="IL50" s="9" t="n">
        <f aca="false">(IG50/GM50)</f>
        <v>0.298245614035088</v>
      </c>
      <c r="IM50" s="9" t="n">
        <f aca="false">(IH50/GN50)</f>
        <v>0.0128205128205128</v>
      </c>
      <c r="IN50" s="9" t="n">
        <f aca="false">(II50/GO50)</f>
        <v>0.224489795918367</v>
      </c>
      <c r="IO50" s="9" t="n">
        <f aca="false">(IJ50/GP50)</f>
        <v>0.251497005988024</v>
      </c>
      <c r="IP50" s="9" t="n">
        <f aca="false">(IK50/GQ50)</f>
        <v>0.205</v>
      </c>
      <c r="IQ50" s="9" t="n">
        <f aca="false">(100*IP50)</f>
        <v>20.5</v>
      </c>
      <c r="IR50" s="18" t="n">
        <v>2</v>
      </c>
      <c r="IS50" s="9" t="n">
        <v>42</v>
      </c>
      <c r="IT50" s="9" t="n">
        <v>49.1</v>
      </c>
      <c r="IU50" s="19" t="n">
        <v>50.3</v>
      </c>
      <c r="IV50" s="9" t="n">
        <v>49.1</v>
      </c>
      <c r="IW50" s="9" t="n">
        <f aca="false">(IS50+IT50+IU50+IV50)/4</f>
        <v>47.625</v>
      </c>
      <c r="IX50" s="16" t="n">
        <v>45208</v>
      </c>
      <c r="IY50" s="10" t="s">
        <v>268</v>
      </c>
    </row>
    <row r="51" customFormat="false" ht="15.75" hidden="false" customHeight="true" outlineLevel="0" collapsed="false">
      <c r="A51" s="9" t="s">
        <v>370</v>
      </c>
      <c r="B51" s="10" t="s">
        <v>385</v>
      </c>
      <c r="C51" s="10" t="s">
        <v>261</v>
      </c>
      <c r="D51" s="9" t="n">
        <v>3</v>
      </c>
      <c r="E51" s="9" t="n">
        <v>17</v>
      </c>
      <c r="F51" s="10" t="s">
        <v>390</v>
      </c>
      <c r="G51" s="10" t="s">
        <v>280</v>
      </c>
      <c r="H51" s="9" t="n">
        <v>21</v>
      </c>
      <c r="I51" s="9" t="n">
        <v>10</v>
      </c>
      <c r="J51" s="12" t="s">
        <v>270</v>
      </c>
      <c r="K51" s="20"/>
      <c r="L51" s="20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 t="n">
        <v>0</v>
      </c>
      <c r="Y51" s="9" t="n">
        <v>0</v>
      </c>
      <c r="Z51" s="9" t="n">
        <v>0</v>
      </c>
      <c r="AA51" s="9" t="n">
        <v>0</v>
      </c>
      <c r="AB51" s="11" t="n">
        <f aca="false">(X51+Y51+Z51+AA51)/4</f>
        <v>0</v>
      </c>
      <c r="AC51" s="9" t="n">
        <v>1</v>
      </c>
      <c r="AD51" s="9" t="n">
        <v>1</v>
      </c>
      <c r="AE51" s="9" t="n">
        <v>1</v>
      </c>
      <c r="AF51" s="9" t="n">
        <v>0</v>
      </c>
      <c r="AG51" s="11" t="n">
        <f aca="false">(AC51+AD51+AE51+AF51)/4</f>
        <v>0.75</v>
      </c>
      <c r="AH51" s="9" t="n">
        <v>0</v>
      </c>
      <c r="AI51" s="9" t="n">
        <v>1</v>
      </c>
      <c r="AJ51" s="9" t="n">
        <v>1</v>
      </c>
      <c r="AK51" s="9" t="n">
        <v>1</v>
      </c>
      <c r="AL51" s="11" t="n">
        <f aca="false">(AH51+AI51+AJ51+AK51)/4</f>
        <v>0.75</v>
      </c>
      <c r="AM51" s="9" t="n">
        <v>11</v>
      </c>
      <c r="AN51" s="9" t="n">
        <v>10</v>
      </c>
      <c r="AO51" s="9" t="n">
        <v>39</v>
      </c>
      <c r="AP51" s="9" t="n">
        <v>38</v>
      </c>
      <c r="AQ51" s="11" t="n">
        <f aca="false">(AM51+AN51+AO51+AP51)/4</f>
        <v>24.5</v>
      </c>
      <c r="AR51" s="9" t="n">
        <v>13</v>
      </c>
      <c r="AS51" s="9" t="n">
        <v>13</v>
      </c>
      <c r="AT51" s="9" t="n">
        <v>10</v>
      </c>
      <c r="AU51" s="9" t="n">
        <v>10</v>
      </c>
      <c r="AV51" s="11" t="n">
        <f aca="false">(AR51+AS51+AT51+AU51)/4</f>
        <v>11.5</v>
      </c>
      <c r="AW51" s="9" t="n">
        <v>0</v>
      </c>
      <c r="AX51" s="9" t="n">
        <v>0</v>
      </c>
      <c r="AY51" s="9" t="n">
        <v>0</v>
      </c>
      <c r="AZ51" s="9" t="n">
        <v>0</v>
      </c>
      <c r="BA51" s="11" t="n">
        <f aca="false">(AW51+AX51+AY51+AZ51)/4</f>
        <v>0</v>
      </c>
      <c r="BB51" s="11" t="n">
        <f aca="false">(AW51/AR51)</f>
        <v>0</v>
      </c>
      <c r="BC51" s="11" t="n">
        <f aca="false">(AX51/AS51)</f>
        <v>0</v>
      </c>
      <c r="BD51" s="11" t="n">
        <f aca="false">(AY51/AT51)</f>
        <v>0</v>
      </c>
      <c r="BE51" s="11" t="n">
        <f aca="false">(AZ51/AU51)</f>
        <v>0</v>
      </c>
      <c r="BF51" s="11" t="n">
        <f aca="false">(BA51/AV51)</f>
        <v>0</v>
      </c>
      <c r="BG51" s="11" t="n">
        <f aca="false">(BF51*100)</f>
        <v>0</v>
      </c>
      <c r="BH51" s="9" t="n">
        <v>0</v>
      </c>
      <c r="BI51" s="9" t="n">
        <v>3</v>
      </c>
      <c r="BJ51" s="9" t="n">
        <v>2</v>
      </c>
      <c r="BK51" s="9" t="n">
        <v>5</v>
      </c>
      <c r="BL51" s="9" t="n">
        <v>0</v>
      </c>
      <c r="BM51" s="11" t="n">
        <f aca="false">(BI51+BJ51+BK51+BL51)/4</f>
        <v>2.5</v>
      </c>
      <c r="BN51" s="11" t="n">
        <f aca="false">(BI51/AR51)</f>
        <v>0.230769230769231</v>
      </c>
      <c r="BO51" s="11" t="n">
        <f aca="false">(BJ51/AS51)</f>
        <v>0.153846153846154</v>
      </c>
      <c r="BP51" s="11" t="n">
        <f aca="false">(BK51/AT51)</f>
        <v>0.5</v>
      </c>
      <c r="BQ51" s="11" t="n">
        <f aca="false">(BL51/AU51)</f>
        <v>0</v>
      </c>
      <c r="BR51" s="11" t="n">
        <f aca="false">(BM51/AV51)</f>
        <v>0.217391304347826</v>
      </c>
      <c r="BS51" s="11" t="n">
        <f aca="false">(100*BR51)</f>
        <v>21.7391304347826</v>
      </c>
      <c r="BT51" s="9" t="n">
        <v>2</v>
      </c>
      <c r="BU51" s="9" t="n">
        <v>0</v>
      </c>
      <c r="BV51" s="9" t="n">
        <v>0</v>
      </c>
      <c r="BW51" s="9" t="n">
        <v>0</v>
      </c>
      <c r="BX51" s="9" t="n">
        <v>2</v>
      </c>
      <c r="BY51" s="11" t="n">
        <f aca="false">(BU51+BV51+BW51+BX51)/4</f>
        <v>0.5</v>
      </c>
      <c r="BZ51" s="11" t="n">
        <f aca="false">(BU51/AR51)</f>
        <v>0</v>
      </c>
      <c r="CA51" s="11" t="n">
        <f aca="false">(BV51/AS51)</f>
        <v>0</v>
      </c>
      <c r="CB51" s="11" t="n">
        <f aca="false">(BW51/AT51)</f>
        <v>0</v>
      </c>
      <c r="CC51" s="11" t="n">
        <f aca="false">(BX51/AU51)</f>
        <v>0.2</v>
      </c>
      <c r="CD51" s="11" t="n">
        <f aca="false">(BY51/AV51)</f>
        <v>0.0434782608695652</v>
      </c>
      <c r="CE51" s="11" t="n">
        <f aca="false">(100*CD51)</f>
        <v>4.34782608695652</v>
      </c>
      <c r="CF51" s="9" t="n">
        <v>1</v>
      </c>
      <c r="CG51" s="9" t="n">
        <v>0</v>
      </c>
      <c r="CH51" s="9" t="n">
        <v>3</v>
      </c>
      <c r="CI51" s="9" t="n">
        <v>6</v>
      </c>
      <c r="CJ51" s="9" t="n">
        <v>2</v>
      </c>
      <c r="CK51" s="11" t="n">
        <f aca="false">(CG51+CH51+CI51+CJ51)/4</f>
        <v>2.75</v>
      </c>
      <c r="CL51" s="11" t="n">
        <f aca="false">(CG51/AM51)</f>
        <v>0</v>
      </c>
      <c r="CM51" s="11" t="n">
        <f aca="false">(CH51/AN51)</f>
        <v>0.3</v>
      </c>
      <c r="CN51" s="11" t="n">
        <f aca="false">(CI51/AO51)</f>
        <v>0.153846153846154</v>
      </c>
      <c r="CO51" s="9" t="n">
        <f aca="false">(CJ51/AP51)</f>
        <v>0.0526315789473684</v>
      </c>
      <c r="CP51" s="9" t="n">
        <f aca="false">(CK51/AQ51)</f>
        <v>0.112244897959184</v>
      </c>
      <c r="CQ51" s="9" t="n">
        <f aca="false">(100*CP51)</f>
        <v>11.2244897959184</v>
      </c>
      <c r="CR51" s="18" t="n">
        <v>2</v>
      </c>
      <c r="CS51" s="9" t="n">
        <v>61.6</v>
      </c>
      <c r="CT51" s="9" t="n">
        <v>67.1</v>
      </c>
      <c r="CU51" s="9" t="n">
        <v>65.1</v>
      </c>
      <c r="CV51" s="9" t="n">
        <v>65.2</v>
      </c>
      <c r="CW51" s="11" t="n">
        <f aca="false">(CS51+CT51+CU51+CV51)/4</f>
        <v>64.75</v>
      </c>
      <c r="CX51" s="9" t="n">
        <v>0</v>
      </c>
      <c r="CY51" s="9" t="n">
        <v>0</v>
      </c>
      <c r="CZ51" s="9" t="n">
        <v>0</v>
      </c>
      <c r="DA51" s="9" t="n">
        <v>0</v>
      </c>
      <c r="DB51" s="11" t="n">
        <f aca="false">(CX51+CY51+CZ51+DA51)/4</f>
        <v>0</v>
      </c>
      <c r="DC51" s="9" t="n">
        <v>0</v>
      </c>
      <c r="DD51" s="9" t="n">
        <v>1</v>
      </c>
      <c r="DE51" s="9" t="n">
        <v>1</v>
      </c>
      <c r="DF51" s="9" t="n">
        <v>1</v>
      </c>
      <c r="DG51" s="11" t="n">
        <f aca="false">(DC51+DD51+DE51+DF51)/4</f>
        <v>0.75</v>
      </c>
      <c r="DH51" s="9" t="n">
        <v>1</v>
      </c>
      <c r="DI51" s="9" t="n">
        <v>1</v>
      </c>
      <c r="DJ51" s="9" t="n">
        <v>1</v>
      </c>
      <c r="DK51" s="9" t="n">
        <v>1</v>
      </c>
      <c r="DL51" s="11" t="n">
        <f aca="false">(DH51+DI51+DJ51+DK51)/4</f>
        <v>1</v>
      </c>
      <c r="DM51" s="9" t="n">
        <v>36</v>
      </c>
      <c r="DN51" s="9" t="n">
        <v>47</v>
      </c>
      <c r="DO51" s="9" t="n">
        <v>22</v>
      </c>
      <c r="DP51" s="9" t="n">
        <v>34</v>
      </c>
      <c r="DQ51" s="11" t="n">
        <f aca="false">(DM51+DN51+DO51+DP51)/4</f>
        <v>34.75</v>
      </c>
      <c r="DR51" s="9" t="n">
        <v>14</v>
      </c>
      <c r="DS51" s="9" t="n">
        <v>11</v>
      </c>
      <c r="DT51" s="9" t="n">
        <v>10</v>
      </c>
      <c r="DU51" s="9" t="n">
        <v>13</v>
      </c>
      <c r="DV51" s="11" t="n">
        <f aca="false">(DR51+DS51+DT51+DU51)/4</f>
        <v>12</v>
      </c>
      <c r="DW51" s="9" t="n">
        <v>0</v>
      </c>
      <c r="DX51" s="9" t="n">
        <v>0</v>
      </c>
      <c r="DY51" s="9" t="n">
        <v>0</v>
      </c>
      <c r="DZ51" s="9" t="n">
        <v>0</v>
      </c>
      <c r="EA51" s="11" t="n">
        <f aca="false">(DW51+DX51+DY51+DZ51)/4</f>
        <v>0</v>
      </c>
      <c r="EB51" s="11" t="n">
        <f aca="false">(DW51/DR51)</f>
        <v>0</v>
      </c>
      <c r="EC51" s="11" t="n">
        <f aca="false">(DX51/DS51)</f>
        <v>0</v>
      </c>
      <c r="ED51" s="11" t="n">
        <f aca="false">(DY51/DT51)</f>
        <v>0</v>
      </c>
      <c r="EE51" s="11" t="n">
        <f aca="false">(DZ51/DU51)</f>
        <v>0</v>
      </c>
      <c r="EF51" s="11" t="n">
        <f aca="false">(EA51/DV51)</f>
        <v>0</v>
      </c>
      <c r="EG51" s="11" t="n">
        <f aca="false">(100*EF51)</f>
        <v>0</v>
      </c>
      <c r="EH51" s="9" t="n">
        <v>0</v>
      </c>
      <c r="EI51" s="9" t="n">
        <v>0</v>
      </c>
      <c r="EJ51" s="9" t="n">
        <v>2</v>
      </c>
      <c r="EK51" s="19" t="n">
        <v>1</v>
      </c>
      <c r="EL51" s="9" t="n">
        <v>2</v>
      </c>
      <c r="EM51" s="9" t="n">
        <f aca="false">(EI51+EJ51+EK51+EL51)/4</f>
        <v>1.25</v>
      </c>
      <c r="EN51" s="9" t="n">
        <f aca="false">(EI51/DR51)</f>
        <v>0</v>
      </c>
      <c r="EO51" s="9" t="n">
        <f aca="false">(EJ51/DS51)</f>
        <v>0.181818181818182</v>
      </c>
      <c r="EP51" s="9" t="n">
        <f aca="false">(EK51/DT51)</f>
        <v>0.1</v>
      </c>
      <c r="EQ51" s="9" t="n">
        <f aca="false">(EL51/DU51)</f>
        <v>0.153846153846154</v>
      </c>
      <c r="ER51" s="9" t="n">
        <f aca="false">EM51/DV51</f>
        <v>0.104166666666667</v>
      </c>
      <c r="ES51" s="9" t="n">
        <f aca="false">(100*ER51)</f>
        <v>10.4166666666667</v>
      </c>
      <c r="ET51" s="9" t="n">
        <v>2</v>
      </c>
      <c r="EU51" s="18" t="n">
        <v>1</v>
      </c>
      <c r="EV51" s="9" t="n">
        <v>0</v>
      </c>
      <c r="EW51" s="9" t="n">
        <v>0</v>
      </c>
      <c r="EX51" s="9" t="n">
        <v>0</v>
      </c>
      <c r="EY51" s="11" t="n">
        <f aca="false">(EU51+EV51+EW51+EX51)/4</f>
        <v>0.25</v>
      </c>
      <c r="EZ51" s="11" t="n">
        <f aca="false">(EU51/DR51)</f>
        <v>0.0714285714285714</v>
      </c>
      <c r="FA51" s="11" t="n">
        <f aca="false">(EV51/DS51)</f>
        <v>0</v>
      </c>
      <c r="FB51" s="11" t="n">
        <f aca="false">(EW51/DT51)</f>
        <v>0</v>
      </c>
      <c r="FC51" s="11" t="n">
        <f aca="false">(EX51/DU51)</f>
        <v>0</v>
      </c>
      <c r="FD51" s="11" t="n">
        <f aca="false">(EY51/DV51)</f>
        <v>0.0208333333333333</v>
      </c>
      <c r="FE51" s="11" t="n">
        <f aca="false">(100*FD51)</f>
        <v>2.08333333333333</v>
      </c>
      <c r="FF51" s="9" t="n">
        <v>1</v>
      </c>
      <c r="FG51" s="9" t="n">
        <v>2</v>
      </c>
      <c r="FH51" s="9" t="n">
        <v>14</v>
      </c>
      <c r="FI51" s="9" t="n">
        <v>4</v>
      </c>
      <c r="FJ51" s="9" t="n">
        <v>2</v>
      </c>
      <c r="FK51" s="11" t="n">
        <f aca="false">(FG51+FH51+FI51+FJ51)/4</f>
        <v>5.5</v>
      </c>
      <c r="FL51" s="11" t="n">
        <f aca="false">(FG51/DR51)</f>
        <v>0.142857142857143</v>
      </c>
      <c r="FM51" s="11" t="n">
        <f aca="false">(FH51/DS51)</f>
        <v>1.27272727272727</v>
      </c>
      <c r="FN51" s="11" t="n">
        <f aca="false">(FI51/DT51)</f>
        <v>0.4</v>
      </c>
      <c r="FO51" s="11" t="n">
        <f aca="false">(FJ51/DU51)</f>
        <v>0.153846153846154</v>
      </c>
      <c r="FP51" s="11" t="n">
        <f aca="false">(FK51/DV51)</f>
        <v>0.458333333333333</v>
      </c>
      <c r="FQ51" s="11" t="n">
        <f aca="false">(100*FP51)</f>
        <v>45.8333333333333</v>
      </c>
      <c r="FR51" s="9" t="n">
        <v>3</v>
      </c>
      <c r="FS51" s="9" t="n">
        <v>60.3</v>
      </c>
      <c r="FT51" s="9" t="n">
        <v>58.1</v>
      </c>
      <c r="FU51" s="9" t="n">
        <v>67.6</v>
      </c>
      <c r="FV51" s="9" t="n">
        <v>66.1</v>
      </c>
      <c r="FW51" s="11" t="n">
        <f aca="false">(FS51+FT51+FU51+FV51)/4</f>
        <v>63.025</v>
      </c>
      <c r="FX51" s="9" t="n">
        <v>0</v>
      </c>
      <c r="FY51" s="9" t="n">
        <v>0</v>
      </c>
      <c r="FZ51" s="9" t="n">
        <v>0</v>
      </c>
      <c r="GA51" s="9" t="n">
        <v>0</v>
      </c>
      <c r="GB51" s="11" t="n">
        <f aca="false">(FX51+FY51+FZ51+GA51)/4</f>
        <v>0</v>
      </c>
      <c r="GC51" s="9" t="n">
        <v>1</v>
      </c>
      <c r="GD51" s="9" t="n">
        <v>0</v>
      </c>
      <c r="GE51" s="9" t="n">
        <v>1</v>
      </c>
      <c r="GF51" s="9" t="n">
        <v>1</v>
      </c>
      <c r="GG51" s="11" t="n">
        <f aca="false">(GC51+GD51+GE51+GF51)/4</f>
        <v>0.75</v>
      </c>
      <c r="GH51" s="9" t="n">
        <v>1</v>
      </c>
      <c r="GI51" s="9" t="n">
        <v>0</v>
      </c>
      <c r="GJ51" s="9" t="n">
        <v>1</v>
      </c>
      <c r="GK51" s="9" t="n">
        <v>0</v>
      </c>
      <c r="GL51" s="11" t="n">
        <f aca="false">(GH51+GI51+GJ51+GK51)/4</f>
        <v>0.5</v>
      </c>
      <c r="GM51" s="9" t="n">
        <v>32</v>
      </c>
      <c r="GN51" s="9" t="n">
        <v>48</v>
      </c>
      <c r="GO51" s="9" t="n">
        <v>35</v>
      </c>
      <c r="GP51" s="9" t="n">
        <v>32</v>
      </c>
      <c r="GQ51" s="11" t="n">
        <f aca="false">(GM51+GN51+GO51+GP51)/4</f>
        <v>36.75</v>
      </c>
      <c r="GR51" s="9" t="n">
        <v>5</v>
      </c>
      <c r="GS51" s="9" t="n">
        <v>14</v>
      </c>
      <c r="GT51" s="9" t="n">
        <v>14</v>
      </c>
      <c r="GU51" s="9" t="n">
        <v>17</v>
      </c>
      <c r="GV51" s="11" t="n">
        <f aca="false">(GR51+GS51+GT51+GU51)/4</f>
        <v>12.5</v>
      </c>
      <c r="GW51" s="9" t="n">
        <v>0</v>
      </c>
      <c r="GX51" s="9" t="n">
        <v>0</v>
      </c>
      <c r="GY51" s="9" t="n">
        <v>0</v>
      </c>
      <c r="GZ51" s="9" t="n">
        <v>0</v>
      </c>
      <c r="HA51" s="11" t="n">
        <f aca="false">(GW51+GX51+GY51+GZ51)/4</f>
        <v>0</v>
      </c>
      <c r="HB51" s="9" t="n">
        <f aca="false">(GW51/GR51)</f>
        <v>0</v>
      </c>
      <c r="HC51" s="9" t="n">
        <f aca="false">(GX51/GS51)</f>
        <v>0</v>
      </c>
      <c r="HD51" s="9" t="n">
        <f aca="false">(GY51/GT51)</f>
        <v>0</v>
      </c>
      <c r="HE51" s="9" t="n">
        <f aca="false">(GZ51/GU51)/4</f>
        <v>0</v>
      </c>
      <c r="HF51" s="9" t="n">
        <f aca="false">(HB51+HC51+HD51+HE51)/4</f>
        <v>0</v>
      </c>
      <c r="HG51" s="9" t="n">
        <f aca="false">(100*HF51)</f>
        <v>0</v>
      </c>
      <c r="HH51" s="18" t="n">
        <v>0</v>
      </c>
      <c r="HI51" s="9" t="n">
        <v>1</v>
      </c>
      <c r="HJ51" s="9" t="n">
        <v>0</v>
      </c>
      <c r="HK51" s="9" t="n">
        <v>2</v>
      </c>
      <c r="HL51" s="19" t="n">
        <v>2</v>
      </c>
      <c r="HM51" s="9" t="n">
        <f aca="false">(HI51+HJ51+HK51+HL51)/4</f>
        <v>1.25</v>
      </c>
      <c r="HN51" s="9" t="n">
        <f aca="false">(HI51/GR51)</f>
        <v>0.2</v>
      </c>
      <c r="HO51" s="9" t="n">
        <f aca="false">(HJ51/GS51)</f>
        <v>0</v>
      </c>
      <c r="HP51" s="9" t="n">
        <f aca="false">(HK51/GT51)</f>
        <v>0.142857142857143</v>
      </c>
      <c r="HQ51" s="9" t="n">
        <f aca="false">(HL51/GU51)</f>
        <v>0.117647058823529</v>
      </c>
      <c r="HR51" s="9" t="n">
        <f aca="false">(HM51/GV51)</f>
        <v>0.1</v>
      </c>
      <c r="HS51" s="9" t="n">
        <f aca="false">(100*HR51)</f>
        <v>10</v>
      </c>
      <c r="HT51" s="18" t="n">
        <v>2</v>
      </c>
      <c r="HU51" s="9" t="n">
        <v>0</v>
      </c>
      <c r="HV51" s="9" t="n">
        <v>0</v>
      </c>
      <c r="HW51" s="9" t="n">
        <v>2</v>
      </c>
      <c r="HX51" s="19" t="n">
        <v>0</v>
      </c>
      <c r="HY51" s="9" t="n">
        <f aca="false">(HU51+HV51+HW51+HX51)/4</f>
        <v>0.5</v>
      </c>
      <c r="HZ51" s="9" t="n">
        <f aca="false">(HU51/GR51)</f>
        <v>0</v>
      </c>
      <c r="IA51" s="9" t="n">
        <f aca="false">HV51/GS51</f>
        <v>0</v>
      </c>
      <c r="IB51" s="9" t="n">
        <f aca="false">(HW51/GT51)</f>
        <v>0.142857142857143</v>
      </c>
      <c r="IC51" s="9" t="n">
        <f aca="false">(HX51/GU51)</f>
        <v>0</v>
      </c>
      <c r="ID51" s="9" t="n">
        <f aca="false">(HY51/GV51)</f>
        <v>0.04</v>
      </c>
      <c r="IE51" s="9" t="n">
        <f aca="false">(100*ID51)</f>
        <v>4</v>
      </c>
      <c r="IF51" s="18" t="n">
        <v>1</v>
      </c>
      <c r="IG51" s="9" t="n">
        <v>5</v>
      </c>
      <c r="IH51" s="9" t="n">
        <v>0</v>
      </c>
      <c r="II51" s="19" t="n">
        <v>0</v>
      </c>
      <c r="IJ51" s="9" t="n">
        <v>0</v>
      </c>
      <c r="IK51" s="9" t="n">
        <f aca="false">(IG51+IH51+II51+IJ51)/4</f>
        <v>1.25</v>
      </c>
      <c r="IL51" s="9" t="n">
        <f aca="false">(IG51/GM51)</f>
        <v>0.15625</v>
      </c>
      <c r="IM51" s="9" t="n">
        <f aca="false">(IH51/GN51)</f>
        <v>0</v>
      </c>
      <c r="IN51" s="9" t="n">
        <f aca="false">(II51/GO51)</f>
        <v>0</v>
      </c>
      <c r="IO51" s="9" t="n">
        <f aca="false">(IJ51/GP51)</f>
        <v>0</v>
      </c>
      <c r="IP51" s="9" t="n">
        <f aca="false">(IK51/GQ51)</f>
        <v>0.0340136054421769</v>
      </c>
      <c r="IQ51" s="9" t="n">
        <f aca="false">(100*IP51)</f>
        <v>3.40136054421769</v>
      </c>
      <c r="IR51" s="18" t="n">
        <v>1</v>
      </c>
      <c r="IS51" s="9" t="n">
        <v>49</v>
      </c>
      <c r="IT51" s="9" t="n">
        <v>68.9</v>
      </c>
      <c r="IU51" s="19" t="n">
        <v>63.4</v>
      </c>
      <c r="IV51" s="9" t="n">
        <v>67.7</v>
      </c>
      <c r="IW51" s="9" t="n">
        <f aca="false">(IS51+IT51+IU51+IV51)/4</f>
        <v>62.25</v>
      </c>
      <c r="IX51" s="16" t="n">
        <v>45208</v>
      </c>
      <c r="IY51" s="10" t="s">
        <v>268</v>
      </c>
    </row>
    <row r="52" customFormat="false" ht="15.75" hidden="false" customHeight="true" outlineLevel="0" collapsed="false">
      <c r="A52" s="9" t="s">
        <v>370</v>
      </c>
      <c r="B52" s="10" t="s">
        <v>385</v>
      </c>
      <c r="C52" s="10" t="s">
        <v>261</v>
      </c>
      <c r="D52" s="9" t="n">
        <v>3</v>
      </c>
      <c r="E52" s="9" t="n">
        <v>17</v>
      </c>
      <c r="F52" s="10" t="s">
        <v>391</v>
      </c>
      <c r="G52" s="10" t="s">
        <v>320</v>
      </c>
      <c r="H52" s="9" t="n">
        <v>21</v>
      </c>
      <c r="I52" s="9" t="n">
        <v>22</v>
      </c>
      <c r="J52" s="10" t="s">
        <v>272</v>
      </c>
      <c r="K52" s="20"/>
      <c r="L52" s="20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 t="n">
        <v>1</v>
      </c>
      <c r="Y52" s="9" t="n">
        <v>0</v>
      </c>
      <c r="Z52" s="9" t="n">
        <v>0</v>
      </c>
      <c r="AA52" s="9" t="n">
        <v>0</v>
      </c>
      <c r="AB52" s="11" t="n">
        <f aca="false">(X52+Y52+Z52+AA52)/4</f>
        <v>0.25</v>
      </c>
      <c r="AC52" s="9" t="n">
        <v>0</v>
      </c>
      <c r="AD52" s="9" t="n">
        <v>1</v>
      </c>
      <c r="AE52" s="9" t="n">
        <v>0</v>
      </c>
      <c r="AF52" s="9" t="n">
        <v>1</v>
      </c>
      <c r="AG52" s="11" t="n">
        <f aca="false">(AC52+AD52+AE52+AF52)/4</f>
        <v>0.5</v>
      </c>
      <c r="AH52" s="9" t="n">
        <v>0</v>
      </c>
      <c r="AI52" s="9" t="n">
        <v>1</v>
      </c>
      <c r="AJ52" s="9" t="n">
        <v>1</v>
      </c>
      <c r="AK52" s="9" t="n">
        <v>1</v>
      </c>
      <c r="AL52" s="11" t="n">
        <f aca="false">(AH52+AI52+AJ52+AK52)/4</f>
        <v>0.75</v>
      </c>
      <c r="AM52" s="9" t="n">
        <v>6</v>
      </c>
      <c r="AN52" s="9" t="n">
        <v>64</v>
      </c>
      <c r="AO52" s="9" t="n">
        <v>13</v>
      </c>
      <c r="AP52" s="9" t="n">
        <v>81</v>
      </c>
      <c r="AQ52" s="11" t="n">
        <f aca="false">(AM52+AN52+AO52+AP52)/4</f>
        <v>41</v>
      </c>
      <c r="AR52" s="9" t="n">
        <v>11</v>
      </c>
      <c r="AS52" s="9" t="n">
        <v>4</v>
      </c>
      <c r="AT52" s="9" t="n">
        <v>7</v>
      </c>
      <c r="AU52" s="9" t="n">
        <v>10</v>
      </c>
      <c r="AV52" s="11" t="n">
        <f aca="false">(AR52+AS52+AT52+AU52)/4</f>
        <v>8</v>
      </c>
      <c r="AW52" s="9" t="n">
        <v>1</v>
      </c>
      <c r="AX52" s="9" t="n">
        <v>0</v>
      </c>
      <c r="AY52" s="9" t="n">
        <v>0</v>
      </c>
      <c r="AZ52" s="9" t="n">
        <v>0</v>
      </c>
      <c r="BA52" s="11" t="n">
        <f aca="false">(AW52+AX52+AY52+AZ52)/4</f>
        <v>0.25</v>
      </c>
      <c r="BB52" s="11" t="n">
        <f aca="false">(AW52/AR52)</f>
        <v>0.0909090909090909</v>
      </c>
      <c r="BC52" s="11" t="n">
        <f aca="false">(AX52/AS52)</f>
        <v>0</v>
      </c>
      <c r="BD52" s="11" t="n">
        <f aca="false">(AY52/AT52)</f>
        <v>0</v>
      </c>
      <c r="BE52" s="11" t="n">
        <f aca="false">(AZ52/AU52)</f>
        <v>0</v>
      </c>
      <c r="BF52" s="11" t="n">
        <f aca="false">(BA52/AV52)</f>
        <v>0.03125</v>
      </c>
      <c r="BG52" s="11" t="n">
        <f aca="false">(BF52*100)</f>
        <v>3.125</v>
      </c>
      <c r="BH52" s="9" t="n">
        <v>1</v>
      </c>
      <c r="BI52" s="9" t="n">
        <v>0</v>
      </c>
      <c r="BJ52" s="9" t="n">
        <v>4</v>
      </c>
      <c r="BK52" s="9" t="n">
        <v>0</v>
      </c>
      <c r="BL52" s="9" t="n">
        <v>1</v>
      </c>
      <c r="BM52" s="11" t="n">
        <f aca="false">(BI52+BJ52+BK52+BL52)/4</f>
        <v>1.25</v>
      </c>
      <c r="BN52" s="11" t="n">
        <f aca="false">(BI52/AR52)</f>
        <v>0</v>
      </c>
      <c r="BO52" s="11" t="n">
        <f aca="false">(BJ52/AS52)</f>
        <v>1</v>
      </c>
      <c r="BP52" s="11" t="n">
        <f aca="false">(BK52/AT52)</f>
        <v>0</v>
      </c>
      <c r="BQ52" s="11" t="n">
        <f aca="false">(BL52/AU52)</f>
        <v>0.1</v>
      </c>
      <c r="BR52" s="11" t="n">
        <f aca="false">(BM52/AV52)</f>
        <v>0.15625</v>
      </c>
      <c r="BS52" s="11" t="n">
        <f aca="false">(100*BR52)</f>
        <v>15.625</v>
      </c>
      <c r="BT52" s="9" t="n">
        <v>2</v>
      </c>
      <c r="BU52" s="9" t="n">
        <v>0</v>
      </c>
      <c r="BV52" s="9" t="n">
        <v>0</v>
      </c>
      <c r="BW52" s="9" t="n">
        <v>3</v>
      </c>
      <c r="BX52" s="9" t="n">
        <v>0</v>
      </c>
      <c r="BY52" s="11" t="n">
        <f aca="false">(BU52+BV52+BW52+BX52)/4</f>
        <v>0.75</v>
      </c>
      <c r="BZ52" s="11" t="n">
        <f aca="false">(BU52/AR52)</f>
        <v>0</v>
      </c>
      <c r="CA52" s="11" t="n">
        <f aca="false">(BV52/AS52)</f>
        <v>0</v>
      </c>
      <c r="CB52" s="11" t="n">
        <f aca="false">(BW52/AT52)</f>
        <v>0.428571428571429</v>
      </c>
      <c r="CC52" s="11" t="n">
        <f aca="false">(BX52/AU52)</f>
        <v>0</v>
      </c>
      <c r="CD52" s="11" t="n">
        <f aca="false">(BY52/AV52)</f>
        <v>0.09375</v>
      </c>
      <c r="CE52" s="11" t="n">
        <f aca="false">(100*CD52)</f>
        <v>9.375</v>
      </c>
      <c r="CF52" s="9" t="n">
        <v>1</v>
      </c>
      <c r="CG52" s="9" t="n">
        <v>0</v>
      </c>
      <c r="CH52" s="9" t="n">
        <v>2</v>
      </c>
      <c r="CI52" s="9" t="n">
        <v>0</v>
      </c>
      <c r="CJ52" s="9" t="n">
        <v>3</v>
      </c>
      <c r="CK52" s="11" t="n">
        <f aca="false">(CG52+CH52+CI52+CJ52)/4</f>
        <v>1.25</v>
      </c>
      <c r="CL52" s="11" t="n">
        <f aca="false">(CG52/AM52)</f>
        <v>0</v>
      </c>
      <c r="CM52" s="11" t="n">
        <f aca="false">(CH52/AN52)</f>
        <v>0.03125</v>
      </c>
      <c r="CN52" s="11" t="n">
        <f aca="false">(CI52/AO52)</f>
        <v>0</v>
      </c>
      <c r="CO52" s="9" t="n">
        <f aca="false">(CJ52/AP52)</f>
        <v>0.037037037037037</v>
      </c>
      <c r="CP52" s="9" t="n">
        <f aca="false">(CK52/AQ52)</f>
        <v>0.0304878048780488</v>
      </c>
      <c r="CQ52" s="9" t="n">
        <f aca="false">(100*CP52)</f>
        <v>3.04878048780488</v>
      </c>
      <c r="CR52" s="18" t="n">
        <v>1</v>
      </c>
      <c r="CS52" s="9" t="n">
        <v>62</v>
      </c>
      <c r="CT52" s="9" t="n">
        <v>46.9</v>
      </c>
      <c r="CU52" s="9" t="n">
        <v>64.3</v>
      </c>
      <c r="CV52" s="9" t="n">
        <v>68.3</v>
      </c>
      <c r="CW52" s="11" t="n">
        <f aca="false">(CS52+CT52+CU52+CV52)/4</f>
        <v>60.375</v>
      </c>
      <c r="CX52" s="9" t="n">
        <v>0</v>
      </c>
      <c r="CY52" s="9" t="n">
        <v>0</v>
      </c>
      <c r="CZ52" s="9" t="n">
        <v>1</v>
      </c>
      <c r="DA52" s="9" t="n">
        <v>0</v>
      </c>
      <c r="DB52" s="11" t="n">
        <f aca="false">(CX52+CY52+CZ52+DA52)/4</f>
        <v>0.25</v>
      </c>
      <c r="DC52" s="9" t="n">
        <v>1</v>
      </c>
      <c r="DD52" s="9" t="n">
        <v>1</v>
      </c>
      <c r="DE52" s="9" t="n">
        <v>1</v>
      </c>
      <c r="DF52" s="9" t="n">
        <v>1</v>
      </c>
      <c r="DG52" s="11" t="n">
        <f aca="false">(DC52+DD52+DE52+DF52)/4</f>
        <v>1</v>
      </c>
      <c r="DH52" s="9" t="n">
        <v>1</v>
      </c>
      <c r="DI52" s="9" t="n">
        <v>1</v>
      </c>
      <c r="DJ52" s="9" t="n">
        <v>1</v>
      </c>
      <c r="DK52" s="9" t="n">
        <v>1</v>
      </c>
      <c r="DL52" s="11" t="n">
        <f aca="false">(DH52+DI52+DJ52+DK52)/4</f>
        <v>1</v>
      </c>
      <c r="DM52" s="9" t="n">
        <v>263</v>
      </c>
      <c r="DN52" s="9" t="n">
        <v>126</v>
      </c>
      <c r="DO52" s="9" t="n">
        <v>218</v>
      </c>
      <c r="DP52" s="9" t="n">
        <v>184</v>
      </c>
      <c r="DQ52" s="11" t="n">
        <f aca="false">(DM52+DN52+DO52+DP52)/4</f>
        <v>197.75</v>
      </c>
      <c r="DR52" s="9" t="n">
        <v>8</v>
      </c>
      <c r="DS52" s="9" t="n">
        <v>13</v>
      </c>
      <c r="DT52" s="9" t="n">
        <v>17</v>
      </c>
      <c r="DU52" s="9" t="n">
        <v>8</v>
      </c>
      <c r="DV52" s="11" t="n">
        <f aca="false">(DR52+DS52+DT52+DU52)/4</f>
        <v>11.5</v>
      </c>
      <c r="DW52" s="9" t="n">
        <v>0</v>
      </c>
      <c r="DX52" s="9" t="n">
        <v>0</v>
      </c>
      <c r="DY52" s="9" t="n">
        <v>1</v>
      </c>
      <c r="DZ52" s="9" t="n">
        <v>0</v>
      </c>
      <c r="EA52" s="11" t="n">
        <f aca="false">(DW52+DX52+DY52+DZ52)/4</f>
        <v>0.25</v>
      </c>
      <c r="EB52" s="11" t="n">
        <f aca="false">(DW52/DR52)</f>
        <v>0</v>
      </c>
      <c r="EC52" s="11" t="n">
        <f aca="false">(DX52/DS52)</f>
        <v>0</v>
      </c>
      <c r="ED52" s="11" t="n">
        <f aca="false">(DY52/DT52)</f>
        <v>0.0588235294117647</v>
      </c>
      <c r="EE52" s="11" t="n">
        <f aca="false">(DZ52/DU52)</f>
        <v>0</v>
      </c>
      <c r="EF52" s="11" t="n">
        <f aca="false">(EA52/DV52)</f>
        <v>0.0217391304347826</v>
      </c>
      <c r="EG52" s="11" t="n">
        <f aca="false">(100*EF52)</f>
        <v>2.17391304347826</v>
      </c>
      <c r="EH52" s="9" t="n">
        <v>1</v>
      </c>
      <c r="EI52" s="9" t="n">
        <v>1</v>
      </c>
      <c r="EJ52" s="9" t="n">
        <v>1</v>
      </c>
      <c r="EK52" s="19" t="n">
        <v>1</v>
      </c>
      <c r="EL52" s="9" t="n">
        <v>1</v>
      </c>
      <c r="EM52" s="9" t="n">
        <f aca="false">(EI52+EJ52+EK52+EL52)/4</f>
        <v>1</v>
      </c>
      <c r="EN52" s="9" t="n">
        <f aca="false">(EI52/DR52)</f>
        <v>0.125</v>
      </c>
      <c r="EO52" s="9" t="n">
        <f aca="false">(EJ52/DS52)</f>
        <v>0.0769230769230769</v>
      </c>
      <c r="EP52" s="9" t="n">
        <f aca="false">(EK52/DT52)</f>
        <v>0.0588235294117647</v>
      </c>
      <c r="EQ52" s="9" t="n">
        <f aca="false">(EL52/DU52)</f>
        <v>0.125</v>
      </c>
      <c r="ER52" s="9" t="n">
        <f aca="false">EM52/DV52</f>
        <v>0.0869565217391304</v>
      </c>
      <c r="ES52" s="9" t="n">
        <f aca="false">(100*ER52)</f>
        <v>8.69565217391304</v>
      </c>
      <c r="ET52" s="9" t="n">
        <v>1</v>
      </c>
      <c r="EU52" s="18" t="n">
        <v>0</v>
      </c>
      <c r="EV52" s="9" t="n">
        <v>0</v>
      </c>
      <c r="EW52" s="9" t="n">
        <v>0</v>
      </c>
      <c r="EX52" s="9" t="n">
        <v>0</v>
      </c>
      <c r="EY52" s="11" t="n">
        <f aca="false">(EU52+EV52+EW52+EX52)/4</f>
        <v>0</v>
      </c>
      <c r="EZ52" s="11" t="n">
        <f aca="false">(EU52/DR52)</f>
        <v>0</v>
      </c>
      <c r="FA52" s="11" t="n">
        <f aca="false">(EV52/DS52)</f>
        <v>0</v>
      </c>
      <c r="FB52" s="11" t="n">
        <f aca="false">(EW52/DT52)</f>
        <v>0</v>
      </c>
      <c r="FC52" s="11" t="n">
        <f aca="false">(EX52/DU52)</f>
        <v>0</v>
      </c>
      <c r="FD52" s="11" t="n">
        <f aca="false">(EY52/DV52)</f>
        <v>0</v>
      </c>
      <c r="FE52" s="11" t="n">
        <f aca="false">(100*FD52)</f>
        <v>0</v>
      </c>
      <c r="FF52" s="9" t="n">
        <v>0</v>
      </c>
      <c r="FG52" s="9" t="n">
        <v>7</v>
      </c>
      <c r="FH52" s="9" t="n">
        <v>18</v>
      </c>
      <c r="FI52" s="9" t="n">
        <v>11</v>
      </c>
      <c r="FJ52" s="9" t="n">
        <v>9</v>
      </c>
      <c r="FK52" s="11" t="n">
        <f aca="false">(FG52+FH52+FI52+FJ52)/4</f>
        <v>11.25</v>
      </c>
      <c r="FL52" s="11" t="n">
        <f aca="false">(FG52/DR52)</f>
        <v>0.875</v>
      </c>
      <c r="FM52" s="11" t="n">
        <f aca="false">(FH52/DS52)</f>
        <v>1.38461538461538</v>
      </c>
      <c r="FN52" s="11" t="n">
        <f aca="false">(FI52/DT52)</f>
        <v>0.647058823529412</v>
      </c>
      <c r="FO52" s="11" t="n">
        <f aca="false">(FJ52/DU52)</f>
        <v>1.125</v>
      </c>
      <c r="FP52" s="11" t="n">
        <f aca="false">(FK52/DV52)</f>
        <v>0.978260869565217</v>
      </c>
      <c r="FQ52" s="11" t="n">
        <f aca="false">(100*FP52)</f>
        <v>97.8260869565217</v>
      </c>
      <c r="FR52" s="9" t="n">
        <v>3</v>
      </c>
      <c r="FS52" s="9" t="n">
        <v>52.5</v>
      </c>
      <c r="FT52" s="9" t="n">
        <v>59.6</v>
      </c>
      <c r="FU52" s="9" t="n">
        <v>53.8</v>
      </c>
      <c r="FV52" s="9" t="n">
        <v>53.8</v>
      </c>
      <c r="FW52" s="11" t="n">
        <f aca="false">(FS52+FT52+FU52+FV52)/4</f>
        <v>54.925</v>
      </c>
      <c r="FX52" s="9" t="n">
        <v>0</v>
      </c>
      <c r="FY52" s="9" t="n">
        <v>0</v>
      </c>
      <c r="FZ52" s="9" t="n">
        <v>0</v>
      </c>
      <c r="GA52" s="9" t="n">
        <v>0</v>
      </c>
      <c r="GB52" s="11" t="n">
        <f aca="false">(FX52+FY52+FZ52+GA52)/4</f>
        <v>0</v>
      </c>
      <c r="GC52" s="9" t="n">
        <v>1</v>
      </c>
      <c r="GD52" s="9" t="n">
        <v>1</v>
      </c>
      <c r="GE52" s="9" t="n">
        <v>1</v>
      </c>
      <c r="GF52" s="9" t="n">
        <v>1</v>
      </c>
      <c r="GG52" s="11" t="n">
        <f aca="false">(GC52+GD52+GE52+GF52)/4</f>
        <v>1</v>
      </c>
      <c r="GH52" s="9" t="n">
        <v>1</v>
      </c>
      <c r="GI52" s="9" t="n">
        <v>1</v>
      </c>
      <c r="GJ52" s="9" t="n">
        <v>1</v>
      </c>
      <c r="GK52" s="9" t="n">
        <v>1</v>
      </c>
      <c r="GL52" s="11" t="n">
        <f aca="false">(GH52+GI52+GJ52+GK52)/4</f>
        <v>1</v>
      </c>
      <c r="GM52" s="9" t="n">
        <v>150</v>
      </c>
      <c r="GN52" s="9" t="n">
        <v>160</v>
      </c>
      <c r="GO52" s="9" t="n">
        <v>125</v>
      </c>
      <c r="GP52" s="9" t="n">
        <v>28</v>
      </c>
      <c r="GQ52" s="11" t="n">
        <f aca="false">(GM52+GN52+GO52+GP52)/4</f>
        <v>115.75</v>
      </c>
      <c r="GR52" s="9" t="n">
        <v>13</v>
      </c>
      <c r="GS52" s="9" t="n">
        <v>15</v>
      </c>
      <c r="GT52" s="9" t="n">
        <v>13</v>
      </c>
      <c r="GU52" s="9" t="n">
        <v>16</v>
      </c>
      <c r="GV52" s="11" t="n">
        <f aca="false">(GR52+GS52+GT52+GU52)/4</f>
        <v>14.25</v>
      </c>
      <c r="GW52" s="9" t="n">
        <v>0</v>
      </c>
      <c r="GX52" s="9" t="n">
        <v>0</v>
      </c>
      <c r="GY52" s="9" t="n">
        <v>0</v>
      </c>
      <c r="GZ52" s="9" t="n">
        <v>0</v>
      </c>
      <c r="HA52" s="11" t="n">
        <f aca="false">(GW52+GX52+GY52+GZ52)/4</f>
        <v>0</v>
      </c>
      <c r="HB52" s="9" t="n">
        <f aca="false">(GW52/GR52)</f>
        <v>0</v>
      </c>
      <c r="HC52" s="9" t="n">
        <f aca="false">(GX52/GS52)</f>
        <v>0</v>
      </c>
      <c r="HD52" s="9" t="n">
        <f aca="false">(GY52/GT52)</f>
        <v>0</v>
      </c>
      <c r="HE52" s="9" t="n">
        <f aca="false">(GZ52/GU52)/4</f>
        <v>0</v>
      </c>
      <c r="HF52" s="9" t="n">
        <f aca="false">(HB52+HC52+HD52+HE52)/4</f>
        <v>0</v>
      </c>
      <c r="HG52" s="9" t="n">
        <f aca="false">(100*HF52)</f>
        <v>0</v>
      </c>
      <c r="HH52" s="18" t="n">
        <v>0</v>
      </c>
      <c r="HI52" s="9" t="n">
        <v>1</v>
      </c>
      <c r="HJ52" s="9" t="n">
        <v>1</v>
      </c>
      <c r="HK52" s="9" t="n">
        <v>1</v>
      </c>
      <c r="HL52" s="19" t="n">
        <v>2</v>
      </c>
      <c r="HM52" s="9" t="n">
        <f aca="false">(HI52+HJ52+HK52+HL52)/4</f>
        <v>1.25</v>
      </c>
      <c r="HN52" s="9" t="n">
        <f aca="false">(HI52/GR52)</f>
        <v>0.0769230769230769</v>
      </c>
      <c r="HO52" s="9" t="n">
        <f aca="false">(HJ52/GS52)</f>
        <v>0.0666666666666667</v>
      </c>
      <c r="HP52" s="9" t="n">
        <f aca="false">(HK52/GT52)</f>
        <v>0.0769230769230769</v>
      </c>
      <c r="HQ52" s="9" t="n">
        <f aca="false">(HL52/GU52)</f>
        <v>0.125</v>
      </c>
      <c r="HR52" s="9" t="n">
        <f aca="false">(HM52/GV52)</f>
        <v>0.087719298245614</v>
      </c>
      <c r="HS52" s="9" t="n">
        <f aca="false">(100*HR52)</f>
        <v>8.7719298245614</v>
      </c>
      <c r="HT52" s="18" t="n">
        <v>1</v>
      </c>
      <c r="HU52" s="9" t="n">
        <v>0</v>
      </c>
      <c r="HV52" s="9" t="n">
        <v>0</v>
      </c>
      <c r="HW52" s="9" t="n">
        <v>0</v>
      </c>
      <c r="HX52" s="19" t="n">
        <v>0</v>
      </c>
      <c r="HY52" s="9" t="n">
        <f aca="false">(HU52+HV52+HW52+HX52)/4</f>
        <v>0</v>
      </c>
      <c r="HZ52" s="9" t="n">
        <f aca="false">(HU52/GR52)</f>
        <v>0</v>
      </c>
      <c r="IA52" s="9" t="n">
        <f aca="false">HV52/GS52</f>
        <v>0</v>
      </c>
      <c r="IB52" s="9" t="n">
        <f aca="false">(HW52/GT52)</f>
        <v>0</v>
      </c>
      <c r="IC52" s="9" t="n">
        <f aca="false">(HX52/GU52)</f>
        <v>0</v>
      </c>
      <c r="ID52" s="9" t="n">
        <f aca="false">(HY52/GV52)</f>
        <v>0</v>
      </c>
      <c r="IE52" s="9" t="n">
        <f aca="false">(100*ID52)</f>
        <v>0</v>
      </c>
      <c r="IF52" s="18" t="n">
        <v>0</v>
      </c>
      <c r="IG52" s="11" t="n">
        <v>1</v>
      </c>
      <c r="IH52" s="11" t="n">
        <v>3</v>
      </c>
      <c r="II52" s="11" t="n">
        <v>10</v>
      </c>
      <c r="IJ52" s="9" t="n">
        <v>2</v>
      </c>
      <c r="IK52" s="9" t="n">
        <f aca="false">(IG52+IH52+II52+IJ52)/4</f>
        <v>4</v>
      </c>
      <c r="IL52" s="9" t="n">
        <f aca="false">(IG52/GM52)</f>
        <v>0.00666666666666667</v>
      </c>
      <c r="IM52" s="9" t="n">
        <f aca="false">(IH52/GN52)</f>
        <v>0.01875</v>
      </c>
      <c r="IN52" s="9" t="n">
        <f aca="false">(II52/GO52)</f>
        <v>0.08</v>
      </c>
      <c r="IO52" s="9" t="n">
        <f aca="false">(IJ52/GP52)</f>
        <v>0.0714285714285714</v>
      </c>
      <c r="IP52" s="9" t="n">
        <f aca="false">(IK52/GQ52)</f>
        <v>0.0345572354211663</v>
      </c>
      <c r="IQ52" s="9" t="n">
        <f aca="false">(100*IP52)</f>
        <v>3.45572354211663</v>
      </c>
      <c r="IR52" s="18" t="n">
        <v>1</v>
      </c>
      <c r="IS52" s="9" t="n">
        <v>68.6</v>
      </c>
      <c r="IT52" s="9" t="n">
        <v>55.8</v>
      </c>
      <c r="IU52" s="9" t="n">
        <v>62.8</v>
      </c>
      <c r="IV52" s="9" t="n">
        <v>62.5</v>
      </c>
      <c r="IW52" s="9" t="n">
        <f aca="false">(IS52+IT52+IU52+IV52)/4</f>
        <v>62.425</v>
      </c>
      <c r="IX52" s="16" t="n">
        <v>45208</v>
      </c>
      <c r="IY52" s="10" t="s">
        <v>268</v>
      </c>
    </row>
    <row r="53" customFormat="false" ht="15.75" hidden="false" customHeight="true" outlineLevel="0" collapsed="false">
      <c r="A53" s="24" t="s">
        <v>370</v>
      </c>
      <c r="B53" s="25" t="s">
        <v>392</v>
      </c>
      <c r="C53" s="25" t="s">
        <v>261</v>
      </c>
      <c r="D53" s="25" t="n">
        <v>4</v>
      </c>
      <c r="E53" s="25" t="n">
        <v>18</v>
      </c>
      <c r="F53" s="25" t="s">
        <v>393</v>
      </c>
      <c r="G53" s="25" t="s">
        <v>394</v>
      </c>
      <c r="H53" s="25" t="n">
        <v>21</v>
      </c>
      <c r="I53" s="25" t="n">
        <v>5</v>
      </c>
      <c r="J53" s="26" t="s">
        <v>264</v>
      </c>
      <c r="K53" s="13" t="s">
        <v>387</v>
      </c>
      <c r="L53" s="13" t="s">
        <v>388</v>
      </c>
      <c r="M53" s="14" t="n">
        <v>1301</v>
      </c>
      <c r="N53" s="15" t="n">
        <v>45153</v>
      </c>
      <c r="O53" s="10" t="s">
        <v>294</v>
      </c>
      <c r="P53" s="9"/>
      <c r="Q53" s="9" t="n">
        <v>7.53</v>
      </c>
      <c r="R53" s="9" t="n">
        <v>12</v>
      </c>
      <c r="S53" s="9" t="n">
        <v>-15</v>
      </c>
      <c r="T53" s="9" t="n">
        <v>80</v>
      </c>
      <c r="U53" s="9"/>
      <c r="V53" s="9" t="n">
        <f aca="false">(21.95/100)</f>
        <v>0.2195</v>
      </c>
      <c r="W53" s="22" t="s">
        <v>395</v>
      </c>
      <c r="X53" s="11" t="n">
        <v>0</v>
      </c>
      <c r="Y53" s="11" t="n">
        <v>0</v>
      </c>
      <c r="Z53" s="11" t="n">
        <v>0</v>
      </c>
      <c r="AA53" s="11" t="n">
        <v>0</v>
      </c>
      <c r="AB53" s="11" t="n">
        <f aca="false">(X53+Y53+Z53+AA53)/4</f>
        <v>0</v>
      </c>
      <c r="AC53" s="11" t="n">
        <v>1</v>
      </c>
      <c r="AD53" s="11" t="n">
        <v>1</v>
      </c>
      <c r="AE53" s="11" t="n">
        <v>1</v>
      </c>
      <c r="AF53" s="11" t="n">
        <v>1</v>
      </c>
      <c r="AG53" s="11" t="n">
        <f aca="false">(AC53+AD53+AE53+AF53)/4</f>
        <v>1</v>
      </c>
      <c r="AH53" s="11" t="n">
        <v>1</v>
      </c>
      <c r="AI53" s="11" t="n">
        <v>1</v>
      </c>
      <c r="AJ53" s="11" t="n">
        <v>1</v>
      </c>
      <c r="AK53" s="11" t="n">
        <v>0</v>
      </c>
      <c r="AL53" s="11" t="n">
        <f aca="false">(AH53+AI53+AJ53+AK53)/4</f>
        <v>0.75</v>
      </c>
      <c r="AM53" s="11" t="n">
        <v>35</v>
      </c>
      <c r="AN53" s="11" t="n">
        <v>81</v>
      </c>
      <c r="AO53" s="11" t="n">
        <v>51</v>
      </c>
      <c r="AP53" s="11" t="n">
        <v>62</v>
      </c>
      <c r="AQ53" s="11" t="n">
        <f aca="false">(AM53+AN53+AO53+AP53)/4</f>
        <v>57.25</v>
      </c>
      <c r="AR53" s="11" t="n">
        <v>22</v>
      </c>
      <c r="AS53" s="11" t="n">
        <v>31</v>
      </c>
      <c r="AT53" s="11" t="n">
        <v>26</v>
      </c>
      <c r="AU53" s="11" t="n">
        <v>20</v>
      </c>
      <c r="AV53" s="11" t="n">
        <f aca="false">(AR53+AS53+AT53+AU53)/4</f>
        <v>24.75</v>
      </c>
      <c r="AW53" s="11" t="n">
        <v>0</v>
      </c>
      <c r="AX53" s="11" t="n">
        <v>0</v>
      </c>
      <c r="AY53" s="11" t="n">
        <v>0</v>
      </c>
      <c r="AZ53" s="11" t="n">
        <v>0</v>
      </c>
      <c r="BA53" s="11" t="n">
        <f aca="false">(AW53+AX53+AY53+AZ53)/4</f>
        <v>0</v>
      </c>
      <c r="BB53" s="11" t="n">
        <f aca="false">(AW53/AR53)</f>
        <v>0</v>
      </c>
      <c r="BC53" s="11" t="n">
        <f aca="false">(AX53/AS53)</f>
        <v>0</v>
      </c>
      <c r="BD53" s="11" t="n">
        <f aca="false">(AY53/AT53)</f>
        <v>0</v>
      </c>
      <c r="BE53" s="11" t="n">
        <f aca="false">(AZ53/AU53)</f>
        <v>0</v>
      </c>
      <c r="BF53" s="11" t="n">
        <f aca="false">(BA53/AV53)</f>
        <v>0</v>
      </c>
      <c r="BG53" s="11" t="n">
        <f aca="false">(BF53*100)</f>
        <v>0</v>
      </c>
      <c r="BH53" s="11" t="n">
        <v>0</v>
      </c>
      <c r="BI53" s="11" t="n">
        <v>3</v>
      </c>
      <c r="BJ53" s="11" t="n">
        <v>2</v>
      </c>
      <c r="BK53" s="11" t="n">
        <v>7</v>
      </c>
      <c r="BL53" s="11" t="n">
        <v>7</v>
      </c>
      <c r="BM53" s="11" t="n">
        <f aca="false">(BI53+BJ53+BK53+BL53)/4</f>
        <v>4.75</v>
      </c>
      <c r="BN53" s="11" t="n">
        <f aca="false">(BI53/AR53)</f>
        <v>0.136363636363636</v>
      </c>
      <c r="BO53" s="11" t="n">
        <f aca="false">(BJ53/AS53)</f>
        <v>0.0645161290322581</v>
      </c>
      <c r="BP53" s="11" t="n">
        <f aca="false">(BK53/AT53)</f>
        <v>0.269230769230769</v>
      </c>
      <c r="BQ53" s="11" t="n">
        <f aca="false">(BL53/AU53)</f>
        <v>0.35</v>
      </c>
      <c r="BR53" s="11" t="n">
        <f aca="false">(BM53/AV53)</f>
        <v>0.191919191919192</v>
      </c>
      <c r="BS53" s="11" t="n">
        <f aca="false">(100*BR53)</f>
        <v>19.1919191919192</v>
      </c>
      <c r="BT53" s="11" t="n">
        <v>2</v>
      </c>
      <c r="BU53" s="11" t="n">
        <v>0</v>
      </c>
      <c r="BV53" s="11" t="n">
        <v>0</v>
      </c>
      <c r="BW53" s="11" t="n">
        <v>0</v>
      </c>
      <c r="BX53" s="11" t="n">
        <v>0</v>
      </c>
      <c r="BY53" s="11" t="n">
        <f aca="false">(BU53+BV53+BW53+BX53)/4</f>
        <v>0</v>
      </c>
      <c r="BZ53" s="11" t="n">
        <f aca="false">(BU53/AR53)</f>
        <v>0</v>
      </c>
      <c r="CA53" s="11" t="n">
        <f aca="false">(BV53/AS53)</f>
        <v>0</v>
      </c>
      <c r="CB53" s="11" t="n">
        <f aca="false">(BW53/AT53)</f>
        <v>0</v>
      </c>
      <c r="CC53" s="11" t="n">
        <f aca="false">(BX53/AU53)</f>
        <v>0</v>
      </c>
      <c r="CD53" s="11" t="n">
        <f aca="false">(BY53/AV53)</f>
        <v>0</v>
      </c>
      <c r="CE53" s="11" t="n">
        <f aca="false">(100*CD53)</f>
        <v>0</v>
      </c>
      <c r="CF53" s="11" t="n">
        <v>0</v>
      </c>
      <c r="CG53" s="11" t="n">
        <v>12</v>
      </c>
      <c r="CH53" s="11" t="n">
        <v>8</v>
      </c>
      <c r="CI53" s="11" t="n">
        <v>11</v>
      </c>
      <c r="CJ53" s="11" t="n">
        <v>0</v>
      </c>
      <c r="CK53" s="11" t="n">
        <f aca="false">(CG53+CH53+CI53+CJ53)/4</f>
        <v>7.75</v>
      </c>
      <c r="CL53" s="11" t="n">
        <f aca="false">(CG53/AM53)</f>
        <v>0.342857142857143</v>
      </c>
      <c r="CM53" s="11" t="n">
        <f aca="false">(CH53/AN53)</f>
        <v>0.0987654320987654</v>
      </c>
      <c r="CN53" s="11" t="n">
        <f aca="false">(CI53/AO53)</f>
        <v>0.215686274509804</v>
      </c>
      <c r="CO53" s="9" t="n">
        <f aca="false">(CJ53/AP53)</f>
        <v>0</v>
      </c>
      <c r="CP53" s="9" t="n">
        <f aca="false">(CK53/AQ53)</f>
        <v>0.135371179039301</v>
      </c>
      <c r="CQ53" s="9" t="n">
        <f aca="false">(100*CP53)</f>
        <v>13.5371179039301</v>
      </c>
      <c r="CR53" s="11" t="n">
        <v>2</v>
      </c>
      <c r="CS53" s="11" t="n">
        <v>59.3</v>
      </c>
      <c r="CT53" s="11" t="n">
        <v>66.1</v>
      </c>
      <c r="CU53" s="11" t="n">
        <v>53.1</v>
      </c>
      <c r="CV53" s="11" t="n">
        <v>62.9</v>
      </c>
      <c r="CW53" s="11" t="n">
        <f aca="false">(CS53+CT53+CU53+CV53)/4</f>
        <v>60.35</v>
      </c>
      <c r="CX53" s="11" t="n">
        <v>0</v>
      </c>
      <c r="CY53" s="11" t="n">
        <v>0</v>
      </c>
      <c r="CZ53" s="11" t="n">
        <v>0</v>
      </c>
      <c r="DA53" s="11" t="n">
        <v>0</v>
      </c>
      <c r="DB53" s="11" t="n">
        <f aca="false">(CX53+CY53+CZ53+DA53)/4</f>
        <v>0</v>
      </c>
      <c r="DC53" s="11" t="n">
        <v>1</v>
      </c>
      <c r="DD53" s="11" t="n">
        <v>1</v>
      </c>
      <c r="DE53" s="11" t="n">
        <v>1</v>
      </c>
      <c r="DF53" s="11" t="n">
        <v>0</v>
      </c>
      <c r="DG53" s="11" t="n">
        <f aca="false">(DC53+DD53+DE53+DF53)/4</f>
        <v>0.75</v>
      </c>
      <c r="DH53" s="11" t="n">
        <v>1</v>
      </c>
      <c r="DI53" s="11" t="n">
        <v>1</v>
      </c>
      <c r="DJ53" s="11" t="n">
        <v>0</v>
      </c>
      <c r="DK53" s="11" t="n">
        <v>0</v>
      </c>
      <c r="DL53" s="11" t="n">
        <f aca="false">(DH53+DI53+DJ53+DK53)/4</f>
        <v>0.5</v>
      </c>
      <c r="DM53" s="11" t="n">
        <v>90</v>
      </c>
      <c r="DN53" s="11" t="n">
        <v>65</v>
      </c>
      <c r="DO53" s="11" t="n">
        <v>12</v>
      </c>
      <c r="DP53" s="11" t="n">
        <v>49</v>
      </c>
      <c r="DQ53" s="11" t="n">
        <f aca="false">(DM53+DN53+DO53+DP53)/4</f>
        <v>54</v>
      </c>
      <c r="DR53" s="11" t="n">
        <v>33</v>
      </c>
      <c r="DS53" s="11" t="n">
        <v>25</v>
      </c>
      <c r="DT53" s="11" t="n">
        <v>50</v>
      </c>
      <c r="DU53" s="11" t="n">
        <v>19</v>
      </c>
      <c r="DV53" s="11" t="n">
        <f aca="false">(DR53+DS53+DT53+DU53)/4</f>
        <v>31.75</v>
      </c>
      <c r="DW53" s="11" t="n">
        <v>0</v>
      </c>
      <c r="DX53" s="11" t="n">
        <v>0</v>
      </c>
      <c r="DY53" s="11" t="n">
        <v>0</v>
      </c>
      <c r="DZ53" s="11" t="n">
        <v>0</v>
      </c>
      <c r="EA53" s="11" t="n">
        <f aca="false">(DW53+DX53+DY53+DZ53)/4</f>
        <v>0</v>
      </c>
      <c r="EB53" s="11" t="n">
        <f aca="false">(DW53/DR53)</f>
        <v>0</v>
      </c>
      <c r="EC53" s="11" t="n">
        <f aca="false">(DX53/DS53)</f>
        <v>0</v>
      </c>
      <c r="ED53" s="11" t="n">
        <f aca="false">(DY53/DT53)</f>
        <v>0</v>
      </c>
      <c r="EE53" s="11" t="n">
        <f aca="false">(DZ53/DU53)</f>
        <v>0</v>
      </c>
      <c r="EF53" s="11" t="n">
        <f aca="false">(EA53/DV53)</f>
        <v>0</v>
      </c>
      <c r="EG53" s="11" t="n">
        <f aca="false">(100*EF53)</f>
        <v>0</v>
      </c>
      <c r="EH53" s="11" t="n">
        <v>0</v>
      </c>
      <c r="EI53" s="11" t="n">
        <v>3</v>
      </c>
      <c r="EJ53" s="11" t="n">
        <v>5</v>
      </c>
      <c r="EK53" s="11" t="n">
        <v>2</v>
      </c>
      <c r="EL53" s="9" t="n">
        <v>0</v>
      </c>
      <c r="EM53" s="9" t="n">
        <f aca="false">(EI53+EJ53+EK53+EL53)/4</f>
        <v>2.5</v>
      </c>
      <c r="EN53" s="9" t="n">
        <f aca="false">(EI53/DR53)</f>
        <v>0.0909090909090909</v>
      </c>
      <c r="EO53" s="9" t="n">
        <f aca="false">(EJ53/DS53)</f>
        <v>0.2</v>
      </c>
      <c r="EP53" s="9" t="n">
        <f aca="false">(EK53/DT53)</f>
        <v>0.04</v>
      </c>
      <c r="EQ53" s="9" t="n">
        <f aca="false">(EL53/DU53)</f>
        <v>0</v>
      </c>
      <c r="ER53" s="9" t="n">
        <f aca="false">EM53/DV53</f>
        <v>0.078740157480315</v>
      </c>
      <c r="ES53" s="9" t="n">
        <f aca="false">(100*ER53)</f>
        <v>7.8740157480315</v>
      </c>
      <c r="ET53" s="9" t="n">
        <v>1</v>
      </c>
      <c r="EU53" s="11" t="n">
        <v>0</v>
      </c>
      <c r="EV53" s="11" t="n">
        <v>0</v>
      </c>
      <c r="EW53" s="11" t="n">
        <v>0</v>
      </c>
      <c r="EX53" s="11" t="n">
        <v>0</v>
      </c>
      <c r="EY53" s="11" t="n">
        <f aca="false">(EU53+EV53+EW53+EX53)/4</f>
        <v>0</v>
      </c>
      <c r="EZ53" s="11" t="n">
        <f aca="false">(EU53/DR53)</f>
        <v>0</v>
      </c>
      <c r="FA53" s="11" t="n">
        <f aca="false">(EV53/DS53)</f>
        <v>0</v>
      </c>
      <c r="FB53" s="11" t="n">
        <f aca="false">(EW53/DT53)</f>
        <v>0</v>
      </c>
      <c r="FC53" s="11" t="n">
        <f aca="false">(EX53/DU53)</f>
        <v>0</v>
      </c>
      <c r="FD53" s="11" t="n">
        <f aca="false">(EY53/DV53)</f>
        <v>0</v>
      </c>
      <c r="FE53" s="11" t="n">
        <f aca="false">(100*FD53)</f>
        <v>0</v>
      </c>
      <c r="FF53" s="11" t="n">
        <v>0</v>
      </c>
      <c r="FG53" s="11" t="n">
        <v>3</v>
      </c>
      <c r="FH53" s="11" t="n">
        <v>10</v>
      </c>
      <c r="FI53" s="11" t="n">
        <v>0</v>
      </c>
      <c r="FJ53" s="11" t="n">
        <v>0</v>
      </c>
      <c r="FK53" s="11" t="n">
        <f aca="false">(FG53+FH53+FI53+FJ53)/4</f>
        <v>3.25</v>
      </c>
      <c r="FL53" s="11" t="n">
        <f aca="false">(FG53/DR53)</f>
        <v>0.0909090909090909</v>
      </c>
      <c r="FM53" s="11" t="n">
        <f aca="false">(FH53/DS53)</f>
        <v>0.4</v>
      </c>
      <c r="FN53" s="11" t="n">
        <f aca="false">(FI53/DT53)</f>
        <v>0</v>
      </c>
      <c r="FO53" s="11" t="n">
        <f aca="false">(FJ53/DU53)</f>
        <v>0</v>
      </c>
      <c r="FP53" s="11" t="n">
        <f aca="false">(FK53/DV53)</f>
        <v>0.102362204724409</v>
      </c>
      <c r="FQ53" s="11" t="n">
        <f aca="false">(100*FP53)</f>
        <v>10.2362204724409</v>
      </c>
      <c r="FR53" s="11" t="n">
        <v>2</v>
      </c>
      <c r="FS53" s="11" t="n">
        <v>51</v>
      </c>
      <c r="FT53" s="11" t="n">
        <v>59.4</v>
      </c>
      <c r="FU53" s="11" t="n">
        <v>70</v>
      </c>
      <c r="FV53" s="11" t="n">
        <v>73.6</v>
      </c>
      <c r="FW53" s="11" t="n">
        <f aca="false">(FS53+FT53+FU53+FV53)/4</f>
        <v>63.5</v>
      </c>
      <c r="FX53" s="11" t="n">
        <v>0</v>
      </c>
      <c r="FY53" s="11" t="n">
        <v>1</v>
      </c>
      <c r="FZ53" s="11" t="n">
        <v>1</v>
      </c>
      <c r="GA53" s="11" t="n">
        <v>0</v>
      </c>
      <c r="GB53" s="11" t="n">
        <f aca="false">(FX53+FY53+FZ53+GA53)/4</f>
        <v>0.5</v>
      </c>
      <c r="GC53" s="11" t="n">
        <v>1</v>
      </c>
      <c r="GD53" s="11" t="n">
        <v>0</v>
      </c>
      <c r="GE53" s="11" t="n">
        <v>1</v>
      </c>
      <c r="GF53" s="11" t="n">
        <v>1</v>
      </c>
      <c r="GG53" s="11" t="n">
        <f aca="false">(GC53+GD53+GE53+GF53)/4</f>
        <v>0.75</v>
      </c>
      <c r="GH53" s="11" t="n">
        <v>1</v>
      </c>
      <c r="GI53" s="11" t="n">
        <v>0</v>
      </c>
      <c r="GJ53" s="11" t="n">
        <v>0</v>
      </c>
      <c r="GK53" s="11" t="n">
        <v>1</v>
      </c>
      <c r="GL53" s="11" t="n">
        <f aca="false">(GH53+GI53+GJ53+GK53)/4</f>
        <v>0.5</v>
      </c>
      <c r="GM53" s="11" t="n">
        <v>17</v>
      </c>
      <c r="GN53" s="11" t="n">
        <v>97</v>
      </c>
      <c r="GO53" s="11" t="n">
        <v>54</v>
      </c>
      <c r="GP53" s="11" t="n">
        <v>19</v>
      </c>
      <c r="GQ53" s="11" t="n">
        <f aca="false">(GM53+GN53+GO53+GP53)/4</f>
        <v>46.75</v>
      </c>
      <c r="GR53" s="11" t="n">
        <v>24</v>
      </c>
      <c r="GS53" s="11" t="n">
        <v>12</v>
      </c>
      <c r="GT53" s="11" t="n">
        <v>19</v>
      </c>
      <c r="GU53" s="11" t="n">
        <v>34</v>
      </c>
      <c r="GV53" s="11" t="n">
        <f aca="false">(GR53+GS53+GT53+GU53)/4</f>
        <v>22.25</v>
      </c>
      <c r="GW53" s="11" t="n">
        <v>0</v>
      </c>
      <c r="GX53" s="11" t="n">
        <v>3</v>
      </c>
      <c r="GY53" s="11" t="n">
        <v>1</v>
      </c>
      <c r="GZ53" s="11" t="n">
        <v>0</v>
      </c>
      <c r="HA53" s="11" t="n">
        <f aca="false">(GW53+GX53+GY53+GZ53)/4</f>
        <v>1</v>
      </c>
      <c r="HB53" s="9" t="n">
        <f aca="false">(GW53/GR53)</f>
        <v>0</v>
      </c>
      <c r="HC53" s="9" t="n">
        <f aca="false">(GX53/GS53)</f>
        <v>0.25</v>
      </c>
      <c r="HD53" s="9" t="n">
        <f aca="false">(GY53/GT53)</f>
        <v>0.0526315789473684</v>
      </c>
      <c r="HE53" s="9" t="n">
        <f aca="false">(GZ53/GU53)/4</f>
        <v>0</v>
      </c>
      <c r="HF53" s="9" t="n">
        <f aca="false">(HB53+HC53+HD53+HE53)/4</f>
        <v>0.0756578947368421</v>
      </c>
      <c r="HG53" s="9" t="n">
        <f aca="false">(100*HF53)</f>
        <v>7.56578947368421</v>
      </c>
      <c r="HH53" s="11" t="n">
        <v>1</v>
      </c>
      <c r="HI53" s="11" t="n">
        <v>1</v>
      </c>
      <c r="HJ53" s="11" t="n">
        <v>0</v>
      </c>
      <c r="HK53" s="11" t="n">
        <v>4</v>
      </c>
      <c r="HL53" s="11" t="n">
        <v>1</v>
      </c>
      <c r="HM53" s="9" t="n">
        <f aca="false">(HI53+HJ53+HK53+HL53)/4</f>
        <v>1.5</v>
      </c>
      <c r="HN53" s="9" t="n">
        <f aca="false">(HI53/GR53)</f>
        <v>0.0416666666666667</v>
      </c>
      <c r="HO53" s="9" t="n">
        <f aca="false">(HJ53/GS53)</f>
        <v>0</v>
      </c>
      <c r="HP53" s="9" t="n">
        <f aca="false">(HK53/GT53)</f>
        <v>0.210526315789474</v>
      </c>
      <c r="HQ53" s="9" t="n">
        <f aca="false">(HL53/GU53)</f>
        <v>0.0294117647058824</v>
      </c>
      <c r="HR53" s="9" t="n">
        <f aca="false">(HM53/GV53)</f>
        <v>0.0674157303370787</v>
      </c>
      <c r="HS53" s="9" t="n">
        <f aca="false">(100*HR53)</f>
        <v>6.74157303370787</v>
      </c>
      <c r="HT53" s="11" t="n">
        <v>1</v>
      </c>
      <c r="HU53" s="11" t="n">
        <v>1</v>
      </c>
      <c r="HV53" s="11" t="n">
        <v>0</v>
      </c>
      <c r="HW53" s="11" t="n">
        <v>0</v>
      </c>
      <c r="HX53" s="11" t="n">
        <v>0</v>
      </c>
      <c r="HY53" s="9" t="n">
        <f aca="false">(HU53+HV53+HW53+HX53)/4</f>
        <v>0.25</v>
      </c>
      <c r="HZ53" s="9" t="n">
        <f aca="false">(HU53/GR53)</f>
        <v>0.0416666666666667</v>
      </c>
      <c r="IA53" s="9" t="n">
        <f aca="false">HV53/GS53</f>
        <v>0</v>
      </c>
      <c r="IB53" s="9" t="n">
        <f aca="false">(HW53/GT53)</f>
        <v>0</v>
      </c>
      <c r="IC53" s="9" t="n">
        <f aca="false">(HX53/GU53)</f>
        <v>0</v>
      </c>
      <c r="ID53" s="9" t="n">
        <f aca="false">(HY53/GV53)</f>
        <v>0.0112359550561798</v>
      </c>
      <c r="IE53" s="9" t="n">
        <f aca="false">(100*ID53)</f>
        <v>1.12359550561798</v>
      </c>
      <c r="IF53" s="11" t="n">
        <v>1</v>
      </c>
      <c r="IG53" s="11" t="n">
        <v>0</v>
      </c>
      <c r="IH53" s="11" t="n">
        <v>0</v>
      </c>
      <c r="II53" s="11" t="n">
        <v>0</v>
      </c>
      <c r="IJ53" s="9" t="n">
        <v>1</v>
      </c>
      <c r="IK53" s="9" t="n">
        <f aca="false">(IG53+IH53+II53+IJ53)/4</f>
        <v>0.25</v>
      </c>
      <c r="IL53" s="9" t="n">
        <f aca="false">(IG53/GM53)</f>
        <v>0</v>
      </c>
      <c r="IM53" s="9" t="n">
        <f aca="false">(IH53/GN53)</f>
        <v>0</v>
      </c>
      <c r="IN53" s="9" t="n">
        <f aca="false">(II53/GO53)</f>
        <v>0</v>
      </c>
      <c r="IO53" s="9" t="n">
        <f aca="false">(IJ53/GP53)</f>
        <v>0.0526315789473684</v>
      </c>
      <c r="IP53" s="9" t="n">
        <f aca="false">(IK53/GQ53)</f>
        <v>0.0053475935828877</v>
      </c>
      <c r="IQ53" s="9" t="n">
        <f aca="false">(100*IP53)</f>
        <v>0.53475935828877</v>
      </c>
      <c r="IR53" s="11" t="n">
        <v>1</v>
      </c>
      <c r="IS53" s="11" t="n">
        <v>74.1</v>
      </c>
      <c r="IT53" s="11" t="n">
        <v>74</v>
      </c>
      <c r="IU53" s="11" t="n">
        <v>67.1</v>
      </c>
      <c r="IV53" s="11" t="n">
        <v>73.5</v>
      </c>
      <c r="IW53" s="9" t="n">
        <f aca="false">(IS53+IT53+IU53+IV53)/4</f>
        <v>72.175</v>
      </c>
      <c r="IX53" s="16" t="n">
        <v>45208</v>
      </c>
      <c r="IY53" s="10" t="s">
        <v>268</v>
      </c>
    </row>
    <row r="54" customFormat="false" ht="15.75" hidden="false" customHeight="true" outlineLevel="0" collapsed="false">
      <c r="A54" s="9" t="s">
        <v>370</v>
      </c>
      <c r="B54" s="10" t="s">
        <v>392</v>
      </c>
      <c r="C54" s="10" t="s">
        <v>261</v>
      </c>
      <c r="D54" s="9" t="n">
        <v>4</v>
      </c>
      <c r="E54" s="9" t="n">
        <v>18</v>
      </c>
      <c r="F54" s="10" t="s">
        <v>396</v>
      </c>
      <c r="G54" s="10" t="s">
        <v>397</v>
      </c>
      <c r="H54" s="9" t="n">
        <v>21</v>
      </c>
      <c r="I54" s="9" t="n">
        <v>11</v>
      </c>
      <c r="J54" s="12" t="s">
        <v>270</v>
      </c>
      <c r="K54" s="20"/>
      <c r="L54" s="20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 t="n">
        <v>1</v>
      </c>
      <c r="Y54" s="9" t="n">
        <v>1</v>
      </c>
      <c r="Z54" s="9" t="n">
        <v>1</v>
      </c>
      <c r="AA54" s="9" t="n">
        <v>1</v>
      </c>
      <c r="AB54" s="11" t="n">
        <f aca="false">(X54+Y54+Z54+AA54)/4</f>
        <v>1</v>
      </c>
      <c r="AC54" s="9" t="n">
        <v>0</v>
      </c>
      <c r="AD54" s="9" t="n">
        <v>0</v>
      </c>
      <c r="AE54" s="9" t="n">
        <v>0</v>
      </c>
      <c r="AF54" s="9" t="n">
        <v>0</v>
      </c>
      <c r="AG54" s="11" t="n">
        <f aca="false">(AC54+AD54+AE54+AF54)/4</f>
        <v>0</v>
      </c>
      <c r="AH54" s="9" t="n">
        <v>1</v>
      </c>
      <c r="AI54" s="9" t="n">
        <v>1</v>
      </c>
      <c r="AJ54" s="9" t="n">
        <v>1</v>
      </c>
      <c r="AK54" s="9" t="n">
        <v>1</v>
      </c>
      <c r="AL54" s="11" t="n">
        <f aca="false">(AH54+AI54+AJ54+AK54)/4</f>
        <v>1</v>
      </c>
      <c r="AM54" s="9" t="n">
        <v>11</v>
      </c>
      <c r="AN54" s="9" t="n">
        <v>10</v>
      </c>
      <c r="AO54" s="9" t="n">
        <v>34</v>
      </c>
      <c r="AP54" s="9" t="n">
        <v>24</v>
      </c>
      <c r="AQ54" s="11" t="n">
        <f aca="false">(AM54+AN54+AO54+AP54)/4</f>
        <v>19.75</v>
      </c>
      <c r="AR54" s="9" t="n">
        <v>8</v>
      </c>
      <c r="AS54" s="9" t="n">
        <v>9</v>
      </c>
      <c r="AT54" s="9" t="n">
        <v>6</v>
      </c>
      <c r="AU54" s="9" t="n">
        <v>9</v>
      </c>
      <c r="AV54" s="11" t="n">
        <f aca="false">(AR54+AS54+AT54+AU54)/4</f>
        <v>8</v>
      </c>
      <c r="AW54" s="9" t="n">
        <v>3</v>
      </c>
      <c r="AX54" s="9" t="n">
        <v>5</v>
      </c>
      <c r="AY54" s="9" t="n">
        <v>4</v>
      </c>
      <c r="AZ54" s="9" t="n">
        <v>3</v>
      </c>
      <c r="BA54" s="11" t="n">
        <f aca="false">(AW54+AX54+AY54+AZ54)/4</f>
        <v>3.75</v>
      </c>
      <c r="BB54" s="11" t="n">
        <f aca="false">(AW54/AR54)</f>
        <v>0.375</v>
      </c>
      <c r="BC54" s="11" t="n">
        <f aca="false">(AX54/AS54)</f>
        <v>0.555555555555556</v>
      </c>
      <c r="BD54" s="11" t="n">
        <f aca="false">(AY54/AT54)</f>
        <v>0.666666666666667</v>
      </c>
      <c r="BE54" s="11" t="n">
        <f aca="false">(AZ54/AU54)</f>
        <v>0.333333333333333</v>
      </c>
      <c r="BF54" s="11" t="n">
        <f aca="false">(BA54/AV54)</f>
        <v>0.46875</v>
      </c>
      <c r="BG54" s="11" t="n">
        <f aca="false">(BF54*100)</f>
        <v>46.875</v>
      </c>
      <c r="BH54" s="9" t="n">
        <v>3</v>
      </c>
      <c r="BI54" s="9" t="n">
        <v>0</v>
      </c>
      <c r="BJ54" s="9" t="n">
        <v>0</v>
      </c>
      <c r="BK54" s="9" t="n">
        <v>0</v>
      </c>
      <c r="BL54" s="9" t="n">
        <v>0</v>
      </c>
      <c r="BM54" s="11" t="n">
        <f aca="false">(BI54+BJ54+BK54+BL54)/4</f>
        <v>0</v>
      </c>
      <c r="BN54" s="11" t="n">
        <f aca="false">(BI54/AR54)</f>
        <v>0</v>
      </c>
      <c r="BO54" s="11" t="n">
        <f aca="false">(BJ54/AS54)</f>
        <v>0</v>
      </c>
      <c r="BP54" s="11" t="n">
        <f aca="false">(BK54/AT54)</f>
        <v>0</v>
      </c>
      <c r="BQ54" s="11" t="n">
        <f aca="false">(BL54/AU54)</f>
        <v>0</v>
      </c>
      <c r="BR54" s="11" t="n">
        <f aca="false">(BM54/AV54)</f>
        <v>0</v>
      </c>
      <c r="BS54" s="11" t="n">
        <f aca="false">(100*BR54)</f>
        <v>0</v>
      </c>
      <c r="BT54" s="9" t="n">
        <v>0</v>
      </c>
      <c r="BU54" s="9" t="n">
        <v>0</v>
      </c>
      <c r="BV54" s="9" t="n">
        <v>0</v>
      </c>
      <c r="BW54" s="9" t="n">
        <v>0</v>
      </c>
      <c r="BX54" s="9" t="n">
        <v>0</v>
      </c>
      <c r="BY54" s="11" t="n">
        <f aca="false">(BU54+BV54+BW54+BX54)/4</f>
        <v>0</v>
      </c>
      <c r="BZ54" s="11" t="n">
        <f aca="false">(BU54/AR54)</f>
        <v>0</v>
      </c>
      <c r="CA54" s="11" t="n">
        <f aca="false">(BV54/AS54)</f>
        <v>0</v>
      </c>
      <c r="CB54" s="11" t="n">
        <f aca="false">(BW54/AT54)</f>
        <v>0</v>
      </c>
      <c r="CC54" s="11" t="n">
        <f aca="false">(BX54/AU54)</f>
        <v>0</v>
      </c>
      <c r="CD54" s="11" t="n">
        <f aca="false">(BY54/AV54)</f>
        <v>0</v>
      </c>
      <c r="CE54" s="11" t="n">
        <f aca="false">(100*CD54)</f>
        <v>0</v>
      </c>
      <c r="CF54" s="9" t="n">
        <v>0</v>
      </c>
      <c r="CG54" s="9" t="n">
        <v>10</v>
      </c>
      <c r="CH54" s="9" t="n">
        <v>4</v>
      </c>
      <c r="CI54" s="9" t="n">
        <v>20</v>
      </c>
      <c r="CJ54" s="9" t="n">
        <v>15</v>
      </c>
      <c r="CK54" s="11" t="n">
        <f aca="false">(CG54+CH54+CI54+CJ54)/4</f>
        <v>12.25</v>
      </c>
      <c r="CL54" s="11" t="n">
        <f aca="false">(CG54/AM54)</f>
        <v>0.909090909090909</v>
      </c>
      <c r="CM54" s="11" t="n">
        <f aca="false">(CH54/AN54)</f>
        <v>0.4</v>
      </c>
      <c r="CN54" s="11" t="n">
        <f aca="false">(CI54/AO54)</f>
        <v>0.588235294117647</v>
      </c>
      <c r="CO54" s="9" t="n">
        <f aca="false">(CJ54/AP54)</f>
        <v>0.625</v>
      </c>
      <c r="CP54" s="9" t="n">
        <f aca="false">(CK54/AQ54)</f>
        <v>0.620253164556962</v>
      </c>
      <c r="CQ54" s="9" t="n">
        <f aca="false">(100*CP54)</f>
        <v>62.0253164556962</v>
      </c>
      <c r="CR54" s="18" t="n">
        <v>3</v>
      </c>
      <c r="CS54" s="9" t="n">
        <v>49.9</v>
      </c>
      <c r="CT54" s="9" t="n">
        <v>53.4</v>
      </c>
      <c r="CU54" s="9" t="n">
        <v>58.5</v>
      </c>
      <c r="CV54" s="9" t="n">
        <v>48.8</v>
      </c>
      <c r="CW54" s="11" t="n">
        <f aca="false">(CS54+CT54+CU54+CV54)/4</f>
        <v>52.65</v>
      </c>
      <c r="CX54" s="9" t="n">
        <v>1</v>
      </c>
      <c r="CY54" s="9" t="n">
        <v>0</v>
      </c>
      <c r="CZ54" s="9" t="n">
        <v>0</v>
      </c>
      <c r="DA54" s="9" t="n">
        <v>1</v>
      </c>
      <c r="DB54" s="11" t="n">
        <f aca="false">(CX54+CY54+CZ54+DA54)/4</f>
        <v>0.5</v>
      </c>
      <c r="DC54" s="9" t="n">
        <v>1</v>
      </c>
      <c r="DD54" s="9" t="n">
        <v>1</v>
      </c>
      <c r="DE54" s="9" t="n">
        <v>1</v>
      </c>
      <c r="DF54" s="9" t="n">
        <v>1</v>
      </c>
      <c r="DG54" s="11" t="n">
        <f aca="false">(DC54+DD54+DE54+DF54)/4</f>
        <v>1</v>
      </c>
      <c r="DH54" s="9" t="n">
        <v>1</v>
      </c>
      <c r="DI54" s="9" t="n">
        <v>1</v>
      </c>
      <c r="DJ54" s="9" t="n">
        <v>1</v>
      </c>
      <c r="DK54" s="9" t="n">
        <v>1</v>
      </c>
      <c r="DL54" s="11" t="n">
        <f aca="false">(DH54+DI54+DJ54+DK54)/4</f>
        <v>1</v>
      </c>
      <c r="DM54" s="9" t="n">
        <v>35</v>
      </c>
      <c r="DN54" s="9" t="n">
        <v>34</v>
      </c>
      <c r="DO54" s="9" t="n">
        <v>74</v>
      </c>
      <c r="DP54" s="9" t="n">
        <v>25</v>
      </c>
      <c r="DQ54" s="11" t="n">
        <f aca="false">(DM54+DN54+DO54+DP54)/4</f>
        <v>42</v>
      </c>
      <c r="DR54" s="9" t="n">
        <v>112</v>
      </c>
      <c r="DS54" s="9" t="n">
        <v>14</v>
      </c>
      <c r="DT54" s="9" t="n">
        <v>10</v>
      </c>
      <c r="DU54" s="9" t="n">
        <v>12</v>
      </c>
      <c r="DV54" s="11" t="n">
        <f aca="false">(DR54+DS54+DT54+DU54)/4</f>
        <v>37</v>
      </c>
      <c r="DW54" s="9" t="n">
        <v>3</v>
      </c>
      <c r="DX54" s="9" t="n">
        <v>0</v>
      </c>
      <c r="DY54" s="9" t="n">
        <v>0</v>
      </c>
      <c r="DZ54" s="9" t="n">
        <v>3</v>
      </c>
      <c r="EA54" s="11" t="n">
        <f aca="false">(DW54+DX54+DY54+DZ54)/4</f>
        <v>1.5</v>
      </c>
      <c r="EB54" s="11" t="n">
        <f aca="false">(DW54/DR54)</f>
        <v>0.0267857142857143</v>
      </c>
      <c r="EC54" s="11" t="n">
        <f aca="false">(DX54/DS54)</f>
        <v>0</v>
      </c>
      <c r="ED54" s="11" t="n">
        <f aca="false">(DY54/DT54)</f>
        <v>0</v>
      </c>
      <c r="EE54" s="11" t="n">
        <f aca="false">(DZ54/DU54)</f>
        <v>0.25</v>
      </c>
      <c r="EF54" s="11" t="n">
        <f aca="false">(EA54/DV54)</f>
        <v>0.0405405405405405</v>
      </c>
      <c r="EG54" s="11" t="n">
        <f aca="false">(100*EF54)</f>
        <v>4.05405405405405</v>
      </c>
      <c r="EH54" s="9" t="n">
        <v>1</v>
      </c>
      <c r="EI54" s="9" t="n">
        <v>1</v>
      </c>
      <c r="EJ54" s="9" t="n">
        <v>2</v>
      </c>
      <c r="EK54" s="19" t="n">
        <v>1</v>
      </c>
      <c r="EL54" s="9" t="n">
        <v>1</v>
      </c>
      <c r="EM54" s="9" t="n">
        <f aca="false">(EI54+EJ54+EK54+EL54)/4</f>
        <v>1.25</v>
      </c>
      <c r="EN54" s="9" t="n">
        <f aca="false">(EI54/DR54)</f>
        <v>0.00892857142857143</v>
      </c>
      <c r="EO54" s="9" t="n">
        <f aca="false">(EJ54/DS54)</f>
        <v>0.142857142857143</v>
      </c>
      <c r="EP54" s="9" t="n">
        <f aca="false">(EK54/DT54)</f>
        <v>0.1</v>
      </c>
      <c r="EQ54" s="9" t="n">
        <f aca="false">(EL54/DU54)</f>
        <v>0.0833333333333333</v>
      </c>
      <c r="ER54" s="9" t="n">
        <f aca="false">EM54/DV54</f>
        <v>0.0337837837837838</v>
      </c>
      <c r="ES54" s="9" t="n">
        <f aca="false">(100*ER54)</f>
        <v>3.37837837837838</v>
      </c>
      <c r="ET54" s="9" t="n">
        <v>1</v>
      </c>
      <c r="EU54" s="18" t="n">
        <v>0</v>
      </c>
      <c r="EV54" s="9" t="n">
        <v>0</v>
      </c>
      <c r="EW54" s="9" t="n">
        <v>0</v>
      </c>
      <c r="EX54" s="9" t="n">
        <v>0</v>
      </c>
      <c r="EY54" s="11" t="n">
        <f aca="false">(EU54+EV54+EW54+EX54)/4</f>
        <v>0</v>
      </c>
      <c r="EZ54" s="11" t="n">
        <f aca="false">(EU54/DR54)</f>
        <v>0</v>
      </c>
      <c r="FA54" s="11" t="n">
        <f aca="false">(EV54/DS54)</f>
        <v>0</v>
      </c>
      <c r="FB54" s="11" t="n">
        <f aca="false">(EW54/DT54)</f>
        <v>0</v>
      </c>
      <c r="FC54" s="11" t="n">
        <f aca="false">(EX54/DU54)</f>
        <v>0</v>
      </c>
      <c r="FD54" s="11" t="n">
        <f aca="false">(EY54/DV54)</f>
        <v>0</v>
      </c>
      <c r="FE54" s="11" t="n">
        <f aca="false">(100*FD54)</f>
        <v>0</v>
      </c>
      <c r="FF54" s="9" t="n">
        <v>0</v>
      </c>
      <c r="FG54" s="9" t="n">
        <v>5</v>
      </c>
      <c r="FH54" s="9" t="n">
        <v>20</v>
      </c>
      <c r="FI54" s="9" t="n">
        <v>13</v>
      </c>
      <c r="FJ54" s="9" t="n">
        <v>18</v>
      </c>
      <c r="FK54" s="11" t="n">
        <f aca="false">(FG54+FH54+FI54+FJ54)/4</f>
        <v>14</v>
      </c>
      <c r="FL54" s="11" t="n">
        <f aca="false">(FG54/DR54)</f>
        <v>0.0446428571428571</v>
      </c>
      <c r="FM54" s="11" t="n">
        <f aca="false">(FH54/DS54)</f>
        <v>1.42857142857143</v>
      </c>
      <c r="FN54" s="11" t="n">
        <f aca="false">(FI54/DT54)</f>
        <v>1.3</v>
      </c>
      <c r="FO54" s="11" t="n">
        <f aca="false">(FJ54/DU54)</f>
        <v>1.5</v>
      </c>
      <c r="FP54" s="11" t="n">
        <f aca="false">(FK54/DV54)</f>
        <v>0.378378378378378</v>
      </c>
      <c r="FQ54" s="11" t="n">
        <f aca="false">(100*FP54)</f>
        <v>37.8378378378378</v>
      </c>
      <c r="FR54" s="9" t="n">
        <v>3</v>
      </c>
      <c r="FS54" s="9" t="n">
        <v>61.1</v>
      </c>
      <c r="FT54" s="9" t="n">
        <v>57.1</v>
      </c>
      <c r="FU54" s="9" t="n">
        <v>55.2</v>
      </c>
      <c r="FV54" s="9" t="n">
        <v>49.8</v>
      </c>
      <c r="FW54" s="11" t="n">
        <f aca="false">(FS54+FT54+FU54+FV54)/4</f>
        <v>55.8</v>
      </c>
      <c r="FX54" s="9" t="n">
        <v>0</v>
      </c>
      <c r="FY54" s="9" t="n">
        <v>0</v>
      </c>
      <c r="FZ54" s="9" t="n">
        <v>1</v>
      </c>
      <c r="GA54" s="9" t="n">
        <v>1</v>
      </c>
      <c r="GB54" s="11" t="n">
        <f aca="false">(FX54+FY54+FZ54+GA54)/4</f>
        <v>0.5</v>
      </c>
      <c r="GC54" s="9" t="n">
        <v>1</v>
      </c>
      <c r="GD54" s="9" t="n">
        <v>0</v>
      </c>
      <c r="GE54" s="9" t="n">
        <v>0</v>
      </c>
      <c r="GF54" s="9" t="n">
        <v>0</v>
      </c>
      <c r="GG54" s="11" t="n">
        <f aca="false">(GC54+GD54+GE54+GF54)/4</f>
        <v>0.25</v>
      </c>
      <c r="GH54" s="9" t="n">
        <v>1</v>
      </c>
      <c r="GI54" s="9" t="n">
        <v>1</v>
      </c>
      <c r="GJ54" s="9" t="n">
        <v>1</v>
      </c>
      <c r="GK54" s="9" t="n">
        <v>1</v>
      </c>
      <c r="GL54" s="11" t="n">
        <f aca="false">(GH54+GI54+GJ54+GK54)/4</f>
        <v>1</v>
      </c>
      <c r="GM54" s="9" t="n">
        <v>130</v>
      </c>
      <c r="GN54" s="9" t="n">
        <v>36</v>
      </c>
      <c r="GO54" s="9" t="n">
        <v>53</v>
      </c>
      <c r="GP54" s="9" t="n">
        <v>41</v>
      </c>
      <c r="GQ54" s="11" t="n">
        <f aca="false">(GM54+GN54+GO54+GP54)/4</f>
        <v>65</v>
      </c>
      <c r="GR54" s="9" t="n">
        <v>14</v>
      </c>
      <c r="GS54" s="9" t="n">
        <v>11</v>
      </c>
      <c r="GT54" s="9" t="n">
        <v>9</v>
      </c>
      <c r="GU54" s="9" t="n">
        <v>11</v>
      </c>
      <c r="GV54" s="11" t="n">
        <f aca="false">(GR54+GS54+GT54+GU54)/4</f>
        <v>11.25</v>
      </c>
      <c r="GW54" s="9" t="n">
        <v>0</v>
      </c>
      <c r="GX54" s="9" t="n">
        <v>0</v>
      </c>
      <c r="GY54" s="9" t="n">
        <v>2</v>
      </c>
      <c r="GZ54" s="9" t="n">
        <v>4</v>
      </c>
      <c r="HA54" s="11" t="n">
        <f aca="false">(GW54+GX54+GY54+GZ54)/4</f>
        <v>1.5</v>
      </c>
      <c r="HB54" s="9" t="n">
        <f aca="false">(GW54/GR54)</f>
        <v>0</v>
      </c>
      <c r="HC54" s="9" t="n">
        <f aca="false">(GX54/GS54)</f>
        <v>0</v>
      </c>
      <c r="HD54" s="9" t="n">
        <f aca="false">(GY54/GT54)</f>
        <v>0.222222222222222</v>
      </c>
      <c r="HE54" s="9" t="n">
        <f aca="false">(GZ54/GU54)/4</f>
        <v>0.0909090909090909</v>
      </c>
      <c r="HF54" s="9" t="n">
        <f aca="false">(HB54+HC54+HD54+HE54)/4</f>
        <v>0.0782828282828283</v>
      </c>
      <c r="HG54" s="9" t="n">
        <f aca="false">(100*HF54)</f>
        <v>7.82828282828283</v>
      </c>
      <c r="HH54" s="18" t="n">
        <v>1</v>
      </c>
      <c r="HI54" s="9" t="n">
        <v>2</v>
      </c>
      <c r="HJ54" s="9" t="n">
        <v>0</v>
      </c>
      <c r="HK54" s="9" t="n">
        <v>0</v>
      </c>
      <c r="HL54" s="19" t="n">
        <v>0</v>
      </c>
      <c r="HM54" s="9" t="n">
        <f aca="false">(HI54+HJ54+HK54+HL54)/4</f>
        <v>0.5</v>
      </c>
      <c r="HN54" s="9" t="n">
        <f aca="false">(HI54/GR54)</f>
        <v>0.142857142857143</v>
      </c>
      <c r="HO54" s="9" t="n">
        <f aca="false">(HJ54/GS54)</f>
        <v>0</v>
      </c>
      <c r="HP54" s="9" t="n">
        <f aca="false">(HK54/GT54)</f>
        <v>0</v>
      </c>
      <c r="HQ54" s="9" t="n">
        <f aca="false">(HL54/GU54)</f>
        <v>0</v>
      </c>
      <c r="HR54" s="9" t="n">
        <f aca="false">(HM54/GV54)</f>
        <v>0.0444444444444444</v>
      </c>
      <c r="HS54" s="9" t="n">
        <f aca="false">(100*HR54)</f>
        <v>4.44444444444445</v>
      </c>
      <c r="HT54" s="18" t="n">
        <v>1</v>
      </c>
      <c r="HU54" s="9" t="n">
        <v>0</v>
      </c>
      <c r="HV54" s="9" t="n">
        <v>0</v>
      </c>
      <c r="HW54" s="9" t="n">
        <v>0</v>
      </c>
      <c r="HX54" s="19" t="n">
        <v>0</v>
      </c>
      <c r="HY54" s="9" t="n">
        <f aca="false">(HU54+HV54+HW54+HX54)/4</f>
        <v>0</v>
      </c>
      <c r="HZ54" s="9" t="n">
        <f aca="false">(HU54/GR54)</f>
        <v>0</v>
      </c>
      <c r="IA54" s="9" t="n">
        <f aca="false">HV54/GS54</f>
        <v>0</v>
      </c>
      <c r="IB54" s="9" t="n">
        <f aca="false">(HW54/GT54)</f>
        <v>0</v>
      </c>
      <c r="IC54" s="9" t="n">
        <f aca="false">(HX54/GU54)</f>
        <v>0</v>
      </c>
      <c r="ID54" s="9" t="n">
        <f aca="false">(HY54/GV54)</f>
        <v>0</v>
      </c>
      <c r="IE54" s="9" t="n">
        <f aca="false">(100*ID54)</f>
        <v>0</v>
      </c>
      <c r="IF54" s="18" t="n">
        <v>0</v>
      </c>
      <c r="IG54" s="9" t="n">
        <v>30</v>
      </c>
      <c r="IH54" s="9" t="n">
        <v>26</v>
      </c>
      <c r="II54" s="19" t="n">
        <v>7</v>
      </c>
      <c r="IJ54" s="9" t="n">
        <v>33</v>
      </c>
      <c r="IK54" s="9" t="n">
        <f aca="false">(IG54+IH54+II54+IJ54)/4</f>
        <v>24</v>
      </c>
      <c r="IL54" s="9" t="n">
        <f aca="false">(IG54/GM54)</f>
        <v>0.230769230769231</v>
      </c>
      <c r="IM54" s="9" t="n">
        <f aca="false">(IH54/GN54)</f>
        <v>0.722222222222222</v>
      </c>
      <c r="IN54" s="9" t="n">
        <f aca="false">(II54/GO54)</f>
        <v>0.132075471698113</v>
      </c>
      <c r="IO54" s="9" t="n">
        <f aca="false">(IJ54/GP54)</f>
        <v>0.804878048780488</v>
      </c>
      <c r="IP54" s="9" t="n">
        <f aca="false">(IK54/GQ54)</f>
        <v>0.369230769230769</v>
      </c>
      <c r="IQ54" s="9" t="n">
        <f aca="false">(100*IP54)</f>
        <v>36.9230769230769</v>
      </c>
      <c r="IR54" s="18" t="n">
        <v>3</v>
      </c>
      <c r="IS54" s="9" t="n">
        <v>62.5</v>
      </c>
      <c r="IT54" s="9" t="n">
        <v>55.8</v>
      </c>
      <c r="IU54" s="19" t="n">
        <v>55</v>
      </c>
      <c r="IV54" s="9" t="n">
        <v>53</v>
      </c>
      <c r="IW54" s="9" t="n">
        <f aca="false">(IS54+IT54+IU54+IV54)/4</f>
        <v>56.575</v>
      </c>
      <c r="IX54" s="16" t="n">
        <v>45208</v>
      </c>
      <c r="IY54" s="10" t="s">
        <v>268</v>
      </c>
    </row>
    <row r="55" customFormat="false" ht="15.75" hidden="false" customHeight="true" outlineLevel="0" collapsed="false">
      <c r="A55" s="9" t="s">
        <v>370</v>
      </c>
      <c r="B55" s="10" t="s">
        <v>392</v>
      </c>
      <c r="C55" s="10" t="s">
        <v>261</v>
      </c>
      <c r="D55" s="9" t="n">
        <v>4</v>
      </c>
      <c r="E55" s="9" t="n">
        <v>18</v>
      </c>
      <c r="F55" s="10" t="s">
        <v>398</v>
      </c>
      <c r="G55" s="10" t="s">
        <v>320</v>
      </c>
      <c r="H55" s="9" t="n">
        <v>21</v>
      </c>
      <c r="I55" s="9" t="n">
        <v>20</v>
      </c>
      <c r="J55" s="10" t="s">
        <v>272</v>
      </c>
      <c r="K55" s="20"/>
      <c r="L55" s="20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 t="n">
        <v>0</v>
      </c>
      <c r="Y55" s="9" t="n">
        <v>0</v>
      </c>
      <c r="Z55" s="9" t="n">
        <v>0</v>
      </c>
      <c r="AA55" s="9" t="n">
        <v>1</v>
      </c>
      <c r="AB55" s="11" t="n">
        <f aca="false">(X55+Y55+Z55+AA55)/4</f>
        <v>0.25</v>
      </c>
      <c r="AC55" s="9" t="n">
        <v>1</v>
      </c>
      <c r="AD55" s="9" t="n">
        <v>1</v>
      </c>
      <c r="AE55" s="9" t="n">
        <v>0</v>
      </c>
      <c r="AF55" s="9" t="n">
        <v>0</v>
      </c>
      <c r="AG55" s="11" t="n">
        <f aca="false">(AC55+AD55+AE55+AF55)/4</f>
        <v>0.5</v>
      </c>
      <c r="AH55" s="9" t="n">
        <v>1</v>
      </c>
      <c r="AI55" s="9" t="n">
        <v>1</v>
      </c>
      <c r="AJ55" s="9" t="n">
        <v>1</v>
      </c>
      <c r="AK55" s="9" t="n">
        <v>1</v>
      </c>
      <c r="AL55" s="11" t="n">
        <f aca="false">(AH55+AI55+AJ55+AK55)/4</f>
        <v>1</v>
      </c>
      <c r="AM55" s="9" t="n">
        <v>78</v>
      </c>
      <c r="AN55" s="9" t="n">
        <v>191</v>
      </c>
      <c r="AO55" s="9" t="n">
        <v>171</v>
      </c>
      <c r="AP55" s="9" t="n">
        <v>79</v>
      </c>
      <c r="AQ55" s="11" t="n">
        <f aca="false">(AM55+AN55+AO55+AP55)/4</f>
        <v>129.75</v>
      </c>
      <c r="AR55" s="9" t="n">
        <v>19</v>
      </c>
      <c r="AS55" s="9" t="n">
        <v>32</v>
      </c>
      <c r="AT55" s="9" t="n">
        <v>23</v>
      </c>
      <c r="AU55" s="9" t="n">
        <v>8</v>
      </c>
      <c r="AV55" s="11" t="n">
        <f aca="false">(AR55+AS55+AT55+AU55)/4</f>
        <v>20.5</v>
      </c>
      <c r="AW55" s="9" t="n">
        <v>0</v>
      </c>
      <c r="AX55" s="9" t="n">
        <v>0</v>
      </c>
      <c r="AY55" s="9" t="n">
        <v>0</v>
      </c>
      <c r="AZ55" s="9" t="n">
        <v>3</v>
      </c>
      <c r="BA55" s="11" t="n">
        <f aca="false">(AW55+AX55+AY55+AZ55)/4</f>
        <v>0.75</v>
      </c>
      <c r="BB55" s="11" t="n">
        <f aca="false">(AW55/AR55)</f>
        <v>0</v>
      </c>
      <c r="BC55" s="11" t="n">
        <f aca="false">(AX55/AS55)</f>
        <v>0</v>
      </c>
      <c r="BD55" s="11" t="n">
        <f aca="false">(AY55/AT55)</f>
        <v>0</v>
      </c>
      <c r="BE55" s="11" t="n">
        <f aca="false">(AZ55/AU55)</f>
        <v>0.375</v>
      </c>
      <c r="BF55" s="11" t="n">
        <f aca="false">(BA55/AV55)</f>
        <v>0.0365853658536585</v>
      </c>
      <c r="BG55" s="11" t="n">
        <f aca="false">(BF55*100)</f>
        <v>3.65853658536585</v>
      </c>
      <c r="BH55" s="9" t="n">
        <v>1</v>
      </c>
      <c r="BI55" s="9" t="n">
        <v>4</v>
      </c>
      <c r="BJ55" s="9" t="n">
        <v>1</v>
      </c>
      <c r="BK55" s="9" t="n">
        <v>0</v>
      </c>
      <c r="BL55" s="9" t="n">
        <v>0</v>
      </c>
      <c r="BM55" s="11" t="n">
        <f aca="false">(BI55+BJ55+BK55+BL55)/4</f>
        <v>1.25</v>
      </c>
      <c r="BN55" s="11" t="n">
        <f aca="false">(BI55/AR55)</f>
        <v>0.210526315789474</v>
      </c>
      <c r="BO55" s="11" t="n">
        <f aca="false">(BJ55/AS55)</f>
        <v>0.03125</v>
      </c>
      <c r="BP55" s="11" t="n">
        <f aca="false">(BK55/AT55)</f>
        <v>0</v>
      </c>
      <c r="BQ55" s="11" t="n">
        <f aca="false">(BL55/AU55)</f>
        <v>0</v>
      </c>
      <c r="BR55" s="11" t="n">
        <f aca="false">(BM55/AV55)</f>
        <v>0.0609756097560976</v>
      </c>
      <c r="BS55" s="11" t="n">
        <f aca="false">(100*BR55)</f>
        <v>6.09756097560976</v>
      </c>
      <c r="BT55" s="9" t="n">
        <v>1</v>
      </c>
      <c r="BU55" s="9" t="n">
        <v>0</v>
      </c>
      <c r="BV55" s="9" t="n">
        <v>5</v>
      </c>
      <c r="BW55" s="9" t="n">
        <v>4</v>
      </c>
      <c r="BX55" s="9" t="n">
        <v>0</v>
      </c>
      <c r="BY55" s="11" t="n">
        <f aca="false">(BU55+BV55+BW55+BX55)/4</f>
        <v>2.25</v>
      </c>
      <c r="BZ55" s="11" t="n">
        <f aca="false">(BU55/AR55)</f>
        <v>0</v>
      </c>
      <c r="CA55" s="11" t="n">
        <f aca="false">(BV55/AS55)</f>
        <v>0.15625</v>
      </c>
      <c r="CB55" s="11" t="n">
        <f aca="false">(BW55/AT55)</f>
        <v>0.173913043478261</v>
      </c>
      <c r="CC55" s="11" t="n">
        <f aca="false">(BX55/AU55)</f>
        <v>0</v>
      </c>
      <c r="CD55" s="11" t="n">
        <f aca="false">(BY55/AV55)</f>
        <v>0.109756097560976</v>
      </c>
      <c r="CE55" s="11" t="n">
        <f aca="false">(100*CD55)</f>
        <v>10.9756097560976</v>
      </c>
      <c r="CF55" s="9" t="n">
        <v>2</v>
      </c>
      <c r="CG55" s="9" t="n">
        <v>14</v>
      </c>
      <c r="CH55" s="9" t="n">
        <v>40</v>
      </c>
      <c r="CI55" s="9" t="n">
        <v>36</v>
      </c>
      <c r="CJ55" s="9" t="n">
        <v>47</v>
      </c>
      <c r="CK55" s="11" t="n">
        <f aca="false">(CG55+CH55+CI55+CJ55)/4</f>
        <v>34.25</v>
      </c>
      <c r="CL55" s="11" t="n">
        <f aca="false">(CG55/AM55)</f>
        <v>0.17948717948718</v>
      </c>
      <c r="CM55" s="11" t="n">
        <f aca="false">(CH55/AN55)</f>
        <v>0.209424083769634</v>
      </c>
      <c r="CN55" s="11" t="n">
        <f aca="false">(CI55/AO55)</f>
        <v>0.210526315789474</v>
      </c>
      <c r="CO55" s="9" t="n">
        <f aca="false">(CJ55/AP55)</f>
        <v>0.594936708860759</v>
      </c>
      <c r="CP55" s="9" t="n">
        <f aca="false">(CK55/AQ55)</f>
        <v>0.263969171483622</v>
      </c>
      <c r="CQ55" s="9" t="n">
        <f aca="false">(100*CP55)</f>
        <v>26.3969171483622</v>
      </c>
      <c r="CR55" s="18" t="n">
        <v>2</v>
      </c>
      <c r="CS55" s="9" t="n">
        <v>70.6</v>
      </c>
      <c r="CT55" s="9" t="n">
        <v>63.6</v>
      </c>
      <c r="CU55" s="9" t="n">
        <v>63</v>
      </c>
      <c r="CV55" s="9" t="n">
        <v>59</v>
      </c>
      <c r="CW55" s="11" t="n">
        <f aca="false">(CS55+CT55+CU55+CV55)/4</f>
        <v>64.05</v>
      </c>
      <c r="CX55" s="9" t="n">
        <v>0</v>
      </c>
      <c r="CY55" s="9" t="n">
        <v>0</v>
      </c>
      <c r="CZ55" s="9" t="n">
        <v>0</v>
      </c>
      <c r="DA55" s="9" t="n">
        <v>0</v>
      </c>
      <c r="DB55" s="11" t="n">
        <f aca="false">(CX55+CY55+CZ55+DA55)/4</f>
        <v>0</v>
      </c>
      <c r="DC55" s="9" t="n">
        <v>1</v>
      </c>
      <c r="DD55" s="9" t="n">
        <v>1</v>
      </c>
      <c r="DE55" s="9" t="n">
        <v>1</v>
      </c>
      <c r="DF55" s="9" t="n">
        <v>1</v>
      </c>
      <c r="DG55" s="11" t="n">
        <f aca="false">(DC55+DD55+DE55+DF55)/4</f>
        <v>1</v>
      </c>
      <c r="DH55" s="9" t="n">
        <v>1</v>
      </c>
      <c r="DI55" s="9" t="n">
        <v>1</v>
      </c>
      <c r="DJ55" s="9" t="n">
        <v>1</v>
      </c>
      <c r="DK55" s="9" t="n">
        <v>1</v>
      </c>
      <c r="DL55" s="11" t="n">
        <f aca="false">(DH55+DI55+DJ55+DK55)/4</f>
        <v>1</v>
      </c>
      <c r="DM55" s="9" t="n">
        <v>204</v>
      </c>
      <c r="DN55" s="9" t="n">
        <v>195</v>
      </c>
      <c r="DO55" s="9" t="n">
        <v>150</v>
      </c>
      <c r="DP55" s="9" t="n">
        <v>266</v>
      </c>
      <c r="DQ55" s="11" t="n">
        <f aca="false">(DM55+DN55+DO55+DP55)/4</f>
        <v>203.75</v>
      </c>
      <c r="DR55" s="9" t="n">
        <v>26</v>
      </c>
      <c r="DS55" s="9" t="n">
        <v>23</v>
      </c>
      <c r="DT55" s="9" t="n">
        <v>27</v>
      </c>
      <c r="DU55" s="9" t="n">
        <v>26</v>
      </c>
      <c r="DV55" s="11" t="n">
        <f aca="false">(DR55+DS55+DT55+DU55)/4</f>
        <v>25.5</v>
      </c>
      <c r="DW55" s="9" t="n">
        <v>0</v>
      </c>
      <c r="DX55" s="9" t="n">
        <v>0</v>
      </c>
      <c r="DY55" s="9" t="n">
        <v>0</v>
      </c>
      <c r="DZ55" s="9" t="n">
        <v>0</v>
      </c>
      <c r="EA55" s="11" t="n">
        <f aca="false">(DW55+DX55+DY55+DZ55)/4</f>
        <v>0</v>
      </c>
      <c r="EB55" s="11" t="n">
        <f aca="false">(DW55/DR55)</f>
        <v>0</v>
      </c>
      <c r="EC55" s="11" t="n">
        <f aca="false">(DX55/DS55)</f>
        <v>0</v>
      </c>
      <c r="ED55" s="11" t="n">
        <f aca="false">(DY55/DT55)</f>
        <v>0</v>
      </c>
      <c r="EE55" s="11" t="n">
        <f aca="false">(DZ55/DU55)</f>
        <v>0</v>
      </c>
      <c r="EF55" s="11" t="n">
        <f aca="false">(EA55/DV55)</f>
        <v>0</v>
      </c>
      <c r="EG55" s="11" t="n">
        <f aca="false">(100*EF55)</f>
        <v>0</v>
      </c>
      <c r="EH55" s="9" t="n">
        <v>0</v>
      </c>
      <c r="EI55" s="9" t="n">
        <v>1</v>
      </c>
      <c r="EJ55" s="9" t="n">
        <v>1</v>
      </c>
      <c r="EK55" s="19" t="n">
        <v>2</v>
      </c>
      <c r="EL55" s="9" t="n">
        <v>3</v>
      </c>
      <c r="EM55" s="9" t="n">
        <f aca="false">(EI55+EJ55+EK55+EL55)/4</f>
        <v>1.75</v>
      </c>
      <c r="EN55" s="9" t="n">
        <f aca="false">(EI55/DR55)</f>
        <v>0.0384615384615385</v>
      </c>
      <c r="EO55" s="9" t="n">
        <f aca="false">(EJ55/DS55)</f>
        <v>0.0434782608695652</v>
      </c>
      <c r="EP55" s="9" t="n">
        <f aca="false">(EK55/DT55)</f>
        <v>0.0740740740740741</v>
      </c>
      <c r="EQ55" s="9" t="n">
        <f aca="false">(EL55/DU55)</f>
        <v>0.115384615384615</v>
      </c>
      <c r="ER55" s="9" t="n">
        <f aca="false">EM55/DV55</f>
        <v>0.0686274509803922</v>
      </c>
      <c r="ES55" s="9" t="n">
        <f aca="false">(100*ER55)</f>
        <v>6.86274509803922</v>
      </c>
      <c r="ET55" s="9" t="n">
        <v>1</v>
      </c>
      <c r="EU55" s="18" t="n">
        <v>3</v>
      </c>
      <c r="EV55" s="9" t="n">
        <v>8</v>
      </c>
      <c r="EW55" s="9" t="n">
        <v>0</v>
      </c>
      <c r="EX55" s="9" t="n">
        <v>0</v>
      </c>
      <c r="EY55" s="11" t="n">
        <f aca="false">(EU55+EV55+EW55+EX55)/4</f>
        <v>2.75</v>
      </c>
      <c r="EZ55" s="11" t="n">
        <f aca="false">(EU55/DR55)</f>
        <v>0.115384615384615</v>
      </c>
      <c r="FA55" s="11" t="n">
        <f aca="false">(EV55/DS55)</f>
        <v>0.347826086956522</v>
      </c>
      <c r="FB55" s="11" t="n">
        <f aca="false">(EW55/DT55)</f>
        <v>0</v>
      </c>
      <c r="FC55" s="11" t="n">
        <f aca="false">(EX55/DU55)</f>
        <v>0</v>
      </c>
      <c r="FD55" s="11" t="n">
        <f aca="false">(EY55/DV55)</f>
        <v>0.107843137254902</v>
      </c>
      <c r="FE55" s="11" t="n">
        <f aca="false">(100*FD55)</f>
        <v>10.7843137254902</v>
      </c>
      <c r="FF55" s="9" t="n">
        <v>2</v>
      </c>
      <c r="FG55" s="9" t="n">
        <v>16</v>
      </c>
      <c r="FH55" s="9" t="n">
        <v>47</v>
      </c>
      <c r="FI55" s="9" t="n">
        <v>26</v>
      </c>
      <c r="FJ55" s="9" t="n">
        <v>34</v>
      </c>
      <c r="FK55" s="11" t="n">
        <f aca="false">(FG55+FH55+FI55+FJ55)/4</f>
        <v>30.75</v>
      </c>
      <c r="FL55" s="11" t="n">
        <f aca="false">(FG55/DR55)</f>
        <v>0.615384615384615</v>
      </c>
      <c r="FM55" s="11" t="n">
        <f aca="false">(FH55/DS55)</f>
        <v>2.04347826086957</v>
      </c>
      <c r="FN55" s="11" t="n">
        <f aca="false">(FI55/DT55)</f>
        <v>0.962962962962963</v>
      </c>
      <c r="FO55" s="11" t="n">
        <f aca="false">(FJ55/DU55)</f>
        <v>1.30769230769231</v>
      </c>
      <c r="FP55" s="11" t="n">
        <f aca="false">(FK55/DV55)</f>
        <v>1.20588235294118</v>
      </c>
      <c r="FQ55" s="11" t="n">
        <f aca="false">(100*FP55)</f>
        <v>120.588235294118</v>
      </c>
      <c r="FR55" s="9" t="n">
        <v>3</v>
      </c>
      <c r="FS55" s="9" t="n">
        <v>72</v>
      </c>
      <c r="FT55" s="9" t="n">
        <v>74.2</v>
      </c>
      <c r="FU55" s="9" t="n">
        <v>73.2</v>
      </c>
      <c r="FV55" s="9" t="n">
        <v>70.5</v>
      </c>
      <c r="FW55" s="11" t="n">
        <f aca="false">(FS55+FT55+FU55+FV55)/4</f>
        <v>72.475</v>
      </c>
      <c r="FX55" s="9" t="n">
        <v>0</v>
      </c>
      <c r="FY55" s="9" t="n">
        <v>0</v>
      </c>
      <c r="FZ55" s="9" t="n">
        <v>0</v>
      </c>
      <c r="GA55" s="9" t="n">
        <v>0</v>
      </c>
      <c r="GB55" s="11" t="n">
        <f aca="false">(FX55+FY55+FZ55+GA55)/4</f>
        <v>0</v>
      </c>
      <c r="GC55" s="9" t="n">
        <v>0</v>
      </c>
      <c r="GD55" s="9" t="n">
        <v>1</v>
      </c>
      <c r="GE55" s="9" t="n">
        <v>0</v>
      </c>
      <c r="GF55" s="9" t="n">
        <v>0</v>
      </c>
      <c r="GG55" s="11" t="n">
        <f aca="false">(GC55+GD55+GE55+GF55)/4</f>
        <v>0.25</v>
      </c>
      <c r="GH55" s="9" t="n">
        <v>1</v>
      </c>
      <c r="GI55" s="9" t="n">
        <v>1</v>
      </c>
      <c r="GJ55" s="9" t="n">
        <v>1</v>
      </c>
      <c r="GK55" s="9" t="n">
        <v>1</v>
      </c>
      <c r="GL55" s="11" t="n">
        <f aca="false">(GH55+GI55+GJ55+GK55)/4</f>
        <v>1</v>
      </c>
      <c r="GM55" s="9" t="n">
        <v>145</v>
      </c>
      <c r="GN55" s="9" t="n">
        <v>152</v>
      </c>
      <c r="GO55" s="9" t="n">
        <v>104</v>
      </c>
      <c r="GP55" s="9" t="n">
        <v>182</v>
      </c>
      <c r="GQ55" s="11" t="n">
        <f aca="false">(GM55+GN55+GO55+GP55)/4</f>
        <v>145.75</v>
      </c>
      <c r="GR55" s="9" t="n">
        <v>18</v>
      </c>
      <c r="GS55" s="9" t="n">
        <v>30</v>
      </c>
      <c r="GT55" s="9" t="n">
        <v>28</v>
      </c>
      <c r="GU55" s="9" t="n">
        <v>26</v>
      </c>
      <c r="GV55" s="11" t="n">
        <f aca="false">(GR55+GS55+GT55+GU55)/4</f>
        <v>25.5</v>
      </c>
      <c r="GW55" s="9" t="n">
        <v>0</v>
      </c>
      <c r="GX55" s="9" t="n">
        <v>0</v>
      </c>
      <c r="GY55" s="9" t="n">
        <v>0</v>
      </c>
      <c r="GZ55" s="9" t="n">
        <v>0</v>
      </c>
      <c r="HA55" s="11" t="n">
        <f aca="false">(GW55+GX55+GY55+GZ55)/4</f>
        <v>0</v>
      </c>
      <c r="HB55" s="9" t="n">
        <f aca="false">(GW55/GR55)</f>
        <v>0</v>
      </c>
      <c r="HC55" s="9" t="n">
        <f aca="false">(GX55/GS55)</f>
        <v>0</v>
      </c>
      <c r="HD55" s="9" t="n">
        <f aca="false">(GY55/GT55)</f>
        <v>0</v>
      </c>
      <c r="HE55" s="9" t="n">
        <f aca="false">(GZ55/GU55)/4</f>
        <v>0</v>
      </c>
      <c r="HF55" s="9" t="n">
        <f aca="false">(HB55+HC55+HD55+HE55)/4</f>
        <v>0</v>
      </c>
      <c r="HG55" s="9" t="n">
        <f aca="false">(100*HF55)</f>
        <v>0</v>
      </c>
      <c r="HH55" s="18" t="n">
        <v>0</v>
      </c>
      <c r="HI55" s="9" t="n">
        <v>0</v>
      </c>
      <c r="HJ55" s="9" t="n">
        <v>2</v>
      </c>
      <c r="HK55" s="9" t="n">
        <v>0</v>
      </c>
      <c r="HL55" s="19" t="n">
        <v>0</v>
      </c>
      <c r="HM55" s="9" t="n">
        <f aca="false">(HI55+HJ55+HK55+HL55)/4</f>
        <v>0.5</v>
      </c>
      <c r="HN55" s="9" t="n">
        <f aca="false">(HI55/GR55)</f>
        <v>0</v>
      </c>
      <c r="HO55" s="9" t="n">
        <f aca="false">(HJ55/GS55)</f>
        <v>0.0666666666666667</v>
      </c>
      <c r="HP55" s="9" t="n">
        <f aca="false">(HK55/GT55)</f>
        <v>0</v>
      </c>
      <c r="HQ55" s="9" t="n">
        <f aca="false">(HL55/GU55)</f>
        <v>0</v>
      </c>
      <c r="HR55" s="9" t="n">
        <f aca="false">(HM55/GV55)</f>
        <v>0.0196078431372549</v>
      </c>
      <c r="HS55" s="9" t="n">
        <f aca="false">(100*HR55)</f>
        <v>1.96078431372549</v>
      </c>
      <c r="HT55" s="18" t="n">
        <v>1</v>
      </c>
      <c r="HU55" s="9" t="n">
        <v>0</v>
      </c>
      <c r="HV55" s="9" t="n">
        <v>5</v>
      </c>
      <c r="HW55" s="9" t="n">
        <v>5</v>
      </c>
      <c r="HX55" s="19" t="n">
        <v>4</v>
      </c>
      <c r="HY55" s="9" t="n">
        <f aca="false">(HU55+HV55+HW55+HX55)/4</f>
        <v>3.5</v>
      </c>
      <c r="HZ55" s="9" t="n">
        <f aca="false">(HU55/GR55)</f>
        <v>0</v>
      </c>
      <c r="IA55" s="9" t="n">
        <f aca="false">HV55/GS55</f>
        <v>0.166666666666667</v>
      </c>
      <c r="IB55" s="9" t="n">
        <f aca="false">(HW55/GT55)</f>
        <v>0.178571428571429</v>
      </c>
      <c r="IC55" s="9" t="n">
        <f aca="false">(HX55/GU55)</f>
        <v>0.153846153846154</v>
      </c>
      <c r="ID55" s="9" t="n">
        <f aca="false">(HY55/GV55)</f>
        <v>0.137254901960784</v>
      </c>
      <c r="IE55" s="9" t="n">
        <f aca="false">(100*ID55)</f>
        <v>13.7254901960784</v>
      </c>
      <c r="IF55" s="18" t="n">
        <v>2</v>
      </c>
      <c r="IG55" s="9" t="n">
        <v>25</v>
      </c>
      <c r="IH55" s="9" t="n">
        <v>9</v>
      </c>
      <c r="II55" s="19" t="n">
        <v>5</v>
      </c>
      <c r="IJ55" s="9" t="n">
        <v>3</v>
      </c>
      <c r="IK55" s="9" t="n">
        <f aca="false">(IG55+IH55+II55+IJ55)/4</f>
        <v>10.5</v>
      </c>
      <c r="IL55" s="9" t="n">
        <f aca="false">(IG55/GM55)</f>
        <v>0.172413793103448</v>
      </c>
      <c r="IM55" s="9" t="n">
        <f aca="false">(IH55/GN55)</f>
        <v>0.0592105263157895</v>
      </c>
      <c r="IN55" s="9" t="n">
        <f aca="false">(II55/GO55)</f>
        <v>0.0480769230769231</v>
      </c>
      <c r="IO55" s="9" t="n">
        <f aca="false">(IJ55/GP55)</f>
        <v>0.0164835164835165</v>
      </c>
      <c r="IP55" s="9" t="n">
        <f aca="false">(IK55/GQ55)</f>
        <v>0.072041166380789</v>
      </c>
      <c r="IQ55" s="9" t="n">
        <f aca="false">(100*IP55)</f>
        <v>7.2041166380789</v>
      </c>
      <c r="IR55" s="18" t="n">
        <v>1</v>
      </c>
      <c r="IS55" s="9" t="n">
        <v>67.5</v>
      </c>
      <c r="IT55" s="9" t="n">
        <v>70.2</v>
      </c>
      <c r="IU55" s="19" t="n">
        <v>67.4</v>
      </c>
      <c r="IV55" s="9" t="n">
        <v>81.4</v>
      </c>
      <c r="IW55" s="9" t="n">
        <f aca="false">(IS55+IT55+IU55+IV55)/4</f>
        <v>71.625</v>
      </c>
      <c r="IX55" s="16" t="n">
        <v>45208</v>
      </c>
      <c r="IY55" s="10" t="s">
        <v>268</v>
      </c>
    </row>
    <row r="56" customFormat="false" ht="15.75" hidden="false" customHeight="true" outlineLevel="0" collapsed="false">
      <c r="A56" s="9" t="s">
        <v>259</v>
      </c>
      <c r="B56" s="10" t="s">
        <v>399</v>
      </c>
      <c r="C56" s="10" t="s">
        <v>400</v>
      </c>
      <c r="D56" s="9" t="n">
        <v>1</v>
      </c>
      <c r="E56" s="9" t="n">
        <v>19</v>
      </c>
      <c r="F56" s="10" t="s">
        <v>401</v>
      </c>
      <c r="G56" s="11" t="s">
        <v>263</v>
      </c>
      <c r="H56" s="9" t="n">
        <v>21</v>
      </c>
      <c r="I56" s="9" t="n">
        <v>3</v>
      </c>
      <c r="J56" s="12" t="s">
        <v>264</v>
      </c>
      <c r="K56" s="23" t="s">
        <v>402</v>
      </c>
      <c r="L56" s="13" t="s">
        <v>403</v>
      </c>
      <c r="M56" s="9"/>
      <c r="N56" s="15" t="n">
        <v>45133</v>
      </c>
      <c r="O56" s="10" t="s">
        <v>267</v>
      </c>
      <c r="P56" s="9"/>
      <c r="Q56" s="9" t="n">
        <v>40.4</v>
      </c>
      <c r="R56" s="9"/>
      <c r="S56" s="9"/>
      <c r="T56" s="9"/>
      <c r="U56" s="9"/>
      <c r="V56" s="9"/>
      <c r="W56" s="9"/>
      <c r="X56" s="9"/>
      <c r="Y56" s="9"/>
      <c r="Z56" s="9"/>
      <c r="AA56" s="9"/>
      <c r="AB56" s="11" t="n">
        <f aca="false">(X56+Y56+Z56+AA56)/4</f>
        <v>0</v>
      </c>
      <c r="AC56" s="9"/>
      <c r="AD56" s="9"/>
      <c r="AE56" s="9"/>
      <c r="AF56" s="9"/>
      <c r="AG56" s="11" t="n">
        <f aca="false">(AC56+AD56+AE56+AF56)/4</f>
        <v>0</v>
      </c>
      <c r="AH56" s="9"/>
      <c r="AI56" s="9"/>
      <c r="AJ56" s="9"/>
      <c r="AK56" s="9"/>
      <c r="AL56" s="11" t="n">
        <f aca="false">(AH56+AI56+AJ56+AK56)/4</f>
        <v>0</v>
      </c>
      <c r="AM56" s="9"/>
      <c r="AN56" s="9"/>
      <c r="AO56" s="9"/>
      <c r="AP56" s="9"/>
      <c r="AQ56" s="11" t="n">
        <f aca="false">(AM56+AN56+AO56+AP56)/4</f>
        <v>0</v>
      </c>
      <c r="AR56" s="9"/>
      <c r="AS56" s="9"/>
      <c r="AT56" s="9"/>
      <c r="AU56" s="9"/>
      <c r="AV56" s="11" t="n">
        <f aca="false">(AR56+AS56+AT56+AU56)/4</f>
        <v>0</v>
      </c>
      <c r="AW56" s="9"/>
      <c r="AX56" s="9"/>
      <c r="AY56" s="9"/>
      <c r="AZ56" s="9"/>
      <c r="BA56" s="11" t="n">
        <f aca="false">(AW56+AX56+AY56+AZ56)/4</f>
        <v>0</v>
      </c>
      <c r="BB56" s="11" t="e">
        <f aca="false">(AW56/AR56)</f>
        <v>#DIV/0!</v>
      </c>
      <c r="BC56" s="11" t="e">
        <f aca="false">(AX56/AS56)</f>
        <v>#DIV/0!</v>
      </c>
      <c r="BD56" s="11" t="e">
        <f aca="false">(AY56/AT56)</f>
        <v>#DIV/0!</v>
      </c>
      <c r="BE56" s="11" t="e">
        <f aca="false">(AZ56/AU56)</f>
        <v>#DIV/0!</v>
      </c>
      <c r="BF56" s="11" t="e">
        <f aca="false">(BA56/AV56)</f>
        <v>#DIV/0!</v>
      </c>
      <c r="BG56" s="11" t="e">
        <f aca="false">(BF56*100)</f>
        <v>#DIV/0!</v>
      </c>
      <c r="BH56" s="9"/>
      <c r="BI56" s="9"/>
      <c r="BJ56" s="9"/>
      <c r="BK56" s="9"/>
      <c r="BL56" s="9"/>
      <c r="BM56" s="11" t="n">
        <f aca="false">(BI56+BJ56+BK56+BL56)/4</f>
        <v>0</v>
      </c>
      <c r="BN56" s="11" t="e">
        <f aca="false">(BI56/AR56)</f>
        <v>#DIV/0!</v>
      </c>
      <c r="BO56" s="11" t="e">
        <f aca="false">(BJ56/AS56)</f>
        <v>#DIV/0!</v>
      </c>
      <c r="BP56" s="11" t="e">
        <f aca="false">(BK56/AT56)</f>
        <v>#DIV/0!</v>
      </c>
      <c r="BQ56" s="11" t="e">
        <f aca="false">(BL56/AU56)</f>
        <v>#DIV/0!</v>
      </c>
      <c r="BR56" s="11" t="e">
        <f aca="false">(BM56/AV56)</f>
        <v>#DIV/0!</v>
      </c>
      <c r="BS56" s="11" t="e">
        <f aca="false">(100*BR56)</f>
        <v>#DIV/0!</v>
      </c>
      <c r="BT56" s="9"/>
      <c r="BU56" s="9"/>
      <c r="BV56" s="9"/>
      <c r="BW56" s="9"/>
      <c r="BX56" s="9"/>
      <c r="BY56" s="11" t="n">
        <f aca="false">(BU56+BV56+BW56+BX56)/4</f>
        <v>0</v>
      </c>
      <c r="BZ56" s="11" t="e">
        <f aca="false">(BU56/AR56)</f>
        <v>#DIV/0!</v>
      </c>
      <c r="CA56" s="11" t="e">
        <f aca="false">(BV56/AS56)</f>
        <v>#DIV/0!</v>
      </c>
      <c r="CB56" s="11" t="e">
        <f aca="false">(BW56/AT56)</f>
        <v>#DIV/0!</v>
      </c>
      <c r="CC56" s="11" t="e">
        <f aca="false">(BX56/AU56)</f>
        <v>#DIV/0!</v>
      </c>
      <c r="CD56" s="11" t="e">
        <f aca="false">(BY56/AV56)</f>
        <v>#DIV/0!</v>
      </c>
      <c r="CE56" s="11" t="e">
        <f aca="false">(100*CD56)</f>
        <v>#DIV/0!</v>
      </c>
      <c r="CF56" s="9"/>
      <c r="CG56" s="9"/>
      <c r="CH56" s="9"/>
      <c r="CI56" s="9"/>
      <c r="CJ56" s="9"/>
      <c r="CK56" s="11" t="n">
        <f aca="false">(CG56+CH56+CI56+CJ56)/4</f>
        <v>0</v>
      </c>
      <c r="CL56" s="11" t="e">
        <f aca="false">(CG56/AM56)</f>
        <v>#DIV/0!</v>
      </c>
      <c r="CM56" s="11" t="e">
        <f aca="false">(CH56/AN56)</f>
        <v>#DIV/0!</v>
      </c>
      <c r="CN56" s="11" t="e">
        <f aca="false">(CI56/AO56)</f>
        <v>#DIV/0!</v>
      </c>
      <c r="CO56" s="9" t="e">
        <f aca="false">(CJ56/AP56)</f>
        <v>#DIV/0!</v>
      </c>
      <c r="CP56" s="9" t="e">
        <f aca="false">(CK56/AQ56)</f>
        <v>#DIV/0!</v>
      </c>
      <c r="CQ56" s="9" t="e">
        <f aca="false">(100*CP56)</f>
        <v>#DIV/0!</v>
      </c>
      <c r="CR56" s="18"/>
      <c r="CS56" s="9"/>
      <c r="CT56" s="9"/>
      <c r="CU56" s="9"/>
      <c r="CV56" s="9"/>
      <c r="CW56" s="11" t="n">
        <f aca="false">(CS56+CT56+CU56+CV56)/4</f>
        <v>0</v>
      </c>
      <c r="CX56" s="9"/>
      <c r="CY56" s="9"/>
      <c r="CZ56" s="9"/>
      <c r="DA56" s="9"/>
      <c r="DB56" s="11" t="n">
        <f aca="false">(CX56+CY56+CZ56+DA56)/4</f>
        <v>0</v>
      </c>
      <c r="DC56" s="9"/>
      <c r="DD56" s="9"/>
      <c r="DE56" s="9"/>
      <c r="DF56" s="9"/>
      <c r="DG56" s="11" t="n">
        <f aca="false">(DC56+DD56+DE56+DF56)/4</f>
        <v>0</v>
      </c>
      <c r="DH56" s="9"/>
      <c r="DI56" s="9"/>
      <c r="DJ56" s="9"/>
      <c r="DK56" s="9"/>
      <c r="DL56" s="11" t="n">
        <f aca="false">(DH56+DI56+DJ56+DK56)/4</f>
        <v>0</v>
      </c>
      <c r="DM56" s="9"/>
      <c r="DN56" s="9"/>
      <c r="DO56" s="9"/>
      <c r="DP56" s="9"/>
      <c r="DQ56" s="11" t="n">
        <f aca="false">(DM56+DN56+DO56+DP56)/4</f>
        <v>0</v>
      </c>
      <c r="DR56" s="9"/>
      <c r="DS56" s="9"/>
      <c r="DT56" s="9"/>
      <c r="DU56" s="9"/>
      <c r="DV56" s="11" t="n">
        <f aca="false">(DR56+DS56+DT56+DU56)/4</f>
        <v>0</v>
      </c>
      <c r="DW56" s="9"/>
      <c r="DX56" s="9"/>
      <c r="DY56" s="9"/>
      <c r="DZ56" s="9"/>
      <c r="EA56" s="11" t="n">
        <f aca="false">(DW56+DX56+DY56+DZ56)/4</f>
        <v>0</v>
      </c>
      <c r="EB56" s="11" t="e">
        <f aca="false">(DW56/DR56)</f>
        <v>#DIV/0!</v>
      </c>
      <c r="EC56" s="11" t="e">
        <f aca="false">(DX56/DS56)</f>
        <v>#DIV/0!</v>
      </c>
      <c r="ED56" s="11" t="e">
        <f aca="false">(DY56/DT56)</f>
        <v>#DIV/0!</v>
      </c>
      <c r="EE56" s="11" t="e">
        <f aca="false">(DZ56/DU56)</f>
        <v>#DIV/0!</v>
      </c>
      <c r="EF56" s="11" t="e">
        <f aca="false">(EA56/DV56)</f>
        <v>#DIV/0!</v>
      </c>
      <c r="EG56" s="11" t="e">
        <f aca="false">(100*EF56)</f>
        <v>#DIV/0!</v>
      </c>
      <c r="EH56" s="9"/>
      <c r="EI56" s="9"/>
      <c r="EJ56" s="9"/>
      <c r="EK56" s="19"/>
      <c r="EL56" s="9"/>
      <c r="EM56" s="9" t="n">
        <f aca="false">(EI56+EJ56+EK56+EL56)/4</f>
        <v>0</v>
      </c>
      <c r="EN56" s="9" t="e">
        <f aca="false">(EI56/DR56)</f>
        <v>#DIV/0!</v>
      </c>
      <c r="EO56" s="9" t="e">
        <f aca="false">(EJ56/DS56)</f>
        <v>#DIV/0!</v>
      </c>
      <c r="EP56" s="9" t="e">
        <f aca="false">(EK56/DT56)</f>
        <v>#DIV/0!</v>
      </c>
      <c r="EQ56" s="9" t="e">
        <f aca="false">(EL56/DU56)</f>
        <v>#DIV/0!</v>
      </c>
      <c r="ER56" s="9" t="e">
        <f aca="false">EM56/DV56</f>
        <v>#DIV/0!</v>
      </c>
      <c r="ES56" s="9" t="e">
        <f aca="false">(100*ER56)</f>
        <v>#DIV/0!</v>
      </c>
      <c r="ET56" s="9"/>
      <c r="EU56" s="18"/>
      <c r="EV56" s="9"/>
      <c r="EW56" s="9"/>
      <c r="EX56" s="9"/>
      <c r="EY56" s="11" t="n">
        <f aca="false">(EU56+EV56+EW56+EX56)/4</f>
        <v>0</v>
      </c>
      <c r="EZ56" s="11" t="e">
        <f aca="false">(EU56/DR56)</f>
        <v>#DIV/0!</v>
      </c>
      <c r="FA56" s="11" t="e">
        <f aca="false">(EV56/DS56)</f>
        <v>#DIV/0!</v>
      </c>
      <c r="FB56" s="11" t="e">
        <f aca="false">(EW56/DT56)</f>
        <v>#DIV/0!</v>
      </c>
      <c r="FC56" s="11" t="e">
        <f aca="false">(EX56/DU56)</f>
        <v>#DIV/0!</v>
      </c>
      <c r="FD56" s="11" t="e">
        <f aca="false">(EY56/DV56)</f>
        <v>#DIV/0!</v>
      </c>
      <c r="FE56" s="11" t="e">
        <f aca="false">(100*FD56)</f>
        <v>#DIV/0!</v>
      </c>
      <c r="FF56" s="9"/>
      <c r="FG56" s="9"/>
      <c r="FH56" s="9"/>
      <c r="FI56" s="9"/>
      <c r="FJ56" s="9"/>
      <c r="FK56" s="11" t="n">
        <f aca="false">(FG56+FH56+FI56+FJ56)/4</f>
        <v>0</v>
      </c>
      <c r="FL56" s="11" t="e">
        <f aca="false">(FG56/DR56)</f>
        <v>#DIV/0!</v>
      </c>
      <c r="FM56" s="11" t="e">
        <f aca="false">(FH56/DS56)</f>
        <v>#DIV/0!</v>
      </c>
      <c r="FN56" s="11" t="e">
        <f aca="false">(FI56/DT56)</f>
        <v>#DIV/0!</v>
      </c>
      <c r="FO56" s="11" t="e">
        <f aca="false">(FJ56/DU56)</f>
        <v>#DIV/0!</v>
      </c>
      <c r="FP56" s="11" t="e">
        <f aca="false">(FK56/DV56)</f>
        <v>#DIV/0!</v>
      </c>
      <c r="FQ56" s="11" t="e">
        <f aca="false">(100*FP56)</f>
        <v>#DIV/0!</v>
      </c>
      <c r="FR56" s="9"/>
      <c r="FS56" s="9"/>
      <c r="FT56" s="9"/>
      <c r="FU56" s="9"/>
      <c r="FV56" s="9"/>
      <c r="FW56" s="11" t="n">
        <f aca="false">(FS56+FT56+FU56+FV56)/4</f>
        <v>0</v>
      </c>
      <c r="FX56" s="9"/>
      <c r="FY56" s="9"/>
      <c r="FZ56" s="9"/>
      <c r="GA56" s="9"/>
      <c r="GB56" s="11" t="n">
        <f aca="false">(FX56+FY56+FZ56+GA56)/4</f>
        <v>0</v>
      </c>
      <c r="GC56" s="9"/>
      <c r="GD56" s="9"/>
      <c r="GE56" s="9"/>
      <c r="GF56" s="9"/>
      <c r="GG56" s="11" t="n">
        <f aca="false">(GC56+GD56+GE56+GF56)/4</f>
        <v>0</v>
      </c>
      <c r="GH56" s="9"/>
      <c r="GI56" s="9"/>
      <c r="GJ56" s="9"/>
      <c r="GK56" s="9"/>
      <c r="GL56" s="11" t="n">
        <f aca="false">(GH56+GI56+GJ56+GK56)/4</f>
        <v>0</v>
      </c>
      <c r="GM56" s="9"/>
      <c r="GN56" s="9"/>
      <c r="GO56" s="9"/>
      <c r="GP56" s="9"/>
      <c r="GQ56" s="11" t="n">
        <f aca="false">(GM56+GN56+GO56+GP56)/4</f>
        <v>0</v>
      </c>
      <c r="GR56" s="9"/>
      <c r="GS56" s="9"/>
      <c r="GT56" s="9"/>
      <c r="GU56" s="9"/>
      <c r="GV56" s="11" t="n">
        <f aca="false">(GR56+GS56+GT56+GU56)/4</f>
        <v>0</v>
      </c>
      <c r="GW56" s="9"/>
      <c r="GX56" s="9"/>
      <c r="GY56" s="9"/>
      <c r="GZ56" s="9"/>
      <c r="HA56" s="11" t="n">
        <f aca="false">(GW56+GX56+GY56+GZ56)/4</f>
        <v>0</v>
      </c>
      <c r="HB56" s="9" t="e">
        <f aca="false">(GW56/GR56)</f>
        <v>#DIV/0!</v>
      </c>
      <c r="HC56" s="9" t="e">
        <f aca="false">(GX56/GS56)</f>
        <v>#DIV/0!</v>
      </c>
      <c r="HD56" s="9" t="e">
        <f aca="false">(GY56/GT56)</f>
        <v>#DIV/0!</v>
      </c>
      <c r="HE56" s="9" t="e">
        <f aca="false">(GZ56/GU56)/4</f>
        <v>#DIV/0!</v>
      </c>
      <c r="HF56" s="9" t="e">
        <f aca="false">(HB56+HC56+HD56+HE56)/4</f>
        <v>#DIV/0!</v>
      </c>
      <c r="HG56" s="9" t="e">
        <f aca="false">(100*HF56)</f>
        <v>#DIV/0!</v>
      </c>
      <c r="HH56" s="18"/>
      <c r="HI56" s="9"/>
      <c r="HJ56" s="9"/>
      <c r="HK56" s="9"/>
      <c r="HL56" s="19"/>
      <c r="HM56" s="9" t="n">
        <f aca="false">(HI56+HJ56+HK56+HL56)/4</f>
        <v>0</v>
      </c>
      <c r="HN56" s="9" t="e">
        <f aca="false">(HI56/GR56)</f>
        <v>#DIV/0!</v>
      </c>
      <c r="HO56" s="9" t="e">
        <f aca="false">(HJ56/GS56)</f>
        <v>#DIV/0!</v>
      </c>
      <c r="HP56" s="9" t="e">
        <f aca="false">(HK56/GT56)</f>
        <v>#DIV/0!</v>
      </c>
      <c r="HQ56" s="9" t="e">
        <f aca="false">(HL56/GU56)</f>
        <v>#DIV/0!</v>
      </c>
      <c r="HR56" s="9" t="e">
        <f aca="false">(HM56/GV56)</f>
        <v>#DIV/0!</v>
      </c>
      <c r="HS56" s="9" t="e">
        <f aca="false">(100*HR56)</f>
        <v>#DIV/0!</v>
      </c>
      <c r="HT56" s="18"/>
      <c r="HU56" s="9"/>
      <c r="HV56" s="9"/>
      <c r="HW56" s="9"/>
      <c r="HX56" s="19"/>
      <c r="HY56" s="9" t="n">
        <f aca="false">(HU56+HV56+HW56+HX56)/4</f>
        <v>0</v>
      </c>
      <c r="HZ56" s="9" t="e">
        <f aca="false">(HU56/GR56)</f>
        <v>#DIV/0!</v>
      </c>
      <c r="IA56" s="9" t="e">
        <f aca="false">HV56/GS56</f>
        <v>#DIV/0!</v>
      </c>
      <c r="IB56" s="9" t="e">
        <f aca="false">(HW56/GT56)</f>
        <v>#DIV/0!</v>
      </c>
      <c r="IC56" s="9" t="e">
        <f aca="false">(HX56/GU56)</f>
        <v>#DIV/0!</v>
      </c>
      <c r="ID56" s="9" t="e">
        <f aca="false">(HY56/GV56)</f>
        <v>#DIV/0!</v>
      </c>
      <c r="IE56" s="9" t="e">
        <f aca="false">(100*ID56)</f>
        <v>#DIV/0!</v>
      </c>
      <c r="IF56" s="18"/>
      <c r="IG56" s="9"/>
      <c r="IH56" s="9"/>
      <c r="II56" s="19"/>
      <c r="IJ56" s="9"/>
      <c r="IK56" s="9" t="n">
        <f aca="false">(IG56+IH56+II56+IJ56)/4</f>
        <v>0</v>
      </c>
      <c r="IL56" s="9" t="e">
        <f aca="false">(IG56/GM56)</f>
        <v>#DIV/0!</v>
      </c>
      <c r="IM56" s="9" t="e">
        <f aca="false">(IH56/GN56)</f>
        <v>#DIV/0!</v>
      </c>
      <c r="IN56" s="9" t="e">
        <f aca="false">(II56/GO56)</f>
        <v>#DIV/0!</v>
      </c>
      <c r="IO56" s="9" t="e">
        <f aca="false">(IJ56/GP56)</f>
        <v>#DIV/0!</v>
      </c>
      <c r="IP56" s="9" t="e">
        <f aca="false">(IK56/GQ56)</f>
        <v>#DIV/0!</v>
      </c>
      <c r="IQ56" s="9" t="e">
        <f aca="false">(100*IP56)</f>
        <v>#DIV/0!</v>
      </c>
      <c r="IR56" s="18"/>
      <c r="IS56" s="9"/>
      <c r="IT56" s="9"/>
      <c r="IU56" s="19"/>
      <c r="IV56" s="9"/>
      <c r="IW56" s="9" t="n">
        <f aca="false">(IS56+IT56+IU56+IV56)/4</f>
        <v>0</v>
      </c>
      <c r="IX56" s="9"/>
      <c r="IY56" s="9"/>
    </row>
    <row r="57" customFormat="false" ht="15.75" hidden="false" customHeight="true" outlineLevel="0" collapsed="false">
      <c r="A57" s="9" t="s">
        <v>259</v>
      </c>
      <c r="B57" s="10" t="s">
        <v>399</v>
      </c>
      <c r="C57" s="10" t="s">
        <v>400</v>
      </c>
      <c r="D57" s="9" t="n">
        <v>1</v>
      </c>
      <c r="E57" s="9" t="n">
        <v>19</v>
      </c>
      <c r="F57" s="10" t="s">
        <v>404</v>
      </c>
      <c r="G57" s="11" t="s">
        <v>263</v>
      </c>
      <c r="H57" s="9" t="n">
        <v>21</v>
      </c>
      <c r="I57" s="9" t="n">
        <v>11</v>
      </c>
      <c r="J57" s="12" t="s">
        <v>270</v>
      </c>
      <c r="K57" s="20"/>
      <c r="L57" s="20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11" t="n">
        <f aca="false">(X57+Y57+Z57+AA57)/4</f>
        <v>0</v>
      </c>
      <c r="AC57" s="9"/>
      <c r="AD57" s="9"/>
      <c r="AE57" s="9"/>
      <c r="AF57" s="9"/>
      <c r="AG57" s="11" t="n">
        <f aca="false">(AC57+AD57+AE57+AF57)/4</f>
        <v>0</v>
      </c>
      <c r="AH57" s="9"/>
      <c r="AI57" s="9"/>
      <c r="AJ57" s="9"/>
      <c r="AK57" s="9"/>
      <c r="AL57" s="11" t="n">
        <f aca="false">(AH57+AI57+AJ57+AK57)/4</f>
        <v>0</v>
      </c>
      <c r="AM57" s="9"/>
      <c r="AN57" s="9"/>
      <c r="AO57" s="9"/>
      <c r="AP57" s="9"/>
      <c r="AQ57" s="11" t="n">
        <f aca="false">(AM57+AN57+AO57+AP57)/4</f>
        <v>0</v>
      </c>
      <c r="AR57" s="9"/>
      <c r="AS57" s="9"/>
      <c r="AT57" s="9"/>
      <c r="AU57" s="9"/>
      <c r="AV57" s="11" t="n">
        <f aca="false">(AR57+AS57+AT57+AU57)/4</f>
        <v>0</v>
      </c>
      <c r="AW57" s="9"/>
      <c r="AX57" s="9"/>
      <c r="AY57" s="9"/>
      <c r="AZ57" s="9"/>
      <c r="BA57" s="11" t="n">
        <f aca="false">(AW57+AX57+AY57+AZ57)/4</f>
        <v>0</v>
      </c>
      <c r="BB57" s="11" t="e">
        <f aca="false">(AW57/AR57)</f>
        <v>#DIV/0!</v>
      </c>
      <c r="BC57" s="11" t="e">
        <f aca="false">(AX57/AS57)</f>
        <v>#DIV/0!</v>
      </c>
      <c r="BD57" s="11" t="e">
        <f aca="false">(AY57/AT57)</f>
        <v>#DIV/0!</v>
      </c>
      <c r="BE57" s="11" t="e">
        <f aca="false">(AZ57/AU57)</f>
        <v>#DIV/0!</v>
      </c>
      <c r="BF57" s="11" t="e">
        <f aca="false">(BA57/AV57)</f>
        <v>#DIV/0!</v>
      </c>
      <c r="BG57" s="11" t="e">
        <f aca="false">(BF57*100)</f>
        <v>#DIV/0!</v>
      </c>
      <c r="BH57" s="9"/>
      <c r="BI57" s="9"/>
      <c r="BJ57" s="9"/>
      <c r="BK57" s="9"/>
      <c r="BL57" s="9"/>
      <c r="BM57" s="11" t="n">
        <f aca="false">(BI57+BJ57+BK57+BL57)/4</f>
        <v>0</v>
      </c>
      <c r="BN57" s="11" t="e">
        <f aca="false">(BI57/AR57)</f>
        <v>#DIV/0!</v>
      </c>
      <c r="BO57" s="11" t="e">
        <f aca="false">(BJ57/AS57)</f>
        <v>#DIV/0!</v>
      </c>
      <c r="BP57" s="11" t="e">
        <f aca="false">(BK57/AT57)</f>
        <v>#DIV/0!</v>
      </c>
      <c r="BQ57" s="11" t="e">
        <f aca="false">(BL57/AU57)</f>
        <v>#DIV/0!</v>
      </c>
      <c r="BR57" s="11" t="e">
        <f aca="false">(BM57/AV57)</f>
        <v>#DIV/0!</v>
      </c>
      <c r="BS57" s="11" t="e">
        <f aca="false">(100*BR57)</f>
        <v>#DIV/0!</v>
      </c>
      <c r="BT57" s="9"/>
      <c r="BU57" s="9"/>
      <c r="BV57" s="9"/>
      <c r="BW57" s="9"/>
      <c r="BX57" s="9"/>
      <c r="BY57" s="11" t="n">
        <f aca="false">(BU57+BV57+BW57+BX57)/4</f>
        <v>0</v>
      </c>
      <c r="BZ57" s="11" t="e">
        <f aca="false">(BU57/AR57)</f>
        <v>#DIV/0!</v>
      </c>
      <c r="CA57" s="11" t="e">
        <f aca="false">(BV57/AS57)</f>
        <v>#DIV/0!</v>
      </c>
      <c r="CB57" s="11" t="e">
        <f aca="false">(BW57/AT57)</f>
        <v>#DIV/0!</v>
      </c>
      <c r="CC57" s="11" t="e">
        <f aca="false">(BX57/AU57)</f>
        <v>#DIV/0!</v>
      </c>
      <c r="CD57" s="11" t="e">
        <f aca="false">(BY57/AV57)</f>
        <v>#DIV/0!</v>
      </c>
      <c r="CE57" s="11" t="e">
        <f aca="false">(100*CD57)</f>
        <v>#DIV/0!</v>
      </c>
      <c r="CF57" s="9"/>
      <c r="CG57" s="9"/>
      <c r="CH57" s="9"/>
      <c r="CI57" s="9"/>
      <c r="CJ57" s="9"/>
      <c r="CK57" s="11" t="n">
        <f aca="false">(CG57+CH57+CI57+CJ57)/4</f>
        <v>0</v>
      </c>
      <c r="CL57" s="11" t="e">
        <f aca="false">(CG57/AM57)</f>
        <v>#DIV/0!</v>
      </c>
      <c r="CM57" s="11" t="e">
        <f aca="false">(CH57/AN57)</f>
        <v>#DIV/0!</v>
      </c>
      <c r="CN57" s="11" t="e">
        <f aca="false">(CI57/AO57)</f>
        <v>#DIV/0!</v>
      </c>
      <c r="CO57" s="9" t="e">
        <f aca="false">(CJ57/AP57)</f>
        <v>#DIV/0!</v>
      </c>
      <c r="CP57" s="9" t="e">
        <f aca="false">(CK57/AQ57)</f>
        <v>#DIV/0!</v>
      </c>
      <c r="CQ57" s="9" t="e">
        <f aca="false">(100*CP57)</f>
        <v>#DIV/0!</v>
      </c>
      <c r="CR57" s="18"/>
      <c r="CS57" s="9"/>
      <c r="CT57" s="9"/>
      <c r="CU57" s="9"/>
      <c r="CV57" s="9"/>
      <c r="CW57" s="11" t="n">
        <f aca="false">(CS57+CT57+CU57+CV57)/4</f>
        <v>0</v>
      </c>
      <c r="CX57" s="9"/>
      <c r="CY57" s="9"/>
      <c r="CZ57" s="9"/>
      <c r="DA57" s="9"/>
      <c r="DB57" s="11" t="n">
        <f aca="false">(CX57+CY57+CZ57+DA57)/4</f>
        <v>0</v>
      </c>
      <c r="DC57" s="9"/>
      <c r="DD57" s="9"/>
      <c r="DE57" s="9"/>
      <c r="DF57" s="9"/>
      <c r="DG57" s="11" t="n">
        <f aca="false">(DC57+DD57+DE57+DF57)/4</f>
        <v>0</v>
      </c>
      <c r="DH57" s="9"/>
      <c r="DI57" s="9"/>
      <c r="DJ57" s="9"/>
      <c r="DK57" s="9"/>
      <c r="DL57" s="11" t="n">
        <f aca="false">(DH57+DI57+DJ57+DK57)/4</f>
        <v>0</v>
      </c>
      <c r="DM57" s="9"/>
      <c r="DN57" s="9"/>
      <c r="DO57" s="9"/>
      <c r="DP57" s="9"/>
      <c r="DQ57" s="11" t="n">
        <f aca="false">(DM57+DN57+DO57+DP57)/4</f>
        <v>0</v>
      </c>
      <c r="DR57" s="9"/>
      <c r="DS57" s="9"/>
      <c r="DT57" s="9"/>
      <c r="DU57" s="9"/>
      <c r="DV57" s="11" t="n">
        <f aca="false">(DR57+DS57+DT57+DU57)/4</f>
        <v>0</v>
      </c>
      <c r="DW57" s="9"/>
      <c r="DX57" s="9"/>
      <c r="DY57" s="9"/>
      <c r="DZ57" s="9"/>
      <c r="EA57" s="11" t="n">
        <f aca="false">(DW57+DX57+DY57+DZ57)/4</f>
        <v>0</v>
      </c>
      <c r="EB57" s="11" t="e">
        <f aca="false">(DW57/DR57)</f>
        <v>#DIV/0!</v>
      </c>
      <c r="EC57" s="11" t="e">
        <f aca="false">(DX57/DS57)</f>
        <v>#DIV/0!</v>
      </c>
      <c r="ED57" s="11" t="e">
        <f aca="false">(DY57/DT57)</f>
        <v>#DIV/0!</v>
      </c>
      <c r="EE57" s="11" t="e">
        <f aca="false">(DZ57/DU57)</f>
        <v>#DIV/0!</v>
      </c>
      <c r="EF57" s="11" t="e">
        <f aca="false">(EA57/DV57)</f>
        <v>#DIV/0!</v>
      </c>
      <c r="EG57" s="11" t="e">
        <f aca="false">(100*EF57)</f>
        <v>#DIV/0!</v>
      </c>
      <c r="EH57" s="9"/>
      <c r="EI57" s="9"/>
      <c r="EJ57" s="9"/>
      <c r="EK57" s="19"/>
      <c r="EL57" s="9"/>
      <c r="EM57" s="9" t="n">
        <f aca="false">(EI57+EJ57+EK57+EL57)/4</f>
        <v>0</v>
      </c>
      <c r="EN57" s="9" t="e">
        <f aca="false">(EI57/DR57)</f>
        <v>#DIV/0!</v>
      </c>
      <c r="EO57" s="9" t="e">
        <f aca="false">(EJ57/DS57)</f>
        <v>#DIV/0!</v>
      </c>
      <c r="EP57" s="9" t="e">
        <f aca="false">(EK57/DT57)</f>
        <v>#DIV/0!</v>
      </c>
      <c r="EQ57" s="9" t="e">
        <f aca="false">(EL57/DU57)</f>
        <v>#DIV/0!</v>
      </c>
      <c r="ER57" s="9" t="e">
        <f aca="false">EM57/DV57</f>
        <v>#DIV/0!</v>
      </c>
      <c r="ES57" s="9" t="e">
        <f aca="false">(100*ER57)</f>
        <v>#DIV/0!</v>
      </c>
      <c r="ET57" s="9"/>
      <c r="EU57" s="18"/>
      <c r="EV57" s="9"/>
      <c r="EW57" s="9"/>
      <c r="EX57" s="9"/>
      <c r="EY57" s="11" t="n">
        <f aca="false">(EU57+EV57+EW57+EX57)/4</f>
        <v>0</v>
      </c>
      <c r="EZ57" s="11" t="e">
        <f aca="false">(EU57/DR57)</f>
        <v>#DIV/0!</v>
      </c>
      <c r="FA57" s="11" t="e">
        <f aca="false">(EV57/DS57)</f>
        <v>#DIV/0!</v>
      </c>
      <c r="FB57" s="11" t="e">
        <f aca="false">(EW57/DT57)</f>
        <v>#DIV/0!</v>
      </c>
      <c r="FC57" s="11" t="e">
        <f aca="false">(EX57/DU57)</f>
        <v>#DIV/0!</v>
      </c>
      <c r="FD57" s="11" t="e">
        <f aca="false">(EY57/DV57)</f>
        <v>#DIV/0!</v>
      </c>
      <c r="FE57" s="11" t="e">
        <f aca="false">(100*FD57)</f>
        <v>#DIV/0!</v>
      </c>
      <c r="FF57" s="9"/>
      <c r="FG57" s="9"/>
      <c r="FH57" s="9"/>
      <c r="FI57" s="9"/>
      <c r="FJ57" s="9"/>
      <c r="FK57" s="11" t="n">
        <f aca="false">(FG57+FH57+FI57+FJ57)/4</f>
        <v>0</v>
      </c>
      <c r="FL57" s="11" t="e">
        <f aca="false">(FG57/DR57)</f>
        <v>#DIV/0!</v>
      </c>
      <c r="FM57" s="11" t="e">
        <f aca="false">(FH57/DS57)</f>
        <v>#DIV/0!</v>
      </c>
      <c r="FN57" s="11" t="e">
        <f aca="false">(FI57/DT57)</f>
        <v>#DIV/0!</v>
      </c>
      <c r="FO57" s="11" t="e">
        <f aca="false">(FJ57/DU57)</f>
        <v>#DIV/0!</v>
      </c>
      <c r="FP57" s="11" t="e">
        <f aca="false">(FK57/DV57)</f>
        <v>#DIV/0!</v>
      </c>
      <c r="FQ57" s="11" t="e">
        <f aca="false">(100*FP57)</f>
        <v>#DIV/0!</v>
      </c>
      <c r="FR57" s="9"/>
      <c r="FS57" s="9"/>
      <c r="FT57" s="9"/>
      <c r="FU57" s="9"/>
      <c r="FV57" s="9"/>
      <c r="FW57" s="11" t="n">
        <f aca="false">(FS57+FT57+FU57+FV57)/4</f>
        <v>0</v>
      </c>
      <c r="FX57" s="9"/>
      <c r="FY57" s="9"/>
      <c r="FZ57" s="9"/>
      <c r="GA57" s="9"/>
      <c r="GB57" s="11" t="n">
        <f aca="false">(FX57+FY57+FZ57+GA57)/4</f>
        <v>0</v>
      </c>
      <c r="GC57" s="9"/>
      <c r="GD57" s="9"/>
      <c r="GE57" s="9"/>
      <c r="GF57" s="9"/>
      <c r="GG57" s="11" t="n">
        <f aca="false">(GC57+GD57+GE57+GF57)/4</f>
        <v>0</v>
      </c>
      <c r="GH57" s="9"/>
      <c r="GI57" s="9"/>
      <c r="GJ57" s="9"/>
      <c r="GK57" s="9"/>
      <c r="GL57" s="11" t="n">
        <f aca="false">(GH57+GI57+GJ57+GK57)/4</f>
        <v>0</v>
      </c>
      <c r="GM57" s="9"/>
      <c r="GN57" s="9"/>
      <c r="GO57" s="9"/>
      <c r="GP57" s="9"/>
      <c r="GQ57" s="11" t="n">
        <f aca="false">(GM57+GN57+GO57+GP57)/4</f>
        <v>0</v>
      </c>
      <c r="GR57" s="9"/>
      <c r="GS57" s="9"/>
      <c r="GT57" s="9"/>
      <c r="GU57" s="9"/>
      <c r="GV57" s="11" t="n">
        <f aca="false">(GR57+GS57+GT57+GU57)/4</f>
        <v>0</v>
      </c>
      <c r="GW57" s="9"/>
      <c r="GX57" s="9"/>
      <c r="GY57" s="9"/>
      <c r="GZ57" s="9"/>
      <c r="HA57" s="11" t="n">
        <f aca="false">(GW57+GX57+GY57+GZ57)/4</f>
        <v>0</v>
      </c>
      <c r="HB57" s="9" t="e">
        <f aca="false">(GW57/GR57)</f>
        <v>#DIV/0!</v>
      </c>
      <c r="HC57" s="9" t="e">
        <f aca="false">(GX57/GS57)</f>
        <v>#DIV/0!</v>
      </c>
      <c r="HD57" s="9" t="e">
        <f aca="false">(GY57/GT57)</f>
        <v>#DIV/0!</v>
      </c>
      <c r="HE57" s="9" t="e">
        <f aca="false">(GZ57/GU57)/4</f>
        <v>#DIV/0!</v>
      </c>
      <c r="HF57" s="9" t="e">
        <f aca="false">(HB57+HC57+HD57+HE57)/4</f>
        <v>#DIV/0!</v>
      </c>
      <c r="HG57" s="9" t="e">
        <f aca="false">(100*HF57)</f>
        <v>#DIV/0!</v>
      </c>
      <c r="HH57" s="18"/>
      <c r="HI57" s="9"/>
      <c r="HJ57" s="9"/>
      <c r="HK57" s="9"/>
      <c r="HL57" s="19"/>
      <c r="HM57" s="9" t="n">
        <f aca="false">(HI57+HJ57+HK57+HL57)/4</f>
        <v>0</v>
      </c>
      <c r="HN57" s="9" t="e">
        <f aca="false">(HI57/GR57)</f>
        <v>#DIV/0!</v>
      </c>
      <c r="HO57" s="9" t="e">
        <f aca="false">(HJ57/GS57)</f>
        <v>#DIV/0!</v>
      </c>
      <c r="HP57" s="9" t="e">
        <f aca="false">(HK57/GT57)</f>
        <v>#DIV/0!</v>
      </c>
      <c r="HQ57" s="9" t="e">
        <f aca="false">(HL57/GU57)</f>
        <v>#DIV/0!</v>
      </c>
      <c r="HR57" s="9" t="e">
        <f aca="false">(HM57/GV57)</f>
        <v>#DIV/0!</v>
      </c>
      <c r="HS57" s="9" t="e">
        <f aca="false">(100*HR57)</f>
        <v>#DIV/0!</v>
      </c>
      <c r="HT57" s="18"/>
      <c r="HU57" s="9"/>
      <c r="HV57" s="9"/>
      <c r="HW57" s="9"/>
      <c r="HX57" s="19"/>
      <c r="HY57" s="9" t="n">
        <f aca="false">(HU57+HV57+HW57+HX57)/4</f>
        <v>0</v>
      </c>
      <c r="HZ57" s="9" t="e">
        <f aca="false">(HU57/GR57)</f>
        <v>#DIV/0!</v>
      </c>
      <c r="IA57" s="9" t="e">
        <f aca="false">HV57/GS57</f>
        <v>#DIV/0!</v>
      </c>
      <c r="IB57" s="9" t="e">
        <f aca="false">(HW57/GT57)</f>
        <v>#DIV/0!</v>
      </c>
      <c r="IC57" s="9" t="e">
        <f aca="false">(HX57/GU57)</f>
        <v>#DIV/0!</v>
      </c>
      <c r="ID57" s="9" t="e">
        <f aca="false">(HY57/GV57)</f>
        <v>#DIV/0!</v>
      </c>
      <c r="IE57" s="9" t="e">
        <f aca="false">(100*ID57)</f>
        <v>#DIV/0!</v>
      </c>
      <c r="IF57" s="18"/>
      <c r="IG57" s="9"/>
      <c r="IH57" s="9"/>
      <c r="II57" s="19"/>
      <c r="IJ57" s="9"/>
      <c r="IK57" s="9" t="n">
        <f aca="false">(IG57+IH57+II57+IJ57)/4</f>
        <v>0</v>
      </c>
      <c r="IL57" s="9" t="e">
        <f aca="false">(IG57/GM57)</f>
        <v>#DIV/0!</v>
      </c>
      <c r="IM57" s="9" t="e">
        <f aca="false">(IH57/GN57)</f>
        <v>#DIV/0!</v>
      </c>
      <c r="IN57" s="9" t="e">
        <f aca="false">(II57/GO57)</f>
        <v>#DIV/0!</v>
      </c>
      <c r="IO57" s="9" t="e">
        <f aca="false">(IJ57/GP57)</f>
        <v>#DIV/0!</v>
      </c>
      <c r="IP57" s="9" t="e">
        <f aca="false">(IK57/GQ57)</f>
        <v>#DIV/0!</v>
      </c>
      <c r="IQ57" s="9" t="e">
        <f aca="false">(100*IP57)</f>
        <v>#DIV/0!</v>
      </c>
      <c r="IR57" s="18"/>
      <c r="IS57" s="9"/>
      <c r="IT57" s="9"/>
      <c r="IU57" s="19"/>
      <c r="IV57" s="9"/>
      <c r="IW57" s="9" t="n">
        <f aca="false">(IS57+IT57+IU57+IV57)/4</f>
        <v>0</v>
      </c>
      <c r="IX57" s="9"/>
      <c r="IY57" s="9"/>
    </row>
    <row r="58" customFormat="false" ht="15.75" hidden="false" customHeight="true" outlineLevel="0" collapsed="false">
      <c r="A58" s="9" t="s">
        <v>259</v>
      </c>
      <c r="B58" s="10" t="s">
        <v>399</v>
      </c>
      <c r="C58" s="10" t="s">
        <v>400</v>
      </c>
      <c r="D58" s="9" t="n">
        <v>1</v>
      </c>
      <c r="E58" s="9" t="n">
        <v>19</v>
      </c>
      <c r="F58" s="10" t="s">
        <v>405</v>
      </c>
      <c r="G58" s="11" t="s">
        <v>263</v>
      </c>
      <c r="H58" s="9" t="n">
        <v>21</v>
      </c>
      <c r="I58" s="9" t="n">
        <v>20</v>
      </c>
      <c r="J58" s="10" t="s">
        <v>272</v>
      </c>
      <c r="K58" s="20"/>
      <c r="L58" s="20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11" t="n">
        <f aca="false">(X58+Y58+Z58+AA58)/4</f>
        <v>0</v>
      </c>
      <c r="AC58" s="9"/>
      <c r="AD58" s="9"/>
      <c r="AE58" s="9"/>
      <c r="AF58" s="9"/>
      <c r="AG58" s="11" t="n">
        <f aca="false">(AC58+AD58+AE58+AF58)/4</f>
        <v>0</v>
      </c>
      <c r="AH58" s="9"/>
      <c r="AI58" s="9"/>
      <c r="AJ58" s="9"/>
      <c r="AK58" s="9"/>
      <c r="AL58" s="11" t="n">
        <f aca="false">(AH58+AI58+AJ58+AK58)/4</f>
        <v>0</v>
      </c>
      <c r="AM58" s="9"/>
      <c r="AN58" s="9"/>
      <c r="AO58" s="9"/>
      <c r="AP58" s="9"/>
      <c r="AQ58" s="11" t="n">
        <f aca="false">(AM58+AN58+AO58+AP58)/4</f>
        <v>0</v>
      </c>
      <c r="AR58" s="9"/>
      <c r="AS58" s="9"/>
      <c r="AT58" s="9"/>
      <c r="AU58" s="9"/>
      <c r="AV58" s="11" t="n">
        <f aca="false">(AR58+AS58+AT58+AU58)/4</f>
        <v>0</v>
      </c>
      <c r="AW58" s="9"/>
      <c r="AX58" s="9"/>
      <c r="AY58" s="9"/>
      <c r="AZ58" s="9"/>
      <c r="BA58" s="11" t="n">
        <f aca="false">(AW58+AX58+AY58+AZ58)/4</f>
        <v>0</v>
      </c>
      <c r="BB58" s="11" t="e">
        <f aca="false">(AW58/AR58)</f>
        <v>#DIV/0!</v>
      </c>
      <c r="BC58" s="11" t="e">
        <f aca="false">(AX58/AS58)</f>
        <v>#DIV/0!</v>
      </c>
      <c r="BD58" s="11" t="e">
        <f aca="false">(AY58/AT58)</f>
        <v>#DIV/0!</v>
      </c>
      <c r="BE58" s="11" t="e">
        <f aca="false">(AZ58/AU58)</f>
        <v>#DIV/0!</v>
      </c>
      <c r="BF58" s="11" t="e">
        <f aca="false">(BA58/AV58)</f>
        <v>#DIV/0!</v>
      </c>
      <c r="BG58" s="11" t="e">
        <f aca="false">(BF58*100)</f>
        <v>#DIV/0!</v>
      </c>
      <c r="BH58" s="9"/>
      <c r="BI58" s="9"/>
      <c r="BJ58" s="9"/>
      <c r="BK58" s="9"/>
      <c r="BL58" s="9"/>
      <c r="BM58" s="11" t="n">
        <f aca="false">(BI58+BJ58+BK58+BL58)/4</f>
        <v>0</v>
      </c>
      <c r="BN58" s="11" t="e">
        <f aca="false">(BI58/AR58)</f>
        <v>#DIV/0!</v>
      </c>
      <c r="BO58" s="11" t="e">
        <f aca="false">(BJ58/AS58)</f>
        <v>#DIV/0!</v>
      </c>
      <c r="BP58" s="11" t="e">
        <f aca="false">(BK58/AT58)</f>
        <v>#DIV/0!</v>
      </c>
      <c r="BQ58" s="11" t="e">
        <f aca="false">(BL58/AU58)</f>
        <v>#DIV/0!</v>
      </c>
      <c r="BR58" s="11" t="e">
        <f aca="false">(BM58/AV58)</f>
        <v>#DIV/0!</v>
      </c>
      <c r="BS58" s="11" t="e">
        <f aca="false">(100*BR58)</f>
        <v>#DIV/0!</v>
      </c>
      <c r="BT58" s="9"/>
      <c r="BU58" s="9"/>
      <c r="BV58" s="9"/>
      <c r="BW58" s="9"/>
      <c r="BX58" s="9"/>
      <c r="BY58" s="11" t="n">
        <f aca="false">(BU58+BV58+BW58+BX58)/4</f>
        <v>0</v>
      </c>
      <c r="BZ58" s="11" t="e">
        <f aca="false">(BU58/AR58)</f>
        <v>#DIV/0!</v>
      </c>
      <c r="CA58" s="11" t="e">
        <f aca="false">(BV58/AS58)</f>
        <v>#DIV/0!</v>
      </c>
      <c r="CB58" s="11" t="e">
        <f aca="false">(BW58/AT58)</f>
        <v>#DIV/0!</v>
      </c>
      <c r="CC58" s="11" t="e">
        <f aca="false">(BX58/AU58)</f>
        <v>#DIV/0!</v>
      </c>
      <c r="CD58" s="11" t="e">
        <f aca="false">(BY58/AV58)</f>
        <v>#DIV/0!</v>
      </c>
      <c r="CE58" s="11" t="e">
        <f aca="false">(100*CD58)</f>
        <v>#DIV/0!</v>
      </c>
      <c r="CF58" s="9"/>
      <c r="CG58" s="9"/>
      <c r="CH58" s="9"/>
      <c r="CI58" s="9"/>
      <c r="CJ58" s="9"/>
      <c r="CK58" s="11" t="n">
        <f aca="false">(CG58+CH58+CI58+CJ58)/4</f>
        <v>0</v>
      </c>
      <c r="CL58" s="11" t="e">
        <f aca="false">(CG58/AM58)</f>
        <v>#DIV/0!</v>
      </c>
      <c r="CM58" s="11" t="e">
        <f aca="false">(CH58/AN58)</f>
        <v>#DIV/0!</v>
      </c>
      <c r="CN58" s="11" t="e">
        <f aca="false">(CI58/AO58)</f>
        <v>#DIV/0!</v>
      </c>
      <c r="CO58" s="9" t="e">
        <f aca="false">(CJ58/AP58)</f>
        <v>#DIV/0!</v>
      </c>
      <c r="CP58" s="9" t="e">
        <f aca="false">(CK58/AQ58)</f>
        <v>#DIV/0!</v>
      </c>
      <c r="CQ58" s="9" t="e">
        <f aca="false">(100*CP58)</f>
        <v>#DIV/0!</v>
      </c>
      <c r="CR58" s="18"/>
      <c r="CS58" s="9"/>
      <c r="CT58" s="9"/>
      <c r="CU58" s="9"/>
      <c r="CV58" s="9"/>
      <c r="CW58" s="11" t="n">
        <f aca="false">(CS58+CT58+CU58+CV58)/4</f>
        <v>0</v>
      </c>
      <c r="CX58" s="9"/>
      <c r="CY58" s="9"/>
      <c r="CZ58" s="9"/>
      <c r="DA58" s="9"/>
      <c r="DB58" s="11" t="n">
        <f aca="false">(CX58+CY58+CZ58+DA58)/4</f>
        <v>0</v>
      </c>
      <c r="DC58" s="9"/>
      <c r="DD58" s="9"/>
      <c r="DE58" s="9"/>
      <c r="DF58" s="9"/>
      <c r="DG58" s="11" t="n">
        <f aca="false">(DC58+DD58+DE58+DF58)/4</f>
        <v>0</v>
      </c>
      <c r="DH58" s="9"/>
      <c r="DI58" s="9"/>
      <c r="DJ58" s="9"/>
      <c r="DK58" s="9"/>
      <c r="DL58" s="11" t="n">
        <f aca="false">(DH58+DI58+DJ58+DK58)/4</f>
        <v>0</v>
      </c>
      <c r="DM58" s="9"/>
      <c r="DN58" s="9"/>
      <c r="DO58" s="9"/>
      <c r="DP58" s="9"/>
      <c r="DQ58" s="11" t="n">
        <f aca="false">(DM58+DN58+DO58+DP58)/4</f>
        <v>0</v>
      </c>
      <c r="DR58" s="9"/>
      <c r="DS58" s="9"/>
      <c r="DT58" s="9"/>
      <c r="DU58" s="9"/>
      <c r="DV58" s="11" t="n">
        <f aca="false">(DR58+DS58+DT58+DU58)/4</f>
        <v>0</v>
      </c>
      <c r="DW58" s="9"/>
      <c r="DX58" s="9"/>
      <c r="DY58" s="9"/>
      <c r="DZ58" s="9"/>
      <c r="EA58" s="11" t="n">
        <f aca="false">(DW58+DX58+DY58+DZ58)/4</f>
        <v>0</v>
      </c>
      <c r="EB58" s="11" t="e">
        <f aca="false">(DW58/DR58)</f>
        <v>#DIV/0!</v>
      </c>
      <c r="EC58" s="11" t="e">
        <f aca="false">(DX58/DS58)</f>
        <v>#DIV/0!</v>
      </c>
      <c r="ED58" s="11" t="e">
        <f aca="false">(DY58/DT58)</f>
        <v>#DIV/0!</v>
      </c>
      <c r="EE58" s="11" t="e">
        <f aca="false">(DZ58/DU58)</f>
        <v>#DIV/0!</v>
      </c>
      <c r="EF58" s="11" t="e">
        <f aca="false">(EA58/DV58)</f>
        <v>#DIV/0!</v>
      </c>
      <c r="EG58" s="11" t="e">
        <f aca="false">(100*EF58)</f>
        <v>#DIV/0!</v>
      </c>
      <c r="EH58" s="9"/>
      <c r="EI58" s="9"/>
      <c r="EJ58" s="9"/>
      <c r="EK58" s="19"/>
      <c r="EL58" s="9"/>
      <c r="EM58" s="9" t="n">
        <f aca="false">(EI58+EJ58+EK58+EL58)/4</f>
        <v>0</v>
      </c>
      <c r="EN58" s="9" t="e">
        <f aca="false">(EI58/DR58)</f>
        <v>#DIV/0!</v>
      </c>
      <c r="EO58" s="9" t="e">
        <f aca="false">(EJ58/DS58)</f>
        <v>#DIV/0!</v>
      </c>
      <c r="EP58" s="9" t="e">
        <f aca="false">(EK58/DT58)</f>
        <v>#DIV/0!</v>
      </c>
      <c r="EQ58" s="9" t="e">
        <f aca="false">(EL58/DU58)</f>
        <v>#DIV/0!</v>
      </c>
      <c r="ER58" s="9" t="e">
        <f aca="false">EM58/DV58</f>
        <v>#DIV/0!</v>
      </c>
      <c r="ES58" s="9" t="e">
        <f aca="false">(100*ER58)</f>
        <v>#DIV/0!</v>
      </c>
      <c r="ET58" s="9"/>
      <c r="EU58" s="18"/>
      <c r="EV58" s="9"/>
      <c r="EW58" s="9"/>
      <c r="EX58" s="9"/>
      <c r="EY58" s="11" t="n">
        <f aca="false">(EU58+EV58+EW58+EX58)/4</f>
        <v>0</v>
      </c>
      <c r="EZ58" s="11" t="e">
        <f aca="false">(EU58/DR58)</f>
        <v>#DIV/0!</v>
      </c>
      <c r="FA58" s="11" t="e">
        <f aca="false">(EV58/DS58)</f>
        <v>#DIV/0!</v>
      </c>
      <c r="FB58" s="11" t="e">
        <f aca="false">(EW58/DT58)</f>
        <v>#DIV/0!</v>
      </c>
      <c r="FC58" s="11" t="e">
        <f aca="false">(EX58/DU58)</f>
        <v>#DIV/0!</v>
      </c>
      <c r="FD58" s="11" t="e">
        <f aca="false">(EY58/DV58)</f>
        <v>#DIV/0!</v>
      </c>
      <c r="FE58" s="11" t="e">
        <f aca="false">(100*FD58)</f>
        <v>#DIV/0!</v>
      </c>
      <c r="FF58" s="9"/>
      <c r="FG58" s="9"/>
      <c r="FH58" s="9"/>
      <c r="FI58" s="9"/>
      <c r="FJ58" s="9"/>
      <c r="FK58" s="11" t="n">
        <f aca="false">(FG58+FH58+FI58+FJ58)/4</f>
        <v>0</v>
      </c>
      <c r="FL58" s="11" t="e">
        <f aca="false">(FG58/DR58)</f>
        <v>#DIV/0!</v>
      </c>
      <c r="FM58" s="11" t="e">
        <f aca="false">(FH58/DS58)</f>
        <v>#DIV/0!</v>
      </c>
      <c r="FN58" s="11" t="e">
        <f aca="false">(FI58/DT58)</f>
        <v>#DIV/0!</v>
      </c>
      <c r="FO58" s="11" t="e">
        <f aca="false">(FJ58/DU58)</f>
        <v>#DIV/0!</v>
      </c>
      <c r="FP58" s="11" t="e">
        <f aca="false">(FK58/DV58)</f>
        <v>#DIV/0!</v>
      </c>
      <c r="FQ58" s="11" t="e">
        <f aca="false">(100*FP58)</f>
        <v>#DIV/0!</v>
      </c>
      <c r="FR58" s="9"/>
      <c r="FS58" s="9"/>
      <c r="FT58" s="9"/>
      <c r="FU58" s="9"/>
      <c r="FV58" s="9"/>
      <c r="FW58" s="11" t="n">
        <f aca="false">(FS58+FT58+FU58+FV58)/4</f>
        <v>0</v>
      </c>
      <c r="FX58" s="9"/>
      <c r="FY58" s="9"/>
      <c r="FZ58" s="9"/>
      <c r="GA58" s="9"/>
      <c r="GB58" s="11" t="n">
        <f aca="false">(FX58+FY58+FZ58+GA58)/4</f>
        <v>0</v>
      </c>
      <c r="GC58" s="9"/>
      <c r="GD58" s="9"/>
      <c r="GE58" s="9"/>
      <c r="GF58" s="9"/>
      <c r="GG58" s="11" t="n">
        <f aca="false">(GC58+GD58+GE58+GF58)/4</f>
        <v>0</v>
      </c>
      <c r="GH58" s="9"/>
      <c r="GI58" s="9"/>
      <c r="GJ58" s="9"/>
      <c r="GK58" s="9"/>
      <c r="GL58" s="11" t="n">
        <f aca="false">(GH58+GI58+GJ58+GK58)/4</f>
        <v>0</v>
      </c>
      <c r="GM58" s="9"/>
      <c r="GN58" s="9"/>
      <c r="GO58" s="9"/>
      <c r="GP58" s="9"/>
      <c r="GQ58" s="11" t="n">
        <f aca="false">(GM58+GN58+GO58+GP58)/4</f>
        <v>0</v>
      </c>
      <c r="GR58" s="9"/>
      <c r="GS58" s="9"/>
      <c r="GT58" s="9"/>
      <c r="GU58" s="9"/>
      <c r="GV58" s="11" t="n">
        <f aca="false">(GR58+GS58+GT58+GU58)/4</f>
        <v>0</v>
      </c>
      <c r="GW58" s="9"/>
      <c r="GX58" s="9"/>
      <c r="GY58" s="9"/>
      <c r="GZ58" s="9"/>
      <c r="HA58" s="11" t="n">
        <f aca="false">(GW58+GX58+GY58+GZ58)/4</f>
        <v>0</v>
      </c>
      <c r="HB58" s="9" t="e">
        <f aca="false">(GW58/GR58)</f>
        <v>#DIV/0!</v>
      </c>
      <c r="HC58" s="9" t="e">
        <f aca="false">(GX58/GS58)</f>
        <v>#DIV/0!</v>
      </c>
      <c r="HD58" s="9" t="e">
        <f aca="false">(GY58/GT58)</f>
        <v>#DIV/0!</v>
      </c>
      <c r="HE58" s="9" t="e">
        <f aca="false">(GZ58/GU58)/4</f>
        <v>#DIV/0!</v>
      </c>
      <c r="HF58" s="9" t="e">
        <f aca="false">(HB58+HC58+HD58+HE58)/4</f>
        <v>#DIV/0!</v>
      </c>
      <c r="HG58" s="9" t="e">
        <f aca="false">(100*HF58)</f>
        <v>#DIV/0!</v>
      </c>
      <c r="HH58" s="18"/>
      <c r="HI58" s="9"/>
      <c r="HJ58" s="9"/>
      <c r="HK58" s="9"/>
      <c r="HL58" s="19"/>
      <c r="HM58" s="9" t="n">
        <f aca="false">(HI58+HJ58+HK58+HL58)/4</f>
        <v>0</v>
      </c>
      <c r="HN58" s="9" t="e">
        <f aca="false">(HI58/GR58)</f>
        <v>#DIV/0!</v>
      </c>
      <c r="HO58" s="9" t="e">
        <f aca="false">(HJ58/GS58)</f>
        <v>#DIV/0!</v>
      </c>
      <c r="HP58" s="9" t="e">
        <f aca="false">(HK58/GT58)</f>
        <v>#DIV/0!</v>
      </c>
      <c r="HQ58" s="9" t="e">
        <f aca="false">(HL58/GU58)</f>
        <v>#DIV/0!</v>
      </c>
      <c r="HR58" s="9" t="e">
        <f aca="false">(HM58/GV58)</f>
        <v>#DIV/0!</v>
      </c>
      <c r="HS58" s="9" t="e">
        <f aca="false">(100*HR58)</f>
        <v>#DIV/0!</v>
      </c>
      <c r="HT58" s="18"/>
      <c r="HU58" s="9"/>
      <c r="HV58" s="9"/>
      <c r="HW58" s="9"/>
      <c r="HX58" s="19"/>
      <c r="HY58" s="9" t="n">
        <f aca="false">(HU58+HV58+HW58+HX58)/4</f>
        <v>0</v>
      </c>
      <c r="HZ58" s="9" t="e">
        <f aca="false">(HU58/GR58)</f>
        <v>#DIV/0!</v>
      </c>
      <c r="IA58" s="9" t="e">
        <f aca="false">HV58/GS58</f>
        <v>#DIV/0!</v>
      </c>
      <c r="IB58" s="9" t="e">
        <f aca="false">(HW58/GT58)</f>
        <v>#DIV/0!</v>
      </c>
      <c r="IC58" s="9" t="e">
        <f aca="false">(HX58/GU58)</f>
        <v>#DIV/0!</v>
      </c>
      <c r="ID58" s="9" t="e">
        <f aca="false">(HY58/GV58)</f>
        <v>#DIV/0!</v>
      </c>
      <c r="IE58" s="9" t="e">
        <f aca="false">(100*ID58)</f>
        <v>#DIV/0!</v>
      </c>
      <c r="IF58" s="18"/>
      <c r="IG58" s="9"/>
      <c r="IH58" s="9"/>
      <c r="II58" s="19"/>
      <c r="IJ58" s="9"/>
      <c r="IK58" s="9" t="n">
        <f aca="false">(IG58+IH58+II58+IJ58)/4</f>
        <v>0</v>
      </c>
      <c r="IL58" s="9" t="e">
        <f aca="false">(IG58/GM58)</f>
        <v>#DIV/0!</v>
      </c>
      <c r="IM58" s="9" t="e">
        <f aca="false">(IH58/GN58)</f>
        <v>#DIV/0!</v>
      </c>
      <c r="IN58" s="9" t="e">
        <f aca="false">(II58/GO58)</f>
        <v>#DIV/0!</v>
      </c>
      <c r="IO58" s="9" t="e">
        <f aca="false">(IJ58/GP58)</f>
        <v>#DIV/0!</v>
      </c>
      <c r="IP58" s="9" t="e">
        <f aca="false">(IK58/GQ58)</f>
        <v>#DIV/0!</v>
      </c>
      <c r="IQ58" s="9" t="e">
        <f aca="false">(100*IP58)</f>
        <v>#DIV/0!</v>
      </c>
      <c r="IR58" s="18"/>
      <c r="IS58" s="9"/>
      <c r="IT58" s="9"/>
      <c r="IU58" s="19"/>
      <c r="IV58" s="9"/>
      <c r="IW58" s="9" t="n">
        <f aca="false">(IS58+IT58+IU58+IV58)/4</f>
        <v>0</v>
      </c>
      <c r="IX58" s="9"/>
      <c r="IY58" s="9"/>
    </row>
    <row r="59" customFormat="false" ht="15.75" hidden="false" customHeight="true" outlineLevel="0" collapsed="false">
      <c r="A59" s="9" t="s">
        <v>259</v>
      </c>
      <c r="B59" s="10" t="s">
        <v>406</v>
      </c>
      <c r="C59" s="10" t="s">
        <v>400</v>
      </c>
      <c r="D59" s="9" t="n">
        <v>2</v>
      </c>
      <c r="E59" s="9" t="n">
        <v>20</v>
      </c>
      <c r="F59" s="10" t="s">
        <v>407</v>
      </c>
      <c r="G59" s="10" t="s">
        <v>320</v>
      </c>
      <c r="H59" s="9" t="n">
        <v>21</v>
      </c>
      <c r="I59" s="9" t="n">
        <v>5</v>
      </c>
      <c r="J59" s="12" t="s">
        <v>264</v>
      </c>
      <c r="K59" s="13" t="s">
        <v>408</v>
      </c>
      <c r="L59" s="13" t="s">
        <v>409</v>
      </c>
      <c r="M59" s="14" t="n">
        <v>1309</v>
      </c>
      <c r="N59" s="15" t="n">
        <v>45154</v>
      </c>
      <c r="O59" s="10" t="s">
        <v>294</v>
      </c>
      <c r="P59" s="9"/>
      <c r="Q59" s="9" t="n">
        <v>26.45</v>
      </c>
      <c r="R59" s="9" t="n">
        <v>20</v>
      </c>
      <c r="S59" s="9" t="n">
        <v>-5</v>
      </c>
      <c r="T59" s="9" t="n">
        <v>120</v>
      </c>
      <c r="U59" s="9"/>
      <c r="V59" s="9" t="n">
        <v>4.12</v>
      </c>
      <c r="W59" s="9"/>
      <c r="X59" s="9" t="n">
        <v>0</v>
      </c>
      <c r="Y59" s="9" t="n">
        <v>0</v>
      </c>
      <c r="Z59" s="9" t="n">
        <v>0</v>
      </c>
      <c r="AA59" s="9" t="n">
        <v>0</v>
      </c>
      <c r="AB59" s="11" t="n">
        <f aca="false">(X59+Y59+Z59+AA59)/4</f>
        <v>0</v>
      </c>
      <c r="AC59" s="9" t="n">
        <v>1</v>
      </c>
      <c r="AD59" s="9" t="n">
        <v>1</v>
      </c>
      <c r="AE59" s="9" t="n">
        <v>1</v>
      </c>
      <c r="AF59" s="9" t="n">
        <v>1</v>
      </c>
      <c r="AG59" s="11" t="n">
        <f aca="false">(AC59+AD59+AE59+AF59)/4</f>
        <v>1</v>
      </c>
      <c r="AH59" s="9" t="n">
        <v>1</v>
      </c>
      <c r="AI59" s="9" t="n">
        <v>1</v>
      </c>
      <c r="AJ59" s="9" t="n">
        <v>1</v>
      </c>
      <c r="AK59" s="9" t="n">
        <v>1</v>
      </c>
      <c r="AL59" s="11" t="n">
        <f aca="false">(AH59+AI59+AJ59+AK59)/4</f>
        <v>1</v>
      </c>
      <c r="AM59" s="9" t="n">
        <v>25</v>
      </c>
      <c r="AN59" s="9" t="n">
        <v>37</v>
      </c>
      <c r="AO59" s="9" t="n">
        <v>74</v>
      </c>
      <c r="AP59" s="9" t="n">
        <v>32</v>
      </c>
      <c r="AQ59" s="11" t="n">
        <f aca="false">(AM59+AN59+AO59+AP59)/4</f>
        <v>42</v>
      </c>
      <c r="AR59" s="9" t="n">
        <v>15</v>
      </c>
      <c r="AS59" s="9" t="n">
        <v>15</v>
      </c>
      <c r="AT59" s="9" t="n">
        <v>39</v>
      </c>
      <c r="AU59" s="9" t="n">
        <v>43</v>
      </c>
      <c r="AV59" s="11" t="n">
        <f aca="false">(AR59+AS59+AT59+AU59)/4</f>
        <v>28</v>
      </c>
      <c r="AW59" s="9" t="n">
        <v>0</v>
      </c>
      <c r="AX59" s="9" t="n">
        <v>0</v>
      </c>
      <c r="AY59" s="9" t="n">
        <v>0</v>
      </c>
      <c r="AZ59" s="9" t="n">
        <v>0</v>
      </c>
      <c r="BA59" s="11" t="n">
        <f aca="false">(AW59+AX59+AY59+AZ59)/4</f>
        <v>0</v>
      </c>
      <c r="BB59" s="11" t="n">
        <f aca="false">(AW59/AR59)</f>
        <v>0</v>
      </c>
      <c r="BC59" s="11" t="n">
        <f aca="false">(AX59/AS59)</f>
        <v>0</v>
      </c>
      <c r="BD59" s="11" t="n">
        <f aca="false">(AY59/AT59)</f>
        <v>0</v>
      </c>
      <c r="BE59" s="11" t="n">
        <f aca="false">(AZ59/AU59)</f>
        <v>0</v>
      </c>
      <c r="BF59" s="11" t="n">
        <f aca="false">(BA59/AV59)</f>
        <v>0</v>
      </c>
      <c r="BG59" s="11" t="n">
        <f aca="false">(BF59*100)</f>
        <v>0</v>
      </c>
      <c r="BH59" s="9" t="n">
        <v>0</v>
      </c>
      <c r="BI59" s="9" t="n">
        <v>6</v>
      </c>
      <c r="BJ59" s="9" t="n">
        <v>2</v>
      </c>
      <c r="BK59" s="9" t="n">
        <v>3</v>
      </c>
      <c r="BL59" s="9" t="n">
        <v>4</v>
      </c>
      <c r="BM59" s="11" t="n">
        <f aca="false">(BI59+BJ59+BK59+BL59)/4</f>
        <v>3.75</v>
      </c>
      <c r="BN59" s="11" t="n">
        <f aca="false">(BI59/AR59)</f>
        <v>0.4</v>
      </c>
      <c r="BO59" s="11" t="n">
        <f aca="false">(BJ59/AS59)</f>
        <v>0.133333333333333</v>
      </c>
      <c r="BP59" s="11" t="n">
        <f aca="false">(BK59/AT59)</f>
        <v>0.0769230769230769</v>
      </c>
      <c r="BQ59" s="11" t="n">
        <f aca="false">(BL59/AU59)</f>
        <v>0.0930232558139535</v>
      </c>
      <c r="BR59" s="11" t="n">
        <f aca="false">(BM59/AV59)</f>
        <v>0.133928571428571</v>
      </c>
      <c r="BS59" s="11" t="n">
        <f aca="false">(100*BR59)</f>
        <v>13.3928571428571</v>
      </c>
      <c r="BT59" s="9" t="n">
        <v>2</v>
      </c>
      <c r="BU59" s="9" t="n">
        <v>0</v>
      </c>
      <c r="BV59" s="9" t="n">
        <v>0</v>
      </c>
      <c r="BW59" s="9" t="n">
        <v>1</v>
      </c>
      <c r="BX59" s="9" t="n">
        <v>1</v>
      </c>
      <c r="BY59" s="11" t="n">
        <f aca="false">(BU59+BV59+BW59+BX59)/4</f>
        <v>0.5</v>
      </c>
      <c r="BZ59" s="11" t="n">
        <f aca="false">(BU59/AR59)</f>
        <v>0</v>
      </c>
      <c r="CA59" s="11" t="n">
        <f aca="false">(BV59/AS59)</f>
        <v>0</v>
      </c>
      <c r="CB59" s="11" t="n">
        <f aca="false">(BW59/AT59)</f>
        <v>0.0256410256410256</v>
      </c>
      <c r="CC59" s="11" t="n">
        <f aca="false">(BX59/AU59)</f>
        <v>0.0232558139534884</v>
      </c>
      <c r="CD59" s="11" t="n">
        <f aca="false">(BY59/AV59)</f>
        <v>0.0178571428571429</v>
      </c>
      <c r="CE59" s="11" t="n">
        <f aca="false">(100*CD59)</f>
        <v>1.78571428571429</v>
      </c>
      <c r="CF59" s="9" t="n">
        <v>1</v>
      </c>
      <c r="CG59" s="9" t="n">
        <v>2</v>
      </c>
      <c r="CH59" s="9" t="n">
        <v>1</v>
      </c>
      <c r="CI59" s="9" t="n">
        <v>2</v>
      </c>
      <c r="CJ59" s="9" t="n">
        <v>3</v>
      </c>
      <c r="CK59" s="11" t="n">
        <f aca="false">(CG59+CH59+CI59+CJ59)/4</f>
        <v>2</v>
      </c>
      <c r="CL59" s="11" t="n">
        <f aca="false">(CG59/AM59)</f>
        <v>0.08</v>
      </c>
      <c r="CM59" s="11" t="n">
        <f aca="false">(CH59/AN59)</f>
        <v>0.027027027027027</v>
      </c>
      <c r="CN59" s="11" t="n">
        <f aca="false">(CI59/AO59)</f>
        <v>0.027027027027027</v>
      </c>
      <c r="CO59" s="9" t="n">
        <f aca="false">(CJ59/AP59)</f>
        <v>0.09375</v>
      </c>
      <c r="CP59" s="9" t="n">
        <f aca="false">(CK59/AQ59)</f>
        <v>0.0476190476190476</v>
      </c>
      <c r="CQ59" s="9" t="n">
        <f aca="false">(100*CP59)</f>
        <v>4.76190476190476</v>
      </c>
      <c r="CR59" s="18" t="n">
        <v>1</v>
      </c>
      <c r="CS59" s="9" t="n">
        <v>40.4</v>
      </c>
      <c r="CT59" s="9" t="n">
        <v>61.3</v>
      </c>
      <c r="CU59" s="9" t="n">
        <v>68.5</v>
      </c>
      <c r="CV59" s="9" t="n">
        <v>64.5</v>
      </c>
      <c r="CW59" s="11" t="n">
        <f aca="false">(CS59+CT59+CU59+CV59)/4</f>
        <v>58.675</v>
      </c>
      <c r="CX59" s="9" t="n">
        <v>0</v>
      </c>
      <c r="CY59" s="9" t="n">
        <v>0</v>
      </c>
      <c r="CZ59" s="9" t="n">
        <v>0</v>
      </c>
      <c r="DA59" s="9" t="n">
        <v>0</v>
      </c>
      <c r="DB59" s="11" t="n">
        <f aca="false">(CX59+CY59+CZ59+DA59)/4</f>
        <v>0</v>
      </c>
      <c r="DC59" s="9" t="n">
        <v>1</v>
      </c>
      <c r="DD59" s="9" t="n">
        <v>1</v>
      </c>
      <c r="DE59" s="9" t="n">
        <v>1</v>
      </c>
      <c r="DF59" s="9" t="n">
        <v>1</v>
      </c>
      <c r="DG59" s="11" t="n">
        <f aca="false">(DC59+DD59+DE59+DF59)/4</f>
        <v>1</v>
      </c>
      <c r="DH59" s="9" t="n">
        <v>1</v>
      </c>
      <c r="DI59" s="9" t="n">
        <v>0</v>
      </c>
      <c r="DJ59" s="9" t="n">
        <v>1</v>
      </c>
      <c r="DK59" s="9" t="n">
        <v>0</v>
      </c>
      <c r="DL59" s="11" t="n">
        <f aca="false">(DH59+DI59+DJ59+DK59)/4</f>
        <v>0.5</v>
      </c>
      <c r="DM59" s="9" t="n">
        <v>86</v>
      </c>
      <c r="DN59" s="9" t="n">
        <v>48</v>
      </c>
      <c r="DO59" s="9" t="n">
        <v>23</v>
      </c>
      <c r="DP59" s="9" t="n">
        <v>24</v>
      </c>
      <c r="DQ59" s="11" t="n">
        <f aca="false">(DM59+DN59+DO59+DP59)/4</f>
        <v>45.25</v>
      </c>
      <c r="DR59" s="9" t="n">
        <v>21</v>
      </c>
      <c r="DS59" s="9" t="n">
        <v>27</v>
      </c>
      <c r="DT59" s="9" t="n">
        <v>19</v>
      </c>
      <c r="DU59" s="9" t="n">
        <v>15</v>
      </c>
      <c r="DV59" s="11" t="n">
        <f aca="false">(DR59+DS59+DT59+DU59)/4</f>
        <v>20.5</v>
      </c>
      <c r="DW59" s="9" t="n">
        <v>0</v>
      </c>
      <c r="DX59" s="9" t="n">
        <v>0</v>
      </c>
      <c r="DY59" s="9" t="n">
        <v>0</v>
      </c>
      <c r="DZ59" s="9" t="n">
        <v>0</v>
      </c>
      <c r="EA59" s="11" t="n">
        <f aca="false">(DW59+DX59+DY59+DZ59)/4</f>
        <v>0</v>
      </c>
      <c r="EB59" s="11" t="n">
        <f aca="false">(DW59/DR59)</f>
        <v>0</v>
      </c>
      <c r="EC59" s="11" t="n">
        <f aca="false">(DX59/DS59)</f>
        <v>0</v>
      </c>
      <c r="ED59" s="11" t="n">
        <f aca="false">(DY59/DT59)</f>
        <v>0</v>
      </c>
      <c r="EE59" s="11" t="n">
        <f aca="false">(DZ59/DU59)</f>
        <v>0</v>
      </c>
      <c r="EF59" s="11" t="n">
        <f aca="false">(EA59/DV59)</f>
        <v>0</v>
      </c>
      <c r="EG59" s="11" t="n">
        <f aca="false">(100*EF59)</f>
        <v>0</v>
      </c>
      <c r="EH59" s="9" t="n">
        <v>0</v>
      </c>
      <c r="EI59" s="9" t="n">
        <v>3</v>
      </c>
      <c r="EJ59" s="9" t="n">
        <v>2</v>
      </c>
      <c r="EK59" s="19" t="n">
        <v>9</v>
      </c>
      <c r="EL59" s="9" t="n">
        <v>8</v>
      </c>
      <c r="EM59" s="9" t="n">
        <f aca="false">(EI59+EJ59+EK59+EL59)/4</f>
        <v>5.5</v>
      </c>
      <c r="EN59" s="9" t="n">
        <f aca="false">(EI59/DR59)</f>
        <v>0.142857142857143</v>
      </c>
      <c r="EO59" s="9" t="n">
        <f aca="false">(EJ59/DS59)</f>
        <v>0.0740740740740741</v>
      </c>
      <c r="EP59" s="9" t="n">
        <f aca="false">(EK59/DT59)</f>
        <v>0.473684210526316</v>
      </c>
      <c r="EQ59" s="9" t="n">
        <f aca="false">(EL59/DU59)</f>
        <v>0.533333333333333</v>
      </c>
      <c r="ER59" s="9" t="n">
        <f aca="false">EM59/DV59</f>
        <v>0.268292682926829</v>
      </c>
      <c r="ES59" s="9" t="n">
        <f aca="false">(100*ER59)</f>
        <v>26.8292682926829</v>
      </c>
      <c r="ET59" s="9" t="n">
        <v>2</v>
      </c>
      <c r="EU59" s="18" t="n">
        <v>0</v>
      </c>
      <c r="EV59" s="9" t="n">
        <v>0</v>
      </c>
      <c r="EW59" s="9" t="n">
        <v>2</v>
      </c>
      <c r="EX59" s="9" t="n">
        <v>0</v>
      </c>
      <c r="EY59" s="11" t="n">
        <f aca="false">(EU59+EV59+EW59+EX59)/4</f>
        <v>0.5</v>
      </c>
      <c r="EZ59" s="11" t="n">
        <f aca="false">(EU59/DR59)</f>
        <v>0</v>
      </c>
      <c r="FA59" s="11" t="n">
        <f aca="false">(EV59/DS59)</f>
        <v>0</v>
      </c>
      <c r="FB59" s="11" t="n">
        <f aca="false">(EW59/DT59)</f>
        <v>0.105263157894737</v>
      </c>
      <c r="FC59" s="11" t="n">
        <f aca="false">(EX59/DU59)</f>
        <v>0</v>
      </c>
      <c r="FD59" s="11" t="n">
        <f aca="false">(EY59/DV59)</f>
        <v>0.024390243902439</v>
      </c>
      <c r="FE59" s="11" t="n">
        <f aca="false">(100*FD59)</f>
        <v>2.4390243902439</v>
      </c>
      <c r="FF59" s="9" t="n">
        <v>1</v>
      </c>
      <c r="FG59" s="9" t="n">
        <v>2</v>
      </c>
      <c r="FH59" s="9" t="n">
        <v>0</v>
      </c>
      <c r="FI59" s="9" t="n">
        <v>0</v>
      </c>
      <c r="FJ59" s="9" t="n">
        <v>0</v>
      </c>
      <c r="FK59" s="11" t="n">
        <f aca="false">(FG59+FH59+FI59+FJ59)/4</f>
        <v>0.5</v>
      </c>
      <c r="FL59" s="11" t="n">
        <f aca="false">(FG59/DR59)</f>
        <v>0.0952380952380952</v>
      </c>
      <c r="FM59" s="11" t="n">
        <f aca="false">(FH59/DS59)</f>
        <v>0</v>
      </c>
      <c r="FN59" s="11" t="n">
        <f aca="false">(FI59/DT59)</f>
        <v>0</v>
      </c>
      <c r="FO59" s="11" t="n">
        <f aca="false">(FJ59/DU59)</f>
        <v>0</v>
      </c>
      <c r="FP59" s="11" t="n">
        <f aca="false">(FK59/DV59)</f>
        <v>0.024390243902439</v>
      </c>
      <c r="FQ59" s="11" t="n">
        <f aca="false">(100*FP59)</f>
        <v>2.4390243902439</v>
      </c>
      <c r="FR59" s="9" t="n">
        <v>1</v>
      </c>
      <c r="FS59" s="9" t="n">
        <v>70.8</v>
      </c>
      <c r="FT59" s="9" t="n">
        <v>58.2</v>
      </c>
      <c r="FU59" s="9" t="n">
        <v>56.7</v>
      </c>
      <c r="FV59" s="9" t="n">
        <v>80.3</v>
      </c>
      <c r="FW59" s="11" t="n">
        <f aca="false">(FS59+FT59+FU59+FV59)/4</f>
        <v>66.5</v>
      </c>
      <c r="FX59" s="9" t="n">
        <v>0</v>
      </c>
      <c r="FY59" s="9" t="n">
        <v>0</v>
      </c>
      <c r="FZ59" s="9" t="n">
        <v>0</v>
      </c>
      <c r="GA59" s="9" t="n">
        <v>0</v>
      </c>
      <c r="GB59" s="11" t="n">
        <f aca="false">(FX59+FY59+FZ59+GA59)/4</f>
        <v>0</v>
      </c>
      <c r="GC59" s="9" t="n">
        <v>1</v>
      </c>
      <c r="GD59" s="9" t="n">
        <v>1</v>
      </c>
      <c r="GE59" s="9" t="n">
        <v>1</v>
      </c>
      <c r="GF59" s="9" t="n">
        <v>1</v>
      </c>
      <c r="GG59" s="11" t="n">
        <f aca="false">(GC59+GD59+GE59+GF59)/4</f>
        <v>1</v>
      </c>
      <c r="GH59" s="9" t="n">
        <v>1</v>
      </c>
      <c r="GI59" s="9" t="n">
        <v>1</v>
      </c>
      <c r="GJ59" s="9" t="n">
        <v>0</v>
      </c>
      <c r="GK59" s="9" t="n">
        <v>1</v>
      </c>
      <c r="GL59" s="11" t="n">
        <f aca="false">(GH59+GI59+GJ59+GK59)/4</f>
        <v>0.75</v>
      </c>
      <c r="GM59" s="9" t="n">
        <v>23</v>
      </c>
      <c r="GN59" s="9" t="n">
        <v>26</v>
      </c>
      <c r="GO59" s="9" t="n">
        <v>30</v>
      </c>
      <c r="GP59" s="9" t="n">
        <v>16</v>
      </c>
      <c r="GQ59" s="11" t="n">
        <f aca="false">(GM59+GN59+GO59+GP59)/4</f>
        <v>23.75</v>
      </c>
      <c r="GR59" s="9" t="n">
        <v>13</v>
      </c>
      <c r="GS59" s="9" t="n">
        <v>15</v>
      </c>
      <c r="GT59" s="9" t="n">
        <v>22</v>
      </c>
      <c r="GU59" s="9" t="n">
        <v>15</v>
      </c>
      <c r="GV59" s="11" t="n">
        <f aca="false">(GR59+GS59+GT59+GU59)/4</f>
        <v>16.25</v>
      </c>
      <c r="GW59" s="9" t="n">
        <v>0</v>
      </c>
      <c r="GX59" s="9" t="n">
        <v>0</v>
      </c>
      <c r="GY59" s="9" t="n">
        <v>0</v>
      </c>
      <c r="GZ59" s="9" t="n">
        <v>0</v>
      </c>
      <c r="HA59" s="11" t="n">
        <f aca="false">(GW59+GX59+GY59+GZ59)/4</f>
        <v>0</v>
      </c>
      <c r="HB59" s="9" t="n">
        <f aca="false">(GW59/GR59)</f>
        <v>0</v>
      </c>
      <c r="HC59" s="9" t="n">
        <f aca="false">(GX59/GS59)</f>
        <v>0</v>
      </c>
      <c r="HD59" s="9" t="n">
        <f aca="false">(GY59/GT59)</f>
        <v>0</v>
      </c>
      <c r="HE59" s="9" t="n">
        <f aca="false">(GZ59/GU59)/4</f>
        <v>0</v>
      </c>
      <c r="HF59" s="9" t="n">
        <f aca="false">(HB59+HC59+HD59+HE59)/4</f>
        <v>0</v>
      </c>
      <c r="HG59" s="9" t="n">
        <f aca="false">(100*HF59)</f>
        <v>0</v>
      </c>
      <c r="HH59" s="18" t="n">
        <v>0</v>
      </c>
      <c r="HI59" s="9" t="n">
        <v>4</v>
      </c>
      <c r="HJ59" s="9" t="n">
        <v>8</v>
      </c>
      <c r="HK59" s="9" t="n">
        <v>2</v>
      </c>
      <c r="HL59" s="19" t="n">
        <v>2</v>
      </c>
      <c r="HM59" s="9" t="n">
        <f aca="false">(HI59+HJ59+HK59+HL59)/4</f>
        <v>4</v>
      </c>
      <c r="HN59" s="9" t="n">
        <f aca="false">(HI59/GR59)</f>
        <v>0.307692307692308</v>
      </c>
      <c r="HO59" s="9" t="n">
        <f aca="false">(HJ59/GS59)</f>
        <v>0.533333333333333</v>
      </c>
      <c r="HP59" s="9" t="n">
        <f aca="false">(HK59/GT59)</f>
        <v>0.0909090909090909</v>
      </c>
      <c r="HQ59" s="9" t="n">
        <f aca="false">(HL59/GU59)</f>
        <v>0.133333333333333</v>
      </c>
      <c r="HR59" s="9" t="n">
        <f aca="false">(HM59/GV59)</f>
        <v>0.246153846153846</v>
      </c>
      <c r="HS59" s="9" t="n">
        <f aca="false">(100*HR59)</f>
        <v>24.6153846153846</v>
      </c>
      <c r="HT59" s="18" t="n">
        <v>2</v>
      </c>
      <c r="HU59" s="9" t="n">
        <v>1</v>
      </c>
      <c r="HV59" s="9" t="n">
        <v>8</v>
      </c>
      <c r="HW59" s="9" t="n">
        <v>0</v>
      </c>
      <c r="HX59" s="19" t="n">
        <v>2</v>
      </c>
      <c r="HY59" s="9" t="n">
        <f aca="false">(HU59+HV59+HW59+HX59)/4</f>
        <v>2.75</v>
      </c>
      <c r="HZ59" s="9" t="n">
        <f aca="false">(HU59/GR59)</f>
        <v>0.0769230769230769</v>
      </c>
      <c r="IA59" s="9" t="n">
        <f aca="false">HV59/GS59</f>
        <v>0.533333333333333</v>
      </c>
      <c r="IB59" s="9" t="n">
        <f aca="false">(HW59/GT59)</f>
        <v>0</v>
      </c>
      <c r="IC59" s="9" t="n">
        <f aca="false">(HX59/GU59)</f>
        <v>0.133333333333333</v>
      </c>
      <c r="ID59" s="9" t="n">
        <f aca="false">(HY59/GV59)</f>
        <v>0.169230769230769</v>
      </c>
      <c r="IE59" s="9" t="n">
        <f aca="false">(100*ID59)</f>
        <v>16.9230769230769</v>
      </c>
      <c r="IF59" s="18" t="n">
        <v>2</v>
      </c>
      <c r="IG59" s="9" t="n">
        <v>0</v>
      </c>
      <c r="IH59" s="9" t="n">
        <v>3</v>
      </c>
      <c r="II59" s="19" t="n">
        <v>0</v>
      </c>
      <c r="IJ59" s="9" t="n">
        <v>0</v>
      </c>
      <c r="IK59" s="9" t="n">
        <f aca="false">(IG59+IH59+II59+IJ59)/4</f>
        <v>0.75</v>
      </c>
      <c r="IL59" s="9" t="n">
        <f aca="false">(IG59/GM59)</f>
        <v>0</v>
      </c>
      <c r="IM59" s="9" t="n">
        <f aca="false">(IH59/GN59)</f>
        <v>0.115384615384615</v>
      </c>
      <c r="IN59" s="9" t="n">
        <f aca="false">(II59/GO59)</f>
        <v>0</v>
      </c>
      <c r="IO59" s="9" t="n">
        <f aca="false">(IJ59/GP59)</f>
        <v>0</v>
      </c>
      <c r="IP59" s="9" t="n">
        <f aca="false">(IK59/GQ59)</f>
        <v>0.0315789473684211</v>
      </c>
      <c r="IQ59" s="9" t="n">
        <f aca="false">(100*IP59)</f>
        <v>3.15789473684211</v>
      </c>
      <c r="IR59" s="18" t="n">
        <v>1</v>
      </c>
      <c r="IS59" s="9" t="n">
        <v>60.3</v>
      </c>
      <c r="IT59" s="9" t="n">
        <v>62.3</v>
      </c>
      <c r="IU59" s="19" t="n">
        <v>58.4</v>
      </c>
      <c r="IV59" s="9" t="n">
        <v>61.7</v>
      </c>
      <c r="IW59" s="9" t="n">
        <f aca="false">(IS59+IT59+IU59+IV59)/4</f>
        <v>60.675</v>
      </c>
      <c r="IX59" s="16" t="n">
        <v>45241</v>
      </c>
      <c r="IY59" s="10" t="s">
        <v>268</v>
      </c>
    </row>
    <row r="60" customFormat="false" ht="15.75" hidden="false" customHeight="true" outlineLevel="0" collapsed="false">
      <c r="A60" s="9" t="s">
        <v>259</v>
      </c>
      <c r="B60" s="10" t="s">
        <v>406</v>
      </c>
      <c r="C60" s="10" t="s">
        <v>400</v>
      </c>
      <c r="D60" s="9" t="n">
        <v>2</v>
      </c>
      <c r="E60" s="9" t="n">
        <v>20</v>
      </c>
      <c r="F60" s="10" t="s">
        <v>410</v>
      </c>
      <c r="G60" s="10" t="s">
        <v>291</v>
      </c>
      <c r="H60" s="9" t="n">
        <v>21</v>
      </c>
      <c r="I60" s="9" t="n">
        <v>11</v>
      </c>
      <c r="J60" s="12" t="s">
        <v>270</v>
      </c>
      <c r="K60" s="20"/>
      <c r="L60" s="20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 t="n">
        <v>0</v>
      </c>
      <c r="Y60" s="9" t="n">
        <v>0</v>
      </c>
      <c r="Z60" s="9" t="n">
        <v>0</v>
      </c>
      <c r="AA60" s="9" t="n">
        <v>0</v>
      </c>
      <c r="AB60" s="11" t="n">
        <f aca="false">(X60+Y60+Z60+AA60)/4</f>
        <v>0</v>
      </c>
      <c r="AC60" s="9" t="n">
        <v>1</v>
      </c>
      <c r="AD60" s="9" t="n">
        <v>1</v>
      </c>
      <c r="AE60" s="9" t="n">
        <v>1</v>
      </c>
      <c r="AF60" s="9" t="n">
        <v>1</v>
      </c>
      <c r="AG60" s="11" t="n">
        <f aca="false">(AC60+AD60+AE60+AF60)/4</f>
        <v>1</v>
      </c>
      <c r="AH60" s="9" t="n">
        <v>1</v>
      </c>
      <c r="AI60" s="9" t="n">
        <v>1</v>
      </c>
      <c r="AJ60" s="9" t="n">
        <v>1</v>
      </c>
      <c r="AK60" s="9" t="n">
        <v>1</v>
      </c>
      <c r="AL60" s="11" t="n">
        <f aca="false">(AH60+AI60+AJ60+AK60)/4</f>
        <v>1</v>
      </c>
      <c r="AM60" s="9" t="n">
        <v>34</v>
      </c>
      <c r="AN60" s="9" t="n">
        <v>60</v>
      </c>
      <c r="AO60" s="9" t="n">
        <v>44</v>
      </c>
      <c r="AP60" s="9" t="n">
        <v>62</v>
      </c>
      <c r="AQ60" s="11" t="n">
        <f aca="false">(AM60+AN60+AO60+AP60)/4</f>
        <v>50</v>
      </c>
      <c r="AR60" s="9" t="n">
        <v>38</v>
      </c>
      <c r="AS60" s="9" t="n">
        <v>11</v>
      </c>
      <c r="AT60" s="9" t="n">
        <v>34</v>
      </c>
      <c r="AU60" s="9" t="n">
        <v>32</v>
      </c>
      <c r="AV60" s="11" t="n">
        <f aca="false">(AR60+AS60+AT60+AU60)/4</f>
        <v>28.75</v>
      </c>
      <c r="AW60" s="9" t="n">
        <v>0</v>
      </c>
      <c r="AX60" s="9" t="n">
        <v>0</v>
      </c>
      <c r="AY60" s="9" t="n">
        <v>0</v>
      </c>
      <c r="AZ60" s="9" t="n">
        <v>0</v>
      </c>
      <c r="BA60" s="11" t="n">
        <f aca="false">(AW60+AX60+AY60+AZ60)/4</f>
        <v>0</v>
      </c>
      <c r="BB60" s="11" t="n">
        <f aca="false">(AW60/AR60)</f>
        <v>0</v>
      </c>
      <c r="BC60" s="11" t="n">
        <f aca="false">(AX60/AS60)</f>
        <v>0</v>
      </c>
      <c r="BD60" s="11" t="n">
        <f aca="false">(AY60/AT60)</f>
        <v>0</v>
      </c>
      <c r="BE60" s="11" t="n">
        <f aca="false">(AZ60/AU60)</f>
        <v>0</v>
      </c>
      <c r="BF60" s="11" t="n">
        <f aca="false">(BA60/AV60)</f>
        <v>0</v>
      </c>
      <c r="BG60" s="11" t="n">
        <f aca="false">(BF60*100)</f>
        <v>0</v>
      </c>
      <c r="BH60" s="9" t="n">
        <v>0</v>
      </c>
      <c r="BI60" s="9" t="n">
        <v>5</v>
      </c>
      <c r="BJ60" s="9" t="n">
        <v>5</v>
      </c>
      <c r="BK60" s="9" t="n">
        <v>6</v>
      </c>
      <c r="BL60" s="9" t="n">
        <v>6</v>
      </c>
      <c r="BM60" s="11" t="n">
        <f aca="false">(BI60+BJ60+BK60+BL60)/4</f>
        <v>5.5</v>
      </c>
      <c r="BN60" s="11" t="n">
        <f aca="false">(BI60/AR60)</f>
        <v>0.131578947368421</v>
      </c>
      <c r="BO60" s="11" t="n">
        <f aca="false">(BJ60/AS60)</f>
        <v>0.454545454545455</v>
      </c>
      <c r="BP60" s="11" t="n">
        <f aca="false">(BK60/AT60)</f>
        <v>0.176470588235294</v>
      </c>
      <c r="BQ60" s="11" t="n">
        <f aca="false">(BL60/AU60)</f>
        <v>0.1875</v>
      </c>
      <c r="BR60" s="11" t="n">
        <f aca="false">(BM60/AV60)</f>
        <v>0.191304347826087</v>
      </c>
      <c r="BS60" s="11" t="n">
        <f aca="false">(100*BR60)</f>
        <v>19.1304347826087</v>
      </c>
      <c r="BT60" s="9" t="n">
        <v>2</v>
      </c>
      <c r="BU60" s="9" t="n">
        <v>0</v>
      </c>
      <c r="BV60" s="9" t="n">
        <v>0</v>
      </c>
      <c r="BW60" s="9" t="n">
        <v>3</v>
      </c>
      <c r="BX60" s="9" t="n">
        <v>8</v>
      </c>
      <c r="BY60" s="11" t="n">
        <f aca="false">(BU60+BV60+BW60+BX60)/4</f>
        <v>2.75</v>
      </c>
      <c r="BZ60" s="11" t="n">
        <f aca="false">(BU60/AR60)</f>
        <v>0</v>
      </c>
      <c r="CA60" s="11" t="n">
        <f aca="false">(BV60/AS60)</f>
        <v>0</v>
      </c>
      <c r="CB60" s="11" t="n">
        <f aca="false">(BW60/AT60)</f>
        <v>0.0882352941176471</v>
      </c>
      <c r="CC60" s="11" t="n">
        <f aca="false">(BX60/AU60)</f>
        <v>0.25</v>
      </c>
      <c r="CD60" s="11" t="n">
        <f aca="false">(BY60/AV60)</f>
        <v>0.0956521739130435</v>
      </c>
      <c r="CE60" s="11" t="n">
        <f aca="false">(100*CD60)</f>
        <v>9.56521739130435</v>
      </c>
      <c r="CF60" s="9" t="n">
        <v>1</v>
      </c>
      <c r="CG60" s="9" t="n">
        <v>2</v>
      </c>
      <c r="CH60" s="9" t="n">
        <v>2</v>
      </c>
      <c r="CI60" s="9" t="n">
        <v>2</v>
      </c>
      <c r="CJ60" s="9" t="n">
        <v>18</v>
      </c>
      <c r="CK60" s="11" t="n">
        <f aca="false">(CG60+CH60+CI60+CJ60)/4</f>
        <v>6</v>
      </c>
      <c r="CL60" s="11" t="n">
        <f aca="false">(CG60/AM60)</f>
        <v>0.0588235294117647</v>
      </c>
      <c r="CM60" s="11" t="n">
        <f aca="false">(CH60/AN60)</f>
        <v>0.0333333333333333</v>
      </c>
      <c r="CN60" s="11" t="n">
        <f aca="false">(CI60/AO60)</f>
        <v>0.0454545454545455</v>
      </c>
      <c r="CO60" s="9" t="n">
        <f aca="false">(CJ60/AP60)</f>
        <v>0.290322580645161</v>
      </c>
      <c r="CP60" s="9" t="n">
        <f aca="false">(CK60/AQ60)</f>
        <v>0.12</v>
      </c>
      <c r="CQ60" s="9" t="n">
        <f aca="false">(100*CP60)</f>
        <v>12</v>
      </c>
      <c r="CR60" s="18" t="n">
        <v>2</v>
      </c>
      <c r="CS60" s="9" t="n">
        <v>69.7</v>
      </c>
      <c r="CT60" s="9" t="n">
        <v>84.5</v>
      </c>
      <c r="CU60" s="9" t="n">
        <v>89.7</v>
      </c>
      <c r="CV60" s="9" t="n">
        <v>62.3</v>
      </c>
      <c r="CW60" s="11" t="n">
        <f aca="false">(CS60+CT60+CU60+CV60)/4</f>
        <v>76.55</v>
      </c>
      <c r="CX60" s="9" t="n">
        <v>0</v>
      </c>
      <c r="CY60" s="9" t="n">
        <v>0</v>
      </c>
      <c r="CZ60" s="9" t="n">
        <v>0</v>
      </c>
      <c r="DA60" s="9" t="n">
        <v>0</v>
      </c>
      <c r="DB60" s="11" t="n">
        <f aca="false">(CX60+CY60+CZ60+DA60)/4</f>
        <v>0</v>
      </c>
      <c r="DC60" s="9" t="n">
        <v>1</v>
      </c>
      <c r="DD60" s="9" t="n">
        <v>1</v>
      </c>
      <c r="DE60" s="9" t="n">
        <v>1</v>
      </c>
      <c r="DF60" s="9" t="n">
        <v>1</v>
      </c>
      <c r="DG60" s="11" t="n">
        <f aca="false">(DC60+DD60+DE60+DF60)/4</f>
        <v>1</v>
      </c>
      <c r="DH60" s="9" t="n">
        <v>1</v>
      </c>
      <c r="DI60" s="9" t="n">
        <v>1</v>
      </c>
      <c r="DJ60" s="9" t="n">
        <v>1</v>
      </c>
      <c r="DK60" s="9" t="n">
        <v>0</v>
      </c>
      <c r="DL60" s="11" t="n">
        <f aca="false">(DH60+DI60+DJ60+DK60)/4</f>
        <v>0.75</v>
      </c>
      <c r="DM60" s="9" t="n">
        <v>50</v>
      </c>
      <c r="DN60" s="9" t="n">
        <v>60</v>
      </c>
      <c r="DO60" s="9" t="n">
        <v>90</v>
      </c>
      <c r="DP60" s="9" t="n">
        <v>56</v>
      </c>
      <c r="DQ60" s="11" t="n">
        <f aca="false">(DM60+DN60+DO60+DP60)/4</f>
        <v>64</v>
      </c>
      <c r="DR60" s="9" t="n">
        <v>38</v>
      </c>
      <c r="DS60" s="9" t="n">
        <v>11</v>
      </c>
      <c r="DT60" s="9" t="n">
        <v>10</v>
      </c>
      <c r="DU60" s="9" t="n">
        <v>10</v>
      </c>
      <c r="DV60" s="11" t="n">
        <f aca="false">(DR60+DS60+DT60+DU60)/4</f>
        <v>17.25</v>
      </c>
      <c r="DW60" s="9" t="n">
        <v>0</v>
      </c>
      <c r="DX60" s="9" t="n">
        <v>0</v>
      </c>
      <c r="DY60" s="9" t="n">
        <v>0</v>
      </c>
      <c r="DZ60" s="9" t="n">
        <v>0</v>
      </c>
      <c r="EA60" s="11" t="n">
        <f aca="false">(DW60+DX60+DY60+DZ60)/4</f>
        <v>0</v>
      </c>
      <c r="EB60" s="11" t="n">
        <f aca="false">(DW60/DR60)</f>
        <v>0</v>
      </c>
      <c r="EC60" s="11" t="n">
        <f aca="false">(DX60/DS60)</f>
        <v>0</v>
      </c>
      <c r="ED60" s="11" t="n">
        <f aca="false">(DY60/DT60)</f>
        <v>0</v>
      </c>
      <c r="EE60" s="11" t="n">
        <f aca="false">(DZ60/DU60)</f>
        <v>0</v>
      </c>
      <c r="EF60" s="11" t="n">
        <f aca="false">(EA60/DV60)</f>
        <v>0</v>
      </c>
      <c r="EG60" s="11" t="n">
        <f aca="false">(100*EF60)</f>
        <v>0</v>
      </c>
      <c r="EH60" s="9" t="n">
        <v>0</v>
      </c>
      <c r="EI60" s="9" t="n">
        <v>4</v>
      </c>
      <c r="EJ60" s="9" t="n">
        <v>3</v>
      </c>
      <c r="EK60" s="19" t="n">
        <v>6</v>
      </c>
      <c r="EL60" s="9" t="n">
        <v>2</v>
      </c>
      <c r="EM60" s="9" t="n">
        <f aca="false">(EI60+EJ60+EK60+EL60)/4</f>
        <v>3.75</v>
      </c>
      <c r="EN60" s="9" t="n">
        <f aca="false">(EI60/DR60)</f>
        <v>0.105263157894737</v>
      </c>
      <c r="EO60" s="9" t="n">
        <f aca="false">(EJ60/DS60)</f>
        <v>0.272727272727273</v>
      </c>
      <c r="EP60" s="9" t="n">
        <f aca="false">(EK60/DT60)</f>
        <v>0.6</v>
      </c>
      <c r="EQ60" s="9" t="n">
        <f aca="false">(EL60/DU60)</f>
        <v>0.2</v>
      </c>
      <c r="ER60" s="9" t="n">
        <f aca="false">EM60/DV60</f>
        <v>0.217391304347826</v>
      </c>
      <c r="ES60" s="9" t="n">
        <f aca="false">(100*ER60)</f>
        <v>21.7391304347826</v>
      </c>
      <c r="ET60" s="9" t="n">
        <v>2</v>
      </c>
      <c r="EU60" s="18" t="n">
        <v>1</v>
      </c>
      <c r="EV60" s="9" t="n">
        <v>1</v>
      </c>
      <c r="EW60" s="9" t="n">
        <v>1</v>
      </c>
      <c r="EX60" s="9" t="n">
        <v>0</v>
      </c>
      <c r="EY60" s="11" t="n">
        <f aca="false">(EU60+EV60+EW60+EX60)/4</f>
        <v>0.75</v>
      </c>
      <c r="EZ60" s="11" t="n">
        <f aca="false">(EU60/DR60)</f>
        <v>0.0263157894736842</v>
      </c>
      <c r="FA60" s="11" t="n">
        <f aca="false">(EV60/DS60)</f>
        <v>0.0909090909090909</v>
      </c>
      <c r="FB60" s="11" t="n">
        <f aca="false">(EW60/DT60)</f>
        <v>0.1</v>
      </c>
      <c r="FC60" s="11" t="n">
        <f aca="false">(EX60/DU60)</f>
        <v>0</v>
      </c>
      <c r="FD60" s="11" t="n">
        <f aca="false">(EY60/DV60)</f>
        <v>0.0434782608695652</v>
      </c>
      <c r="FE60" s="11" t="n">
        <f aca="false">(100*FD60)</f>
        <v>4.34782608695652</v>
      </c>
      <c r="FF60" s="9" t="n">
        <v>1</v>
      </c>
      <c r="FG60" s="9" t="n">
        <v>4</v>
      </c>
      <c r="FH60" s="9" t="n">
        <v>3</v>
      </c>
      <c r="FI60" s="9" t="n">
        <v>2</v>
      </c>
      <c r="FJ60" s="9" t="n">
        <v>0</v>
      </c>
      <c r="FK60" s="11" t="n">
        <f aca="false">(FG60+FH60+FI60+FJ60)/4</f>
        <v>2.25</v>
      </c>
      <c r="FL60" s="11" t="n">
        <f aca="false">(FG60/DR60)</f>
        <v>0.105263157894737</v>
      </c>
      <c r="FM60" s="11" t="n">
        <f aca="false">(FH60/DS60)</f>
        <v>0.272727272727273</v>
      </c>
      <c r="FN60" s="11" t="n">
        <f aca="false">(FI60/DT60)</f>
        <v>0.2</v>
      </c>
      <c r="FO60" s="11" t="n">
        <f aca="false">(FJ60/DU60)</f>
        <v>0</v>
      </c>
      <c r="FP60" s="11" t="n">
        <f aca="false">(FK60/DV60)</f>
        <v>0.130434782608696</v>
      </c>
      <c r="FQ60" s="11" t="n">
        <f aca="false">(100*FP60)</f>
        <v>13.0434782608696</v>
      </c>
      <c r="FR60" s="9" t="n">
        <v>2</v>
      </c>
      <c r="FS60" s="9" t="n">
        <v>52.7</v>
      </c>
      <c r="FT60" s="9" t="n">
        <v>82.6</v>
      </c>
      <c r="FU60" s="9" t="n">
        <v>77.4</v>
      </c>
      <c r="FV60" s="9" t="n">
        <v>50.4</v>
      </c>
      <c r="FW60" s="11" t="n">
        <f aca="false">(FS60+FT60+FU60+FV60)/4</f>
        <v>65.775</v>
      </c>
      <c r="FX60" s="9" t="n">
        <v>0</v>
      </c>
      <c r="FY60" s="9" t="n">
        <v>0</v>
      </c>
      <c r="FZ60" s="9" t="n">
        <v>0</v>
      </c>
      <c r="GA60" s="9" t="n">
        <v>0</v>
      </c>
      <c r="GB60" s="11" t="n">
        <f aca="false">(FX60+FY60+FZ60+GA60)/4</f>
        <v>0</v>
      </c>
      <c r="GC60" s="9" t="n">
        <v>1</v>
      </c>
      <c r="GD60" s="9" t="n">
        <v>1</v>
      </c>
      <c r="GE60" s="9" t="n">
        <v>1</v>
      </c>
      <c r="GF60" s="9" t="n">
        <v>1</v>
      </c>
      <c r="GG60" s="11" t="n">
        <f aca="false">(GC60+GD60+GE60+GF60)/4</f>
        <v>1</v>
      </c>
      <c r="GH60" s="9" t="n">
        <v>1</v>
      </c>
      <c r="GI60" s="9" t="n">
        <v>1</v>
      </c>
      <c r="GJ60" s="9" t="n">
        <v>1</v>
      </c>
      <c r="GK60" s="9" t="n">
        <v>1</v>
      </c>
      <c r="GL60" s="11" t="n">
        <f aca="false">(GH60+GI60+GJ60+GK60)/4</f>
        <v>1</v>
      </c>
      <c r="GM60" s="9" t="n">
        <v>107</v>
      </c>
      <c r="GN60" s="9" t="n">
        <v>93</v>
      </c>
      <c r="GO60" s="9" t="n">
        <v>18</v>
      </c>
      <c r="GP60" s="9" t="n">
        <v>144</v>
      </c>
      <c r="GQ60" s="11" t="n">
        <f aca="false">(GM60+GN60+GO60+GP60)/4</f>
        <v>90.5</v>
      </c>
      <c r="GR60" s="9" t="n">
        <v>25</v>
      </c>
      <c r="GS60" s="9" t="n">
        <v>14</v>
      </c>
      <c r="GT60" s="9" t="n">
        <v>11</v>
      </c>
      <c r="GU60" s="9" t="n">
        <v>32</v>
      </c>
      <c r="GV60" s="11" t="n">
        <f aca="false">(GR60+GS60+GT60+GU60)/4</f>
        <v>20.5</v>
      </c>
      <c r="GW60" s="9" t="n">
        <v>0</v>
      </c>
      <c r="GX60" s="9" t="n">
        <v>0</v>
      </c>
      <c r="GY60" s="9" t="n">
        <v>0</v>
      </c>
      <c r="GZ60" s="9" t="n">
        <v>0</v>
      </c>
      <c r="HA60" s="11" t="n">
        <f aca="false">(GW60+GX60+GY60+GZ60)/4</f>
        <v>0</v>
      </c>
      <c r="HB60" s="9" t="n">
        <f aca="false">(GW60/GR60)</f>
        <v>0</v>
      </c>
      <c r="HC60" s="9" t="n">
        <f aca="false">(GX60/GS60)</f>
        <v>0</v>
      </c>
      <c r="HD60" s="9" t="n">
        <f aca="false">(GY60/GT60)</f>
        <v>0</v>
      </c>
      <c r="HE60" s="9" t="n">
        <f aca="false">(GZ60/GU60)/4</f>
        <v>0</v>
      </c>
      <c r="HF60" s="9" t="n">
        <f aca="false">(HB60+HC60+HD60+HE60)/4</f>
        <v>0</v>
      </c>
      <c r="HG60" s="9" t="n">
        <f aca="false">(100*HF60)</f>
        <v>0</v>
      </c>
      <c r="HH60" s="18" t="n">
        <v>0</v>
      </c>
      <c r="HI60" s="9" t="n">
        <v>5</v>
      </c>
      <c r="HJ60" s="9" t="n">
        <v>3</v>
      </c>
      <c r="HK60" s="9" t="n">
        <v>6</v>
      </c>
      <c r="HL60" s="19" t="n">
        <v>11</v>
      </c>
      <c r="HM60" s="9" t="n">
        <f aca="false">(HI60+HJ60+HK60+HL60)/4</f>
        <v>6.25</v>
      </c>
      <c r="HN60" s="9" t="n">
        <f aca="false">(HI60/GR60)</f>
        <v>0.2</v>
      </c>
      <c r="HO60" s="9" t="n">
        <f aca="false">(HJ60/GS60)</f>
        <v>0.214285714285714</v>
      </c>
      <c r="HP60" s="9" t="n">
        <f aca="false">(HK60/GT60)</f>
        <v>0.545454545454545</v>
      </c>
      <c r="HQ60" s="9" t="n">
        <f aca="false">(HL60/GU60)</f>
        <v>0.34375</v>
      </c>
      <c r="HR60" s="9" t="n">
        <f aca="false">(HM60/GV60)</f>
        <v>0.304878048780488</v>
      </c>
      <c r="HS60" s="9" t="n">
        <f aca="false">(100*HR60)</f>
        <v>30.4878048780488</v>
      </c>
      <c r="HT60" s="18" t="n">
        <v>3</v>
      </c>
      <c r="HU60" s="9" t="n">
        <v>6</v>
      </c>
      <c r="HV60" s="9" t="n">
        <v>7</v>
      </c>
      <c r="HW60" s="9" t="n">
        <v>2</v>
      </c>
      <c r="HX60" s="19" t="n">
        <v>3</v>
      </c>
      <c r="HY60" s="9" t="n">
        <f aca="false">(HU60+HV60+HW60+HX60)/4</f>
        <v>4.5</v>
      </c>
      <c r="HZ60" s="9" t="n">
        <f aca="false">(HU60/GR60)</f>
        <v>0.24</v>
      </c>
      <c r="IA60" s="9" t="n">
        <f aca="false">HV60/GS60</f>
        <v>0.5</v>
      </c>
      <c r="IB60" s="9" t="n">
        <f aca="false">(HW60/GT60)</f>
        <v>0.181818181818182</v>
      </c>
      <c r="IC60" s="9" t="n">
        <f aca="false">(HX60/GU60)</f>
        <v>0.09375</v>
      </c>
      <c r="ID60" s="9" t="n">
        <f aca="false">(HY60/GV60)</f>
        <v>0.219512195121951</v>
      </c>
      <c r="IE60" s="9" t="n">
        <f aca="false">(100*ID60)</f>
        <v>21.9512195121951</v>
      </c>
      <c r="IF60" s="18" t="n">
        <v>2</v>
      </c>
      <c r="IG60" s="9" t="n">
        <v>6</v>
      </c>
      <c r="IH60" s="9" t="n">
        <v>0</v>
      </c>
      <c r="II60" s="19" t="n">
        <v>7</v>
      </c>
      <c r="IJ60" s="9" t="n">
        <v>22</v>
      </c>
      <c r="IK60" s="9" t="n">
        <f aca="false">(IG60+IH60+II60+IJ60)/4</f>
        <v>8.75</v>
      </c>
      <c r="IL60" s="9" t="n">
        <f aca="false">(IG60/GM60)</f>
        <v>0.0560747663551402</v>
      </c>
      <c r="IM60" s="9" t="n">
        <f aca="false">(IH60/GN60)</f>
        <v>0</v>
      </c>
      <c r="IN60" s="9" t="n">
        <f aca="false">(II60/GO60)</f>
        <v>0.388888888888889</v>
      </c>
      <c r="IO60" s="9" t="n">
        <f aca="false">(IJ60/GP60)</f>
        <v>0.152777777777778</v>
      </c>
      <c r="IP60" s="9" t="n">
        <f aca="false">(IK60/GQ60)</f>
        <v>0.0966850828729282</v>
      </c>
      <c r="IQ60" s="9" t="n">
        <f aca="false">(100*IP60)</f>
        <v>9.66850828729282</v>
      </c>
      <c r="IR60" s="18" t="n">
        <v>1</v>
      </c>
      <c r="IS60" s="9" t="n">
        <v>80.3</v>
      </c>
      <c r="IT60" s="9" t="n">
        <v>71.8</v>
      </c>
      <c r="IU60" s="19" t="n">
        <v>60.6</v>
      </c>
      <c r="IV60" s="9" t="n">
        <v>80.5</v>
      </c>
      <c r="IW60" s="9" t="n">
        <f aca="false">(IS60+IT60+IU60+IV60)/4</f>
        <v>73.3</v>
      </c>
      <c r="IX60" s="16" t="n">
        <v>45241</v>
      </c>
      <c r="IY60" s="10" t="s">
        <v>268</v>
      </c>
    </row>
    <row r="61" customFormat="false" ht="15.75" hidden="false" customHeight="true" outlineLevel="0" collapsed="false">
      <c r="A61" s="9" t="s">
        <v>259</v>
      </c>
      <c r="B61" s="10" t="s">
        <v>406</v>
      </c>
      <c r="C61" s="10" t="s">
        <v>400</v>
      </c>
      <c r="D61" s="9" t="n">
        <v>2</v>
      </c>
      <c r="E61" s="9" t="n">
        <v>20</v>
      </c>
      <c r="F61" s="10" t="s">
        <v>411</v>
      </c>
      <c r="G61" s="10" t="s">
        <v>320</v>
      </c>
      <c r="H61" s="9" t="n">
        <v>21</v>
      </c>
      <c r="I61" s="9" t="n">
        <v>20</v>
      </c>
      <c r="J61" s="10" t="s">
        <v>272</v>
      </c>
      <c r="K61" s="20"/>
      <c r="L61" s="20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 t="n">
        <v>0</v>
      </c>
      <c r="Y61" s="9" t="n">
        <v>0</v>
      </c>
      <c r="Z61" s="9" t="n">
        <v>0</v>
      </c>
      <c r="AA61" s="9" t="n">
        <v>1</v>
      </c>
      <c r="AB61" s="11" t="n">
        <f aca="false">(X61+Y61+Z61+AA61)/4</f>
        <v>0.25</v>
      </c>
      <c r="AC61" s="9" t="n">
        <v>1</v>
      </c>
      <c r="AD61" s="9" t="n">
        <v>1</v>
      </c>
      <c r="AE61" s="9" t="n">
        <v>1</v>
      </c>
      <c r="AF61" s="9" t="n">
        <v>1</v>
      </c>
      <c r="AG61" s="11" t="n">
        <f aca="false">(AC61+AD61+AE61+AF61)/4</f>
        <v>1</v>
      </c>
      <c r="AH61" s="9" t="n">
        <v>1</v>
      </c>
      <c r="AI61" s="9" t="n">
        <v>1</v>
      </c>
      <c r="AJ61" s="9" t="n">
        <v>1</v>
      </c>
      <c r="AK61" s="9" t="n">
        <v>1</v>
      </c>
      <c r="AL61" s="11" t="n">
        <f aca="false">(AH61+AI61+AJ61+AK61)/4</f>
        <v>1</v>
      </c>
      <c r="AM61" s="9" t="n">
        <v>40</v>
      </c>
      <c r="AN61" s="9" t="n">
        <v>36</v>
      </c>
      <c r="AO61" s="9" t="n">
        <v>61</v>
      </c>
      <c r="AP61" s="9" t="n">
        <v>87</v>
      </c>
      <c r="AQ61" s="11" t="n">
        <f aca="false">(AM61+AN61+AO61+AP61)/4</f>
        <v>56</v>
      </c>
      <c r="AR61" s="9" t="n">
        <v>20</v>
      </c>
      <c r="AS61" s="9" t="n">
        <v>22</v>
      </c>
      <c r="AT61" s="9" t="n">
        <v>9</v>
      </c>
      <c r="AU61" s="9" t="n">
        <v>42</v>
      </c>
      <c r="AV61" s="11" t="n">
        <f aca="false">(AR61+AS61+AT61+AU61)/4</f>
        <v>23.25</v>
      </c>
      <c r="AW61" s="9" t="n">
        <v>0</v>
      </c>
      <c r="AX61" s="9" t="n">
        <v>0</v>
      </c>
      <c r="AY61" s="9" t="n">
        <v>0</v>
      </c>
      <c r="AZ61" s="9" t="n">
        <v>1</v>
      </c>
      <c r="BA61" s="11" t="n">
        <f aca="false">(AW61+AX61+AY61+AZ61)/4</f>
        <v>0.25</v>
      </c>
      <c r="BB61" s="11" t="n">
        <f aca="false">(AW61/AR61)</f>
        <v>0</v>
      </c>
      <c r="BC61" s="11" t="n">
        <f aca="false">(AX61/AS61)</f>
        <v>0</v>
      </c>
      <c r="BD61" s="11" t="n">
        <f aca="false">(AY61/AT61)</f>
        <v>0</v>
      </c>
      <c r="BE61" s="11" t="n">
        <f aca="false">(AZ61/AU61)</f>
        <v>0.0238095238095238</v>
      </c>
      <c r="BF61" s="11" t="n">
        <f aca="false">(BA61/AV61)</f>
        <v>0.010752688172043</v>
      </c>
      <c r="BG61" s="11" t="n">
        <f aca="false">(BF61*100)</f>
        <v>1.0752688172043</v>
      </c>
      <c r="BH61" s="9" t="n">
        <v>1</v>
      </c>
      <c r="BI61" s="9" t="n">
        <v>8</v>
      </c>
      <c r="BJ61" s="9" t="n">
        <v>2</v>
      </c>
      <c r="BK61" s="9" t="n">
        <v>2</v>
      </c>
      <c r="BL61" s="9" t="n">
        <v>1</v>
      </c>
      <c r="BM61" s="11" t="n">
        <f aca="false">(BI61+BJ61+BK61+BL61)/4</f>
        <v>3.25</v>
      </c>
      <c r="BN61" s="11" t="n">
        <f aca="false">(BI61/AR61)</f>
        <v>0.4</v>
      </c>
      <c r="BO61" s="11" t="n">
        <f aca="false">(BJ61/AS61)</f>
        <v>0.0909090909090909</v>
      </c>
      <c r="BP61" s="11" t="n">
        <f aca="false">(BK61/AT61)</f>
        <v>0.222222222222222</v>
      </c>
      <c r="BQ61" s="11" t="n">
        <f aca="false">(BL61/AU61)</f>
        <v>0.0238095238095238</v>
      </c>
      <c r="BR61" s="11" t="n">
        <f aca="false">(BM61/AV61)</f>
        <v>0.139784946236559</v>
      </c>
      <c r="BS61" s="11" t="n">
        <f aca="false">(100*BR61)</f>
        <v>13.9784946236559</v>
      </c>
      <c r="BT61" s="9" t="n">
        <v>2</v>
      </c>
      <c r="BU61" s="9" t="n">
        <v>2</v>
      </c>
      <c r="BV61" s="9" t="n">
        <v>0</v>
      </c>
      <c r="BW61" s="9" t="n">
        <v>3</v>
      </c>
      <c r="BX61" s="9" t="n">
        <v>0</v>
      </c>
      <c r="BY61" s="11" t="n">
        <f aca="false">(BU61+BV61+BW61+BX61)/4</f>
        <v>1.25</v>
      </c>
      <c r="BZ61" s="11" t="n">
        <f aca="false">(BU61/AR61)</f>
        <v>0.1</v>
      </c>
      <c r="CA61" s="11" t="n">
        <f aca="false">(BV61/AS61)</f>
        <v>0</v>
      </c>
      <c r="CB61" s="11" t="n">
        <f aca="false">(BW61/AT61)</f>
        <v>0.333333333333333</v>
      </c>
      <c r="CC61" s="11" t="n">
        <f aca="false">(BX61/AU61)</f>
        <v>0</v>
      </c>
      <c r="CD61" s="11" t="n">
        <f aca="false">(BY61/AV61)</f>
        <v>0.0537634408602151</v>
      </c>
      <c r="CE61" s="11" t="n">
        <f aca="false">(100*CD61)</f>
        <v>5.37634408602151</v>
      </c>
      <c r="CF61" s="9" t="n">
        <v>1</v>
      </c>
      <c r="CG61" s="9" t="n">
        <v>5</v>
      </c>
      <c r="CH61" s="9" t="n">
        <v>3</v>
      </c>
      <c r="CI61" s="9" t="n">
        <v>15</v>
      </c>
      <c r="CJ61" s="9" t="n">
        <v>2</v>
      </c>
      <c r="CK61" s="11" t="n">
        <f aca="false">(CG61+CH61+CI61+CJ61)/4</f>
        <v>6.25</v>
      </c>
      <c r="CL61" s="11" t="n">
        <f aca="false">(CG61/AM61)</f>
        <v>0.125</v>
      </c>
      <c r="CM61" s="11" t="n">
        <f aca="false">(CH61/AN61)</f>
        <v>0.0833333333333333</v>
      </c>
      <c r="CN61" s="11" t="n">
        <f aca="false">(CI61/AO61)</f>
        <v>0.245901639344262</v>
      </c>
      <c r="CO61" s="9" t="n">
        <f aca="false">(CJ61/AP61)</f>
        <v>0.0229885057471264</v>
      </c>
      <c r="CP61" s="9" t="n">
        <f aca="false">(CK61/AQ61)</f>
        <v>0.111607142857143</v>
      </c>
      <c r="CQ61" s="9" t="n">
        <f aca="false">(100*CP61)</f>
        <v>11.1607142857143</v>
      </c>
      <c r="CR61" s="18" t="n">
        <v>2</v>
      </c>
      <c r="CS61" s="9" t="n">
        <v>59.4</v>
      </c>
      <c r="CT61" s="9" t="n">
        <v>55.6</v>
      </c>
      <c r="CU61" s="9" t="n">
        <v>63.4</v>
      </c>
      <c r="CV61" s="9" t="n">
        <v>70.6</v>
      </c>
      <c r="CW61" s="11" t="n">
        <f aca="false">(CS61+CT61+CU61+CV61)/4</f>
        <v>62.25</v>
      </c>
      <c r="CX61" s="9" t="n">
        <v>1</v>
      </c>
      <c r="CY61" s="9" t="n">
        <v>0</v>
      </c>
      <c r="CZ61" s="9" t="n">
        <v>0</v>
      </c>
      <c r="DA61" s="9" t="n">
        <v>0</v>
      </c>
      <c r="DB61" s="11" t="n">
        <f aca="false">(CX61+CY61+CZ61+DA61)/4</f>
        <v>0.25</v>
      </c>
      <c r="DC61" s="9" t="n">
        <v>1</v>
      </c>
      <c r="DD61" s="9" t="n">
        <v>1</v>
      </c>
      <c r="DE61" s="9" t="n">
        <v>1</v>
      </c>
      <c r="DF61" s="9" t="n">
        <v>1</v>
      </c>
      <c r="DG61" s="11" t="n">
        <f aca="false">(DC61+DD61+DE61+DF61)/4</f>
        <v>1</v>
      </c>
      <c r="DH61" s="9" t="n">
        <v>1</v>
      </c>
      <c r="DI61" s="9" t="n">
        <v>1</v>
      </c>
      <c r="DJ61" s="9" t="n">
        <v>1</v>
      </c>
      <c r="DK61" s="9" t="n">
        <v>1</v>
      </c>
      <c r="DL61" s="11" t="n">
        <f aca="false">(DH61+DI61+DJ61+DK61)/4</f>
        <v>1</v>
      </c>
      <c r="DM61" s="9" t="n">
        <v>17</v>
      </c>
      <c r="DN61" s="9" t="n">
        <v>80</v>
      </c>
      <c r="DO61" s="9" t="n">
        <v>32</v>
      </c>
      <c r="DP61" s="9" t="n">
        <v>27</v>
      </c>
      <c r="DQ61" s="11" t="n">
        <f aca="false">(DM61+DN61+DO61+DP61)/4</f>
        <v>39</v>
      </c>
      <c r="DR61" s="9" t="n">
        <v>20</v>
      </c>
      <c r="DS61" s="9" t="n">
        <v>320</v>
      </c>
      <c r="DT61" s="9" t="n">
        <v>20</v>
      </c>
      <c r="DU61" s="9" t="n">
        <v>22</v>
      </c>
      <c r="DV61" s="11" t="n">
        <f aca="false">(DR61+DS61+DT61+DU61)/4</f>
        <v>95.5</v>
      </c>
      <c r="DW61" s="9" t="n">
        <v>3</v>
      </c>
      <c r="DX61" s="9" t="n">
        <v>0</v>
      </c>
      <c r="DY61" s="9" t="n">
        <v>0</v>
      </c>
      <c r="DZ61" s="9" t="n">
        <v>0</v>
      </c>
      <c r="EA61" s="11" t="n">
        <f aca="false">(DW61+DX61+DY61+DZ61)/4</f>
        <v>0.75</v>
      </c>
      <c r="EB61" s="11" t="n">
        <f aca="false">(DW61/DR61)</f>
        <v>0.15</v>
      </c>
      <c r="EC61" s="11" t="n">
        <f aca="false">(DX61/DS61)</f>
        <v>0</v>
      </c>
      <c r="ED61" s="11" t="n">
        <f aca="false">(DY61/DT61)</f>
        <v>0</v>
      </c>
      <c r="EE61" s="11" t="n">
        <f aca="false">(DZ61/DU61)</f>
        <v>0</v>
      </c>
      <c r="EF61" s="11" t="n">
        <f aca="false">(EA61/DV61)</f>
        <v>0.00785340314136126</v>
      </c>
      <c r="EG61" s="11" t="n">
        <f aca="false">(100*EF61)</f>
        <v>0.785340314136126</v>
      </c>
      <c r="EH61" s="9" t="n">
        <v>1</v>
      </c>
      <c r="EI61" s="9" t="n">
        <v>4</v>
      </c>
      <c r="EJ61" s="9" t="n">
        <v>2</v>
      </c>
      <c r="EK61" s="19" t="n">
        <v>2</v>
      </c>
      <c r="EL61" s="9" t="n">
        <v>3</v>
      </c>
      <c r="EM61" s="9" t="n">
        <f aca="false">(EI61+EJ61+EK61+EL61)/4</f>
        <v>2.75</v>
      </c>
      <c r="EN61" s="9" t="n">
        <f aca="false">(EI61/DR61)</f>
        <v>0.2</v>
      </c>
      <c r="EO61" s="9" t="n">
        <f aca="false">(EJ61/DS61)</f>
        <v>0.00625</v>
      </c>
      <c r="EP61" s="9" t="n">
        <f aca="false">(EK61/DT61)</f>
        <v>0.1</v>
      </c>
      <c r="EQ61" s="9" t="n">
        <f aca="false">(EL61/DU61)</f>
        <v>0.136363636363636</v>
      </c>
      <c r="ER61" s="9" t="n">
        <f aca="false">EM61/DV61</f>
        <v>0.0287958115183246</v>
      </c>
      <c r="ES61" s="9" t="n">
        <f aca="false">(100*ER61)</f>
        <v>2.87958115183246</v>
      </c>
      <c r="ET61" s="9" t="n">
        <v>1</v>
      </c>
      <c r="EU61" s="18" t="n">
        <v>0</v>
      </c>
      <c r="EV61" s="9" t="n">
        <v>6</v>
      </c>
      <c r="EW61" s="9" t="n">
        <v>1</v>
      </c>
      <c r="EX61" s="9" t="n">
        <v>4</v>
      </c>
      <c r="EY61" s="11" t="n">
        <f aca="false">(EU61+EV61+EW61+EX61)/4</f>
        <v>2.75</v>
      </c>
      <c r="EZ61" s="11" t="n">
        <f aca="false">(EU61/DR61)</f>
        <v>0</v>
      </c>
      <c r="FA61" s="11" t="n">
        <f aca="false">(EV61/DS61)</f>
        <v>0.01875</v>
      </c>
      <c r="FB61" s="11" t="n">
        <f aca="false">(EW61/DT61)</f>
        <v>0.05</v>
      </c>
      <c r="FC61" s="11" t="n">
        <f aca="false">(EX61/DU61)</f>
        <v>0.181818181818182</v>
      </c>
      <c r="FD61" s="11" t="n">
        <f aca="false">(EY61/DV61)</f>
        <v>0.0287958115183246</v>
      </c>
      <c r="FE61" s="11" t="n">
        <f aca="false">(100*FD61)</f>
        <v>2.87958115183246</v>
      </c>
      <c r="FF61" s="9" t="n">
        <v>1</v>
      </c>
      <c r="FG61" s="9" t="n">
        <v>2</v>
      </c>
      <c r="FH61" s="9" t="n">
        <v>6</v>
      </c>
      <c r="FI61" s="9" t="n">
        <v>2</v>
      </c>
      <c r="FJ61" s="9" t="n">
        <v>2</v>
      </c>
      <c r="FK61" s="11" t="n">
        <f aca="false">(FG61+FH61+FI61+FJ61)/4</f>
        <v>3</v>
      </c>
      <c r="FL61" s="11" t="n">
        <f aca="false">(FG61/DR61)</f>
        <v>0.1</v>
      </c>
      <c r="FM61" s="11" t="n">
        <f aca="false">(FH61/DS61)</f>
        <v>0.01875</v>
      </c>
      <c r="FN61" s="11" t="n">
        <f aca="false">(FI61/DT61)</f>
        <v>0.1</v>
      </c>
      <c r="FO61" s="11" t="n">
        <f aca="false">(FJ61/DU61)</f>
        <v>0.0909090909090909</v>
      </c>
      <c r="FP61" s="11" t="n">
        <f aca="false">(FK61/DV61)</f>
        <v>0.031413612565445</v>
      </c>
      <c r="FQ61" s="11" t="n">
        <f aca="false">(100*FP61)</f>
        <v>3.1413612565445</v>
      </c>
      <c r="FR61" s="9" t="n">
        <v>1</v>
      </c>
      <c r="FS61" s="9" t="n">
        <v>65.9</v>
      </c>
      <c r="FT61" s="9" t="n">
        <v>40.1</v>
      </c>
      <c r="FU61" s="9" t="n">
        <v>54.4</v>
      </c>
      <c r="FV61" s="9" t="n">
        <v>67.5</v>
      </c>
      <c r="FW61" s="11" t="n">
        <f aca="false">(FS61+FT61+FU61+FV61)/4</f>
        <v>56.975</v>
      </c>
      <c r="FX61" s="9" t="n">
        <v>0</v>
      </c>
      <c r="FY61" s="9" t="n">
        <v>1</v>
      </c>
      <c r="FZ61" s="9" t="n">
        <v>0</v>
      </c>
      <c r="GA61" s="9" t="n">
        <v>0</v>
      </c>
      <c r="GB61" s="11" t="n">
        <f aca="false">(FX61+FY61+FZ61+GA61)/4</f>
        <v>0.25</v>
      </c>
      <c r="GC61" s="9" t="n">
        <v>1</v>
      </c>
      <c r="GD61" s="9" t="n">
        <v>1</v>
      </c>
      <c r="GE61" s="9" t="n">
        <v>1</v>
      </c>
      <c r="GF61" s="9" t="n">
        <v>1</v>
      </c>
      <c r="GG61" s="11" t="n">
        <f aca="false">(GC61+GD61+GE61+GF61)/4</f>
        <v>1</v>
      </c>
      <c r="GH61" s="9" t="n">
        <v>1</v>
      </c>
      <c r="GI61" s="9" t="n">
        <v>1</v>
      </c>
      <c r="GJ61" s="9" t="n">
        <v>1</v>
      </c>
      <c r="GK61" s="9" t="n">
        <v>1</v>
      </c>
      <c r="GL61" s="11" t="n">
        <f aca="false">(GH61+GI61+GJ61+GK61)/4</f>
        <v>1</v>
      </c>
      <c r="GM61" s="9" t="n">
        <v>73</v>
      </c>
      <c r="GN61" s="9" t="n">
        <v>9</v>
      </c>
      <c r="GO61" s="9" t="n">
        <v>19</v>
      </c>
      <c r="GP61" s="9" t="n">
        <v>17</v>
      </c>
      <c r="GQ61" s="11" t="n">
        <f aca="false">(GM61+GN61+GO61+GP61)/4</f>
        <v>29.5</v>
      </c>
      <c r="GR61" s="9" t="n">
        <v>30</v>
      </c>
      <c r="GS61" s="9" t="n">
        <v>29</v>
      </c>
      <c r="GT61" s="9" t="n">
        <v>6</v>
      </c>
      <c r="GU61" s="9" t="n">
        <v>17</v>
      </c>
      <c r="GV61" s="11" t="n">
        <f aca="false">(GR61+GS61+GT61+GU61)/4</f>
        <v>20.5</v>
      </c>
      <c r="GW61" s="9" t="n">
        <v>0</v>
      </c>
      <c r="GX61" s="9" t="n">
        <v>1</v>
      </c>
      <c r="GY61" s="9" t="n">
        <v>0</v>
      </c>
      <c r="GZ61" s="9" t="n">
        <v>0</v>
      </c>
      <c r="HA61" s="11" t="n">
        <f aca="false">(GW61+GX61+GY61+GZ61)/4</f>
        <v>0.25</v>
      </c>
      <c r="HB61" s="9" t="n">
        <f aca="false">(GW61/GR61)</f>
        <v>0</v>
      </c>
      <c r="HC61" s="9" t="n">
        <f aca="false">(GX61/GS61)</f>
        <v>0.0344827586206897</v>
      </c>
      <c r="HD61" s="9" t="n">
        <f aca="false">(GY61/GT61)</f>
        <v>0</v>
      </c>
      <c r="HE61" s="9" t="n">
        <f aca="false">(GZ61/GU61)/4</f>
        <v>0</v>
      </c>
      <c r="HF61" s="9" t="n">
        <f aca="false">(HB61+HC61+HD61+HE61)/4</f>
        <v>0.00862068965517241</v>
      </c>
      <c r="HG61" s="9" t="n">
        <f aca="false">(100*HF61)</f>
        <v>0.862068965517241</v>
      </c>
      <c r="HH61" s="18" t="n">
        <v>1</v>
      </c>
      <c r="HI61" s="9" t="n">
        <v>3</v>
      </c>
      <c r="HJ61" s="9" t="n">
        <v>3</v>
      </c>
      <c r="HK61" s="9" t="n">
        <v>5</v>
      </c>
      <c r="HL61" s="19" t="n">
        <v>8</v>
      </c>
      <c r="HM61" s="9" t="n">
        <f aca="false">(HI61+HJ61+HK61+HL61)/4</f>
        <v>4.75</v>
      </c>
      <c r="HN61" s="9" t="n">
        <f aca="false">(HI61/GR61)</f>
        <v>0.1</v>
      </c>
      <c r="HO61" s="9" t="n">
        <f aca="false">(HJ61/GS61)</f>
        <v>0.103448275862069</v>
      </c>
      <c r="HP61" s="9" t="n">
        <f aca="false">(HK61/GT61)</f>
        <v>0.833333333333333</v>
      </c>
      <c r="HQ61" s="9" t="n">
        <f aca="false">(HL61/GU61)</f>
        <v>0.470588235294118</v>
      </c>
      <c r="HR61" s="9" t="n">
        <f aca="false">(HM61/GV61)</f>
        <v>0.231707317073171</v>
      </c>
      <c r="HS61" s="9" t="n">
        <f aca="false">(100*HR61)</f>
        <v>23.1707317073171</v>
      </c>
      <c r="HT61" s="18" t="n">
        <v>2</v>
      </c>
      <c r="HU61" s="9" t="n">
        <v>10</v>
      </c>
      <c r="HV61" s="9" t="n">
        <v>2</v>
      </c>
      <c r="HW61" s="9" t="n">
        <v>0</v>
      </c>
      <c r="HX61" s="19" t="n">
        <v>1</v>
      </c>
      <c r="HY61" s="9" t="n">
        <f aca="false">(HU61+HV61+HW61+HX61)/4</f>
        <v>3.25</v>
      </c>
      <c r="HZ61" s="9" t="n">
        <f aca="false">(HU61/GR61)</f>
        <v>0.333333333333333</v>
      </c>
      <c r="IA61" s="9" t="n">
        <f aca="false">HV61/GS61</f>
        <v>0.0689655172413793</v>
      </c>
      <c r="IB61" s="9" t="n">
        <f aca="false">(HW61/GT61)</f>
        <v>0</v>
      </c>
      <c r="IC61" s="9" t="n">
        <f aca="false">(HX61/GU61)</f>
        <v>0.0588235294117647</v>
      </c>
      <c r="ID61" s="9" t="n">
        <f aca="false">(HY61/GV61)</f>
        <v>0.158536585365854</v>
      </c>
      <c r="IE61" s="9" t="n">
        <f aca="false">(100*ID61)</f>
        <v>15.8536585365854</v>
      </c>
      <c r="IF61" s="18" t="n">
        <v>2</v>
      </c>
      <c r="IG61" s="9" t="n">
        <v>3</v>
      </c>
      <c r="IH61" s="9" t="n">
        <v>2</v>
      </c>
      <c r="II61" s="19" t="n">
        <v>1</v>
      </c>
      <c r="IJ61" s="9" t="n">
        <v>1</v>
      </c>
      <c r="IK61" s="9" t="n">
        <f aca="false">(IG61+IH61+II61+IJ61)/4</f>
        <v>1.75</v>
      </c>
      <c r="IL61" s="9" t="n">
        <f aca="false">(IG61/GM61)</f>
        <v>0.0410958904109589</v>
      </c>
      <c r="IM61" s="9" t="n">
        <f aca="false">(IH61/GN61)</f>
        <v>0.222222222222222</v>
      </c>
      <c r="IN61" s="9" t="n">
        <f aca="false">(II61/GO61)</f>
        <v>0.0526315789473684</v>
      </c>
      <c r="IO61" s="9" t="n">
        <f aca="false">(IJ61/GP61)</f>
        <v>0.0588235294117647</v>
      </c>
      <c r="IP61" s="9" t="n">
        <f aca="false">(IK61/GQ61)</f>
        <v>0.0593220338983051</v>
      </c>
      <c r="IQ61" s="9" t="n">
        <f aca="false">(100*IP61)</f>
        <v>5.93220338983051</v>
      </c>
      <c r="IR61" s="18" t="n">
        <v>1</v>
      </c>
      <c r="IS61" s="9" t="n">
        <v>78.7</v>
      </c>
      <c r="IT61" s="9" t="n">
        <v>66.3</v>
      </c>
      <c r="IU61" s="19" t="n">
        <v>72.6</v>
      </c>
      <c r="IV61" s="9" t="n">
        <v>57.5</v>
      </c>
      <c r="IW61" s="9" t="n">
        <f aca="false">(IS61+IT61+IU61+IV61)/4</f>
        <v>68.775</v>
      </c>
      <c r="IX61" s="16" t="n">
        <v>45241</v>
      </c>
      <c r="IY61" s="10" t="s">
        <v>268</v>
      </c>
    </row>
    <row r="62" customFormat="false" ht="15.75" hidden="false" customHeight="true" outlineLevel="0" collapsed="false">
      <c r="A62" s="9" t="s">
        <v>259</v>
      </c>
      <c r="B62" s="10" t="s">
        <v>412</v>
      </c>
      <c r="C62" s="10" t="s">
        <v>400</v>
      </c>
      <c r="D62" s="9" t="n">
        <v>3</v>
      </c>
      <c r="E62" s="9" t="n">
        <v>21</v>
      </c>
      <c r="F62" s="10" t="s">
        <v>413</v>
      </c>
      <c r="G62" s="10" t="s">
        <v>280</v>
      </c>
      <c r="H62" s="9" t="n">
        <v>21</v>
      </c>
      <c r="I62" s="9" t="n">
        <v>5</v>
      </c>
      <c r="J62" s="12" t="s">
        <v>264</v>
      </c>
      <c r="K62" s="13" t="s">
        <v>414</v>
      </c>
      <c r="L62" s="23" t="s">
        <v>415</v>
      </c>
      <c r="M62" s="14" t="n">
        <v>1302</v>
      </c>
      <c r="N62" s="15" t="n">
        <v>45154</v>
      </c>
      <c r="O62" s="10" t="s">
        <v>294</v>
      </c>
      <c r="P62" s="9"/>
      <c r="Q62" s="9" t="n">
        <v>48.18</v>
      </c>
      <c r="R62" s="9" t="n">
        <v>20</v>
      </c>
      <c r="S62" s="9" t="n">
        <v>-5</v>
      </c>
      <c r="T62" s="9" t="n">
        <v>90</v>
      </c>
      <c r="U62" s="11"/>
      <c r="V62" s="9" t="n">
        <v>3.23</v>
      </c>
      <c r="W62" s="9" t="s">
        <v>416</v>
      </c>
      <c r="X62" s="9" t="n">
        <v>0</v>
      </c>
      <c r="Y62" s="9" t="n">
        <v>0</v>
      </c>
      <c r="Z62" s="9" t="n">
        <v>0</v>
      </c>
      <c r="AA62" s="9" t="n">
        <v>0</v>
      </c>
      <c r="AB62" s="11" t="n">
        <f aca="false">(X62+Y62+Z62+AA62)/4</f>
        <v>0</v>
      </c>
      <c r="AC62" s="9" t="n">
        <v>1</v>
      </c>
      <c r="AD62" s="9" t="n">
        <v>1</v>
      </c>
      <c r="AE62" s="9" t="n">
        <v>1</v>
      </c>
      <c r="AF62" s="9" t="n">
        <v>1</v>
      </c>
      <c r="AG62" s="11" t="n">
        <f aca="false">(AC62+AD62+AE62+AF62)/4</f>
        <v>1</v>
      </c>
      <c r="AH62" s="9" t="n">
        <v>1</v>
      </c>
      <c r="AI62" s="9" t="n">
        <v>1</v>
      </c>
      <c r="AJ62" s="9" t="n">
        <v>1</v>
      </c>
      <c r="AK62" s="9" t="n">
        <v>0</v>
      </c>
      <c r="AL62" s="11" t="n">
        <f aca="false">(AH62+AI62+AJ62+AK62)/4</f>
        <v>0.75</v>
      </c>
      <c r="AM62" s="9" t="n">
        <v>17</v>
      </c>
      <c r="AN62" s="9" t="n">
        <v>4</v>
      </c>
      <c r="AO62" s="9" t="n">
        <v>11</v>
      </c>
      <c r="AP62" s="9" t="n">
        <v>12</v>
      </c>
      <c r="AQ62" s="11" t="n">
        <f aca="false">(AM62+AN62+AO62+AP62)/4</f>
        <v>11</v>
      </c>
      <c r="AR62" s="9" t="n">
        <v>3</v>
      </c>
      <c r="AS62" s="9" t="n">
        <v>2</v>
      </c>
      <c r="AT62" s="9" t="n">
        <v>10</v>
      </c>
      <c r="AU62" s="9" t="n">
        <v>22</v>
      </c>
      <c r="AV62" s="11" t="n">
        <f aca="false">(AR62+AS62+AT62+AU62)/4</f>
        <v>9.25</v>
      </c>
      <c r="AW62" s="9" t="n">
        <v>0</v>
      </c>
      <c r="AX62" s="9" t="n">
        <v>0</v>
      </c>
      <c r="AY62" s="9" t="n">
        <v>0</v>
      </c>
      <c r="AZ62" s="9" t="n">
        <v>0</v>
      </c>
      <c r="BA62" s="11" t="n">
        <f aca="false">(AW62+AX62+AY62+AZ62)/4</f>
        <v>0</v>
      </c>
      <c r="BB62" s="11" t="n">
        <f aca="false">(AW62/AR62)</f>
        <v>0</v>
      </c>
      <c r="BC62" s="11" t="n">
        <f aca="false">(AX62/AS62)</f>
        <v>0</v>
      </c>
      <c r="BD62" s="11" t="n">
        <f aca="false">(AY62/AT62)</f>
        <v>0</v>
      </c>
      <c r="BE62" s="11" t="n">
        <f aca="false">(AZ62/AU62)</f>
        <v>0</v>
      </c>
      <c r="BF62" s="11" t="n">
        <f aca="false">(BA62/AV62)</f>
        <v>0</v>
      </c>
      <c r="BG62" s="11" t="n">
        <f aca="false">(BF62*100)</f>
        <v>0</v>
      </c>
      <c r="BH62" s="9" t="n">
        <v>0</v>
      </c>
      <c r="BI62" s="9" t="n">
        <v>0</v>
      </c>
      <c r="BJ62" s="9" t="n">
        <v>0</v>
      </c>
      <c r="BK62" s="9" t="n">
        <v>3</v>
      </c>
      <c r="BL62" s="9" t="n">
        <v>7</v>
      </c>
      <c r="BM62" s="11" t="n">
        <f aca="false">(BI62+BJ62+BK62+BL62)/4</f>
        <v>2.5</v>
      </c>
      <c r="BN62" s="11" t="n">
        <f aca="false">(BI62/AR62)</f>
        <v>0</v>
      </c>
      <c r="BO62" s="11" t="n">
        <f aca="false">(BJ62/AS62)</f>
        <v>0</v>
      </c>
      <c r="BP62" s="11" t="n">
        <f aca="false">(BK62/AT62)</f>
        <v>0.3</v>
      </c>
      <c r="BQ62" s="11" t="n">
        <f aca="false">(BL62/AU62)</f>
        <v>0.318181818181818</v>
      </c>
      <c r="BR62" s="11" t="n">
        <f aca="false">(BM62/AV62)</f>
        <v>0.27027027027027</v>
      </c>
      <c r="BS62" s="11" t="n">
        <f aca="false">(100*BR62)</f>
        <v>27.027027027027</v>
      </c>
      <c r="BT62" s="9" t="n">
        <v>3</v>
      </c>
      <c r="BU62" s="9" t="n">
        <v>0</v>
      </c>
      <c r="BV62" s="9" t="n">
        <v>0</v>
      </c>
      <c r="BW62" s="9" t="n">
        <v>0</v>
      </c>
      <c r="BX62" s="9" t="n">
        <v>0</v>
      </c>
      <c r="BY62" s="11" t="n">
        <f aca="false">(BU62+BV62+BW62+BX62)/4</f>
        <v>0</v>
      </c>
      <c r="BZ62" s="11" t="n">
        <f aca="false">(BU62/AR62)</f>
        <v>0</v>
      </c>
      <c r="CA62" s="11" t="n">
        <f aca="false">(BV62/AS62)</f>
        <v>0</v>
      </c>
      <c r="CB62" s="11" t="n">
        <f aca="false">(BW62/AT62)</f>
        <v>0</v>
      </c>
      <c r="CC62" s="11" t="n">
        <f aca="false">(BX62/AU62)</f>
        <v>0</v>
      </c>
      <c r="CD62" s="11" t="n">
        <f aca="false">(BY62/AV62)</f>
        <v>0</v>
      </c>
      <c r="CE62" s="11" t="n">
        <f aca="false">(100*CD62)</f>
        <v>0</v>
      </c>
      <c r="CF62" s="9" t="n">
        <v>1</v>
      </c>
      <c r="CG62" s="9" t="n">
        <v>2</v>
      </c>
      <c r="CH62" s="9" t="n">
        <v>1</v>
      </c>
      <c r="CI62" s="9" t="n">
        <v>1</v>
      </c>
      <c r="CJ62" s="9" t="n">
        <v>0</v>
      </c>
      <c r="CK62" s="11" t="n">
        <f aca="false">(CG62+CH62+CI62+CJ62)/4</f>
        <v>1</v>
      </c>
      <c r="CL62" s="11" t="n">
        <f aca="false">(CG62/AM62)</f>
        <v>0.117647058823529</v>
      </c>
      <c r="CM62" s="11" t="n">
        <f aca="false">(CH62/AN62)</f>
        <v>0.25</v>
      </c>
      <c r="CN62" s="11" t="n">
        <f aca="false">(CI62/AO62)</f>
        <v>0.0909090909090909</v>
      </c>
      <c r="CO62" s="9" t="n">
        <f aca="false">(CJ62/AP62)</f>
        <v>0</v>
      </c>
      <c r="CP62" s="9" t="n">
        <f aca="false">(CK62/AQ62)</f>
        <v>0.0909090909090909</v>
      </c>
      <c r="CQ62" s="9" t="n">
        <f aca="false">(100*CP62)</f>
        <v>9.09090909090909</v>
      </c>
      <c r="CR62" s="18" t="n">
        <v>1</v>
      </c>
      <c r="CS62" s="9" t="n">
        <v>53.9</v>
      </c>
      <c r="CT62" s="9" t="n">
        <v>73.8</v>
      </c>
      <c r="CU62" s="9" t="n">
        <v>67.7</v>
      </c>
      <c r="CV62" s="9" t="n">
        <v>63</v>
      </c>
      <c r="CW62" s="11" t="n">
        <f aca="false">(CS62+CT62+CU62+CV62)/4</f>
        <v>64.6</v>
      </c>
      <c r="CX62" s="9" t="n">
        <v>0</v>
      </c>
      <c r="CY62" s="9" t="n">
        <v>0</v>
      </c>
      <c r="CZ62" s="9" t="n">
        <v>0</v>
      </c>
      <c r="DA62" s="9" t="n">
        <v>0</v>
      </c>
      <c r="DB62" s="11" t="n">
        <f aca="false">(CX62+CY62+CZ62+DA62)/4</f>
        <v>0</v>
      </c>
      <c r="DC62" s="9" t="n">
        <v>1</v>
      </c>
      <c r="DD62" s="9" t="n">
        <v>1</v>
      </c>
      <c r="DE62" s="9" t="n">
        <v>1</v>
      </c>
      <c r="DF62" s="9" t="n">
        <v>1</v>
      </c>
      <c r="DG62" s="11" t="n">
        <f aca="false">(DC62+DD62+DE62+DF62)/4</f>
        <v>1</v>
      </c>
      <c r="DH62" s="9" t="n">
        <v>1</v>
      </c>
      <c r="DI62" s="9" t="n">
        <v>1</v>
      </c>
      <c r="DJ62" s="9" t="n">
        <v>1</v>
      </c>
      <c r="DK62" s="9" t="n">
        <v>1</v>
      </c>
      <c r="DL62" s="11" t="n">
        <f aca="false">(DH62+DI62+DJ62+DK62)/4</f>
        <v>1</v>
      </c>
      <c r="DM62" s="9" t="n">
        <v>36</v>
      </c>
      <c r="DN62" s="9" t="n">
        <v>127</v>
      </c>
      <c r="DO62" s="9" t="n">
        <v>39</v>
      </c>
      <c r="DP62" s="9" t="n">
        <v>16</v>
      </c>
      <c r="DQ62" s="11" t="n">
        <f aca="false">(DM62+DN62+DO62+DP62)/4</f>
        <v>54.5</v>
      </c>
      <c r="DR62" s="9" t="n">
        <v>18</v>
      </c>
      <c r="DS62" s="9" t="n">
        <v>4</v>
      </c>
      <c r="DT62" s="9" t="n">
        <v>9</v>
      </c>
      <c r="DU62" s="9" t="n">
        <v>8</v>
      </c>
      <c r="DV62" s="11" t="n">
        <f aca="false">(DR62+DS62+DT62+DU62)/4</f>
        <v>9.75</v>
      </c>
      <c r="DW62" s="9" t="n">
        <v>0</v>
      </c>
      <c r="DX62" s="9" t="n">
        <v>0</v>
      </c>
      <c r="DY62" s="9" t="n">
        <v>0</v>
      </c>
      <c r="DZ62" s="9" t="n">
        <v>0</v>
      </c>
      <c r="EA62" s="11" t="n">
        <f aca="false">(DW62+DX62+DY62+DZ62)/4</f>
        <v>0</v>
      </c>
      <c r="EB62" s="11" t="n">
        <f aca="false">(DW62/DR62)</f>
        <v>0</v>
      </c>
      <c r="EC62" s="11" t="n">
        <f aca="false">(DX62/DS62)</f>
        <v>0</v>
      </c>
      <c r="ED62" s="11" t="n">
        <f aca="false">(DY62/DT62)</f>
        <v>0</v>
      </c>
      <c r="EE62" s="11" t="n">
        <f aca="false">(DZ62/DU62)</f>
        <v>0</v>
      </c>
      <c r="EF62" s="11" t="n">
        <f aca="false">(EA62/DV62)</f>
        <v>0</v>
      </c>
      <c r="EG62" s="11" t="n">
        <f aca="false">(100*EF62)</f>
        <v>0</v>
      </c>
      <c r="EH62" s="9" t="n">
        <v>0</v>
      </c>
      <c r="EI62" s="9" t="n">
        <v>2</v>
      </c>
      <c r="EJ62" s="9" t="n">
        <v>1</v>
      </c>
      <c r="EK62" s="19" t="n">
        <v>8</v>
      </c>
      <c r="EL62" s="9" t="n">
        <v>7</v>
      </c>
      <c r="EM62" s="9" t="n">
        <f aca="false">(EI62+EJ62+EK62+EL62)/4</f>
        <v>4.5</v>
      </c>
      <c r="EN62" s="9" t="n">
        <f aca="false">(EI62/DR62)</f>
        <v>0.111111111111111</v>
      </c>
      <c r="EO62" s="9" t="n">
        <f aca="false">(EJ62/DS62)</f>
        <v>0.25</v>
      </c>
      <c r="EP62" s="9" t="n">
        <f aca="false">(EK62/DT62)</f>
        <v>0.888888888888889</v>
      </c>
      <c r="EQ62" s="9" t="n">
        <f aca="false">(EL62/DU62)</f>
        <v>0.875</v>
      </c>
      <c r="ER62" s="9" t="n">
        <f aca="false">EM62/DV62</f>
        <v>0.461538461538462</v>
      </c>
      <c r="ES62" s="9" t="n">
        <f aca="false">(100*ER62)</f>
        <v>46.1538461538462</v>
      </c>
      <c r="ET62" s="9" t="n">
        <v>3</v>
      </c>
      <c r="EU62" s="18" t="n">
        <v>0</v>
      </c>
      <c r="EV62" s="9" t="n">
        <v>2</v>
      </c>
      <c r="EW62" s="9" t="n">
        <v>1</v>
      </c>
      <c r="EX62" s="9" t="n">
        <v>1</v>
      </c>
      <c r="EY62" s="11" t="n">
        <f aca="false">(EU62+EV62+EW62+EX62)/4</f>
        <v>1</v>
      </c>
      <c r="EZ62" s="11" t="n">
        <f aca="false">(EU62/DR62)</f>
        <v>0</v>
      </c>
      <c r="FA62" s="11" t="n">
        <f aca="false">(EV62/DS62)</f>
        <v>0.5</v>
      </c>
      <c r="FB62" s="11" t="n">
        <f aca="false">(EW62/DT62)</f>
        <v>0.111111111111111</v>
      </c>
      <c r="FC62" s="11" t="n">
        <f aca="false">(EX62/DU62)</f>
        <v>0.125</v>
      </c>
      <c r="FD62" s="11" t="n">
        <f aca="false">(EY62/DV62)</f>
        <v>0.102564102564103</v>
      </c>
      <c r="FE62" s="11" t="n">
        <f aca="false">(100*FD62)</f>
        <v>10.2564102564103</v>
      </c>
      <c r="FF62" s="9" t="n">
        <v>2</v>
      </c>
      <c r="FG62" s="9" t="n">
        <v>7</v>
      </c>
      <c r="FH62" s="9" t="n">
        <v>33</v>
      </c>
      <c r="FI62" s="9" t="n">
        <v>2</v>
      </c>
      <c r="FJ62" s="9" t="n">
        <v>5</v>
      </c>
      <c r="FK62" s="11" t="n">
        <f aca="false">(FG62+FH62+FI62+FJ62)/4</f>
        <v>11.75</v>
      </c>
      <c r="FL62" s="11" t="n">
        <f aca="false">(FG62/DR62)</f>
        <v>0.388888888888889</v>
      </c>
      <c r="FM62" s="11" t="n">
        <f aca="false">(FH62/DS62)</f>
        <v>8.25</v>
      </c>
      <c r="FN62" s="11" t="n">
        <f aca="false">(FI62/DT62)</f>
        <v>0.222222222222222</v>
      </c>
      <c r="FO62" s="11" t="n">
        <f aca="false">(FJ62/DU62)</f>
        <v>0.625</v>
      </c>
      <c r="FP62" s="11" t="n">
        <f aca="false">(FK62/DV62)</f>
        <v>1.20512820512821</v>
      </c>
      <c r="FQ62" s="11" t="n">
        <f aca="false">(100*FP62)</f>
        <v>120.512820512821</v>
      </c>
      <c r="FR62" s="9" t="n">
        <v>3</v>
      </c>
      <c r="FS62" s="9" t="n">
        <v>63.9</v>
      </c>
      <c r="FT62" s="9" t="n">
        <v>43.1</v>
      </c>
      <c r="FU62" s="9" t="n">
        <v>76.2</v>
      </c>
      <c r="FV62" s="9" t="n">
        <v>74.8</v>
      </c>
      <c r="FW62" s="11" t="n">
        <f aca="false">(FS62+FT62+FU62+FV62)/4</f>
        <v>64.5</v>
      </c>
      <c r="FX62" s="9" t="n">
        <v>0</v>
      </c>
      <c r="FY62" s="9" t="n">
        <v>0</v>
      </c>
      <c r="FZ62" s="9" t="n">
        <v>0</v>
      </c>
      <c r="GA62" s="9" t="n">
        <v>0</v>
      </c>
      <c r="GB62" s="11" t="n">
        <f aca="false">(FX62+FY62+FZ62+GA62)/4</f>
        <v>0</v>
      </c>
      <c r="GC62" s="9" t="n">
        <v>1</v>
      </c>
      <c r="GD62" s="9" t="n">
        <v>1</v>
      </c>
      <c r="GE62" s="9" t="n">
        <v>1</v>
      </c>
      <c r="GF62" s="9" t="n">
        <v>1</v>
      </c>
      <c r="GG62" s="11" t="n">
        <f aca="false">(GC62+GD62+GE62+GF62)/4</f>
        <v>1</v>
      </c>
      <c r="GH62" s="9" t="n">
        <v>1</v>
      </c>
      <c r="GI62" s="9" t="n">
        <v>1</v>
      </c>
      <c r="GJ62" s="9" t="n">
        <v>1</v>
      </c>
      <c r="GK62" s="9" t="n">
        <v>1</v>
      </c>
      <c r="GL62" s="11" t="n">
        <f aca="false">(GH62+GI62+GJ62+GK62)/4</f>
        <v>1</v>
      </c>
      <c r="GM62" s="9" t="n">
        <v>38</v>
      </c>
      <c r="GN62" s="9" t="n">
        <v>35</v>
      </c>
      <c r="GO62" s="9" t="n">
        <v>10</v>
      </c>
      <c r="GP62" s="9" t="n">
        <v>20</v>
      </c>
      <c r="GQ62" s="11" t="n">
        <f aca="false">(GM62+GN62+GO62+GP62)/4</f>
        <v>25.75</v>
      </c>
      <c r="GR62" s="9" t="n">
        <v>18</v>
      </c>
      <c r="GS62" s="9" t="n">
        <v>23</v>
      </c>
      <c r="GT62" s="9" t="n">
        <v>22</v>
      </c>
      <c r="GU62" s="9" t="n">
        <v>30</v>
      </c>
      <c r="GV62" s="11" t="n">
        <f aca="false">(GR62+GS62+GT62+GU62)/4</f>
        <v>23.25</v>
      </c>
      <c r="GW62" s="9" t="n">
        <v>0</v>
      </c>
      <c r="GX62" s="9" t="n">
        <v>0</v>
      </c>
      <c r="GY62" s="9" t="n">
        <v>0</v>
      </c>
      <c r="GZ62" s="9" t="n">
        <v>0</v>
      </c>
      <c r="HA62" s="11" t="n">
        <f aca="false">(GW62+GX62+GY62+GZ62)/4</f>
        <v>0</v>
      </c>
      <c r="HB62" s="9" t="n">
        <f aca="false">(GW62/GR62)</f>
        <v>0</v>
      </c>
      <c r="HC62" s="9" t="n">
        <f aca="false">(GX62/GS62)</f>
        <v>0</v>
      </c>
      <c r="HD62" s="9" t="n">
        <f aca="false">(GY62/GT62)</f>
        <v>0</v>
      </c>
      <c r="HE62" s="9" t="n">
        <f aca="false">(GZ62/GU62)/4</f>
        <v>0</v>
      </c>
      <c r="HF62" s="9" t="n">
        <f aca="false">(HB62+HC62+HD62+HE62)/4</f>
        <v>0</v>
      </c>
      <c r="HG62" s="9" t="n">
        <f aca="false">(100*HF62)</f>
        <v>0</v>
      </c>
      <c r="HH62" s="18" t="n">
        <v>0</v>
      </c>
      <c r="HI62" s="9" t="n">
        <v>7</v>
      </c>
      <c r="HJ62" s="9" t="n">
        <v>5</v>
      </c>
      <c r="HK62" s="9" t="n">
        <v>5</v>
      </c>
      <c r="HL62" s="19" t="n">
        <v>17</v>
      </c>
      <c r="HM62" s="9" t="n">
        <f aca="false">(HI62+HJ62+HK62+HL62)/4</f>
        <v>8.5</v>
      </c>
      <c r="HN62" s="9" t="n">
        <f aca="false">(HI62/GR62)</f>
        <v>0.388888888888889</v>
      </c>
      <c r="HO62" s="9" t="n">
        <f aca="false">(HJ62/GS62)</f>
        <v>0.217391304347826</v>
      </c>
      <c r="HP62" s="9" t="n">
        <f aca="false">(HK62/GT62)</f>
        <v>0.227272727272727</v>
      </c>
      <c r="HQ62" s="9" t="n">
        <f aca="false">(HL62/GU62)</f>
        <v>0.566666666666667</v>
      </c>
      <c r="HR62" s="9" t="n">
        <f aca="false">(HM62/GV62)</f>
        <v>0.365591397849462</v>
      </c>
      <c r="HS62" s="9" t="n">
        <f aca="false">(100*HR62)</f>
        <v>36.5591397849462</v>
      </c>
      <c r="HT62" s="18" t="n">
        <v>3</v>
      </c>
      <c r="HU62" s="9" t="n">
        <v>2</v>
      </c>
      <c r="HV62" s="9" t="n">
        <v>2</v>
      </c>
      <c r="HW62" s="9" t="n">
        <v>2</v>
      </c>
      <c r="HX62" s="19" t="n">
        <v>5</v>
      </c>
      <c r="HY62" s="9" t="n">
        <f aca="false">(HU62+HV62+HW62+HX62)/4</f>
        <v>2.75</v>
      </c>
      <c r="HZ62" s="9" t="n">
        <f aca="false">(HU62/GR62)</f>
        <v>0.111111111111111</v>
      </c>
      <c r="IA62" s="9" t="n">
        <f aca="false">HV62/GS62</f>
        <v>0.0869565217391304</v>
      </c>
      <c r="IB62" s="9" t="n">
        <f aca="false">(HW62/GT62)</f>
        <v>0.0909090909090909</v>
      </c>
      <c r="IC62" s="9" t="n">
        <f aca="false">(HX62/GU62)</f>
        <v>0.166666666666667</v>
      </c>
      <c r="ID62" s="9" t="n">
        <f aca="false">(HY62/GV62)</f>
        <v>0.118279569892473</v>
      </c>
      <c r="IE62" s="9" t="n">
        <f aca="false">(100*ID62)</f>
        <v>11.8279569892473</v>
      </c>
      <c r="IF62" s="18" t="n">
        <v>2</v>
      </c>
      <c r="IG62" s="9" t="n">
        <v>3</v>
      </c>
      <c r="IH62" s="9" t="n">
        <v>6</v>
      </c>
      <c r="II62" s="19" t="n">
        <v>7</v>
      </c>
      <c r="IJ62" s="9" t="n">
        <v>2</v>
      </c>
      <c r="IK62" s="9" t="n">
        <f aca="false">(IG62+IH62+II62+IJ62)/4</f>
        <v>4.5</v>
      </c>
      <c r="IL62" s="9" t="n">
        <f aca="false">(IG62/GM62)</f>
        <v>0.0789473684210526</v>
      </c>
      <c r="IM62" s="9" t="n">
        <f aca="false">(IH62/GN62)</f>
        <v>0.171428571428571</v>
      </c>
      <c r="IN62" s="9" t="n">
        <f aca="false">(II62/GO62)</f>
        <v>0.7</v>
      </c>
      <c r="IO62" s="9" t="n">
        <f aca="false">(IJ62/GP62)</f>
        <v>0.1</v>
      </c>
      <c r="IP62" s="9" t="n">
        <f aca="false">(IK62/GQ62)</f>
        <v>0.174757281553398</v>
      </c>
      <c r="IQ62" s="9" t="n">
        <f aca="false">(100*IP62)</f>
        <v>17.4757281553398</v>
      </c>
      <c r="IR62" s="18" t="n">
        <v>2</v>
      </c>
      <c r="IS62" s="9" t="n">
        <v>67.2</v>
      </c>
      <c r="IT62" s="9" t="n">
        <v>66.4</v>
      </c>
      <c r="IU62" s="19" t="n">
        <v>71.4</v>
      </c>
      <c r="IV62" s="9" t="n">
        <v>76.1</v>
      </c>
      <c r="IW62" s="9" t="n">
        <f aca="false">(IS62+IT62+IU62+IV62)/4</f>
        <v>70.275</v>
      </c>
      <c r="IX62" s="16" t="n">
        <v>45241</v>
      </c>
      <c r="IY62" s="10" t="s">
        <v>268</v>
      </c>
    </row>
    <row r="63" customFormat="false" ht="15.75" hidden="false" customHeight="true" outlineLevel="0" collapsed="false">
      <c r="A63" s="9" t="s">
        <v>259</v>
      </c>
      <c r="B63" s="10" t="s">
        <v>412</v>
      </c>
      <c r="C63" s="10" t="s">
        <v>400</v>
      </c>
      <c r="D63" s="9" t="n">
        <v>3</v>
      </c>
      <c r="E63" s="9" t="n">
        <v>21</v>
      </c>
      <c r="F63" s="10" t="s">
        <v>417</v>
      </c>
      <c r="G63" s="10" t="s">
        <v>320</v>
      </c>
      <c r="H63" s="9" t="n">
        <v>21</v>
      </c>
      <c r="I63" s="9" t="n">
        <v>10</v>
      </c>
      <c r="J63" s="12" t="s">
        <v>270</v>
      </c>
      <c r="K63" s="20"/>
      <c r="L63" s="20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 t="n">
        <v>0</v>
      </c>
      <c r="Y63" s="9" t="n">
        <v>0</v>
      </c>
      <c r="Z63" s="9" t="n">
        <v>1</v>
      </c>
      <c r="AA63" s="9" t="n">
        <v>0</v>
      </c>
      <c r="AB63" s="11" t="n">
        <f aca="false">(X63+Y63+Z63+AA63)/4</f>
        <v>0.25</v>
      </c>
      <c r="AC63" s="9" t="n">
        <v>1</v>
      </c>
      <c r="AD63" s="9" t="n">
        <v>1</v>
      </c>
      <c r="AE63" s="9" t="n">
        <v>1</v>
      </c>
      <c r="AF63" s="9" t="n">
        <v>1</v>
      </c>
      <c r="AG63" s="11" t="n">
        <f aca="false">(AC63+AD63+AE63+AF63)/4</f>
        <v>1</v>
      </c>
      <c r="AH63" s="9" t="n">
        <v>1</v>
      </c>
      <c r="AI63" s="9" t="n">
        <v>1</v>
      </c>
      <c r="AJ63" s="9" t="n">
        <v>1</v>
      </c>
      <c r="AK63" s="9" t="n">
        <v>1</v>
      </c>
      <c r="AL63" s="11" t="n">
        <f aca="false">(AH63+AI63+AJ63+AK63)/4</f>
        <v>1</v>
      </c>
      <c r="AM63" s="9" t="n">
        <v>57</v>
      </c>
      <c r="AN63" s="9" t="n">
        <v>79</v>
      </c>
      <c r="AO63" s="9" t="n">
        <v>97</v>
      </c>
      <c r="AP63" s="9" t="n">
        <v>20</v>
      </c>
      <c r="AQ63" s="11" t="n">
        <f aca="false">(AM63+AN63+AO63+AP63)/4</f>
        <v>63.25</v>
      </c>
      <c r="AR63" s="9" t="n">
        <v>93</v>
      </c>
      <c r="AS63" s="9" t="n">
        <v>32</v>
      </c>
      <c r="AT63" s="9" t="n">
        <v>70</v>
      </c>
      <c r="AU63" s="9" t="n">
        <v>22</v>
      </c>
      <c r="AV63" s="11" t="n">
        <f aca="false">(AR63+AS63+AT63+AU63)/4</f>
        <v>54.25</v>
      </c>
      <c r="AW63" s="9" t="n">
        <v>0</v>
      </c>
      <c r="AX63" s="9" t="n">
        <v>0</v>
      </c>
      <c r="AY63" s="9" t="n">
        <v>3</v>
      </c>
      <c r="AZ63" s="9" t="n">
        <v>0</v>
      </c>
      <c r="BA63" s="11" t="n">
        <f aca="false">(AW63+AX63+AY63+AZ63)/4</f>
        <v>0.75</v>
      </c>
      <c r="BB63" s="11" t="n">
        <f aca="false">(AW63/AR63)</f>
        <v>0</v>
      </c>
      <c r="BC63" s="11" t="n">
        <f aca="false">(AX63/AS63)</f>
        <v>0</v>
      </c>
      <c r="BD63" s="11" t="n">
        <f aca="false">(AY63/AT63)</f>
        <v>0.0428571428571429</v>
      </c>
      <c r="BE63" s="11" t="n">
        <f aca="false">(AZ63/AU63)</f>
        <v>0</v>
      </c>
      <c r="BF63" s="11" t="n">
        <f aca="false">(BA63/AV63)</f>
        <v>0.0138248847926267</v>
      </c>
      <c r="BG63" s="11" t="n">
        <f aca="false">(BF63*100)</f>
        <v>1.38248847926267</v>
      </c>
      <c r="BH63" s="9" t="n">
        <v>1</v>
      </c>
      <c r="BI63" s="9" t="n">
        <v>4</v>
      </c>
      <c r="BJ63" s="9" t="n">
        <v>4</v>
      </c>
      <c r="BK63" s="9" t="n">
        <v>1</v>
      </c>
      <c r="BL63" s="9" t="n">
        <v>3</v>
      </c>
      <c r="BM63" s="11" t="n">
        <f aca="false">(BI63+BJ63+BK63+BL63)/4</f>
        <v>3</v>
      </c>
      <c r="BN63" s="11" t="n">
        <f aca="false">(BI63/AR63)</f>
        <v>0.043010752688172</v>
      </c>
      <c r="BO63" s="11" t="n">
        <f aca="false">(BJ63/AS63)</f>
        <v>0.125</v>
      </c>
      <c r="BP63" s="11" t="n">
        <f aca="false">(BK63/AT63)</f>
        <v>0.0142857142857143</v>
      </c>
      <c r="BQ63" s="11" t="n">
        <f aca="false">(BL63/AU63)</f>
        <v>0.136363636363636</v>
      </c>
      <c r="BR63" s="11" t="n">
        <f aca="false">(BM63/AV63)</f>
        <v>0.0552995391705069</v>
      </c>
      <c r="BS63" s="11" t="n">
        <f aca="false">(100*BR63)</f>
        <v>5.52995391705069</v>
      </c>
      <c r="BT63" s="9" t="n">
        <v>1</v>
      </c>
      <c r="BU63" s="9" t="n">
        <v>2</v>
      </c>
      <c r="BV63" s="9" t="n">
        <v>2</v>
      </c>
      <c r="BW63" s="9" t="n">
        <v>3</v>
      </c>
      <c r="BX63" s="9" t="n">
        <v>5</v>
      </c>
      <c r="BY63" s="11" t="n">
        <f aca="false">(BU63+BV63+BW63+BX63)/4</f>
        <v>3</v>
      </c>
      <c r="BZ63" s="11" t="n">
        <f aca="false">(BU63/AR63)</f>
        <v>0.021505376344086</v>
      </c>
      <c r="CA63" s="11" t="n">
        <f aca="false">(BV63/AS63)</f>
        <v>0.0625</v>
      </c>
      <c r="CB63" s="11" t="n">
        <f aca="false">(BW63/AT63)</f>
        <v>0.0428571428571429</v>
      </c>
      <c r="CC63" s="11" t="n">
        <f aca="false">(BX63/AU63)</f>
        <v>0.227272727272727</v>
      </c>
      <c r="CD63" s="11" t="n">
        <f aca="false">(BY63/AV63)</f>
        <v>0.0552995391705069</v>
      </c>
      <c r="CE63" s="11" t="n">
        <f aca="false">(100*CD63)</f>
        <v>5.52995391705069</v>
      </c>
      <c r="CF63" s="9" t="n">
        <v>1</v>
      </c>
      <c r="CG63" s="9" t="n">
        <v>4</v>
      </c>
      <c r="CH63" s="9" t="n">
        <v>6</v>
      </c>
      <c r="CI63" s="9" t="n">
        <v>3</v>
      </c>
      <c r="CJ63" s="9" t="n">
        <v>3</v>
      </c>
      <c r="CK63" s="11" t="n">
        <f aca="false">(CG63+CH63+CI63+CJ63)/4</f>
        <v>4</v>
      </c>
      <c r="CL63" s="11" t="n">
        <f aca="false">(CG63/AM63)</f>
        <v>0.0701754385964912</v>
      </c>
      <c r="CM63" s="11" t="n">
        <f aca="false">(CH63/AN63)</f>
        <v>0.0759493670886076</v>
      </c>
      <c r="CN63" s="11" t="n">
        <f aca="false">(CI63/AO63)</f>
        <v>0.0309278350515464</v>
      </c>
      <c r="CO63" s="9" t="n">
        <f aca="false">(CJ63/AP63)</f>
        <v>0.15</v>
      </c>
      <c r="CP63" s="9" t="n">
        <f aca="false">(CK63/AQ63)</f>
        <v>0.0632411067193676</v>
      </c>
      <c r="CQ63" s="9" t="n">
        <f aca="false">(100*CP63)</f>
        <v>6.32411067193676</v>
      </c>
      <c r="CR63" s="18" t="n">
        <v>1</v>
      </c>
      <c r="CS63" s="9" t="n">
        <v>75.8</v>
      </c>
      <c r="CT63" s="9" t="n">
        <v>75.5</v>
      </c>
      <c r="CU63" s="9" t="n">
        <v>60</v>
      </c>
      <c r="CV63" s="9" t="n">
        <v>55.2</v>
      </c>
      <c r="CW63" s="11" t="n">
        <f aca="false">(CS63+CT63+CU63+CV63)/4</f>
        <v>66.625</v>
      </c>
      <c r="CX63" s="9" t="n">
        <v>0</v>
      </c>
      <c r="CY63" s="9" t="n">
        <v>0</v>
      </c>
      <c r="CZ63" s="9" t="n">
        <v>0</v>
      </c>
      <c r="DA63" s="9" t="n">
        <v>0</v>
      </c>
      <c r="DB63" s="11" t="n">
        <f aca="false">(CX63+CY63+CZ63+DA63)/4</f>
        <v>0</v>
      </c>
      <c r="DC63" s="9" t="n">
        <v>1</v>
      </c>
      <c r="DD63" s="9" t="n">
        <v>1</v>
      </c>
      <c r="DE63" s="9" t="n">
        <v>0</v>
      </c>
      <c r="DF63" s="9" t="n">
        <v>1</v>
      </c>
      <c r="DG63" s="11" t="n">
        <f aca="false">(DC63+DD63+DE63+DF63)/4</f>
        <v>0.75</v>
      </c>
      <c r="DH63" s="9" t="n">
        <v>1</v>
      </c>
      <c r="DI63" s="9" t="n">
        <v>1</v>
      </c>
      <c r="DJ63" s="9" t="n">
        <v>1</v>
      </c>
      <c r="DK63" s="9" t="n">
        <v>1</v>
      </c>
      <c r="DL63" s="11" t="n">
        <f aca="false">(DH63+DI63+DJ63+DK63)/4</f>
        <v>1</v>
      </c>
      <c r="DM63" s="9" t="n">
        <v>36</v>
      </c>
      <c r="DN63" s="9" t="n">
        <v>39</v>
      </c>
      <c r="DO63" s="9" t="n">
        <v>65</v>
      </c>
      <c r="DP63" s="9" t="n">
        <v>10</v>
      </c>
      <c r="DQ63" s="11" t="n">
        <f aca="false">(DM63+DN63+DO63+DP63)/4</f>
        <v>37.5</v>
      </c>
      <c r="DR63" s="9" t="n">
        <v>13</v>
      </c>
      <c r="DS63" s="9" t="n">
        <v>14</v>
      </c>
      <c r="DT63" s="9" t="n">
        <v>12</v>
      </c>
      <c r="DU63" s="9" t="n">
        <v>12</v>
      </c>
      <c r="DV63" s="11" t="n">
        <f aca="false">(DR63+DS63+DT63+DU63)/4</f>
        <v>12.75</v>
      </c>
      <c r="DW63" s="9" t="n">
        <v>0</v>
      </c>
      <c r="DX63" s="9" t="n">
        <v>0</v>
      </c>
      <c r="DY63" s="9" t="n">
        <v>0</v>
      </c>
      <c r="DZ63" s="9" t="n">
        <v>0</v>
      </c>
      <c r="EA63" s="11" t="n">
        <f aca="false">(DW63+DX63+DY63+DZ63)/4</f>
        <v>0</v>
      </c>
      <c r="EB63" s="11" t="n">
        <f aca="false">(DW63/DR63)</f>
        <v>0</v>
      </c>
      <c r="EC63" s="11" t="n">
        <f aca="false">(DX63/DS63)</f>
        <v>0</v>
      </c>
      <c r="ED63" s="11" t="n">
        <f aca="false">(DY63/DT63)</f>
        <v>0</v>
      </c>
      <c r="EE63" s="11" t="n">
        <f aca="false">(DZ63/DU63)</f>
        <v>0</v>
      </c>
      <c r="EF63" s="11" t="n">
        <f aca="false">(EA63/DV63)</f>
        <v>0</v>
      </c>
      <c r="EG63" s="11" t="n">
        <f aca="false">(100*EF63)</f>
        <v>0</v>
      </c>
      <c r="EH63" s="9" t="n">
        <v>0</v>
      </c>
      <c r="EI63" s="9" t="n">
        <v>1</v>
      </c>
      <c r="EJ63" s="9" t="n">
        <v>2</v>
      </c>
      <c r="EK63" s="19" t="n">
        <v>0</v>
      </c>
      <c r="EL63" s="9" t="n">
        <v>4</v>
      </c>
      <c r="EM63" s="9" t="n">
        <f aca="false">(EI63+EJ63+EK63+EL63)/4</f>
        <v>1.75</v>
      </c>
      <c r="EN63" s="9" t="n">
        <f aca="false">(EI63/DR63)</f>
        <v>0.0769230769230769</v>
      </c>
      <c r="EO63" s="9" t="n">
        <f aca="false">(EJ63/DS63)</f>
        <v>0.142857142857143</v>
      </c>
      <c r="EP63" s="9" t="n">
        <f aca="false">(EK63/DT63)</f>
        <v>0</v>
      </c>
      <c r="EQ63" s="9" t="n">
        <f aca="false">(EL63/DU63)</f>
        <v>0.333333333333333</v>
      </c>
      <c r="ER63" s="9" t="n">
        <f aca="false">EM63/DV63</f>
        <v>0.137254901960784</v>
      </c>
      <c r="ES63" s="9" t="n">
        <f aca="false">(100*ER63)</f>
        <v>13.7254901960784</v>
      </c>
      <c r="ET63" s="9" t="n">
        <v>2</v>
      </c>
      <c r="EU63" s="18" t="n">
        <v>2</v>
      </c>
      <c r="EV63" s="9" t="n">
        <v>3</v>
      </c>
      <c r="EW63" s="9" t="n">
        <v>1</v>
      </c>
      <c r="EX63" s="9" t="n">
        <v>11</v>
      </c>
      <c r="EY63" s="11" t="n">
        <f aca="false">(EU63+EV63+EW63+EX63)/4</f>
        <v>4.25</v>
      </c>
      <c r="EZ63" s="11" t="n">
        <f aca="false">(EU63/DR63)</f>
        <v>0.153846153846154</v>
      </c>
      <c r="FA63" s="11" t="n">
        <f aca="false">(EV63/DS63)</f>
        <v>0.214285714285714</v>
      </c>
      <c r="FB63" s="11" t="n">
        <f aca="false">(EW63/DT63)</f>
        <v>0.0833333333333333</v>
      </c>
      <c r="FC63" s="11" t="n">
        <f aca="false">(EX63/DU63)</f>
        <v>0.916666666666667</v>
      </c>
      <c r="FD63" s="11" t="n">
        <f aca="false">(EY63/DV63)</f>
        <v>0.333333333333333</v>
      </c>
      <c r="FE63" s="11" t="n">
        <f aca="false">(100*FD63)</f>
        <v>33.3333333333333</v>
      </c>
      <c r="FF63" s="9" t="n">
        <v>3</v>
      </c>
      <c r="FG63" s="9" t="n">
        <v>5</v>
      </c>
      <c r="FH63" s="9" t="n">
        <v>2</v>
      </c>
      <c r="FI63" s="9" t="n">
        <v>3</v>
      </c>
      <c r="FJ63" s="9" t="n">
        <v>3</v>
      </c>
      <c r="FK63" s="11" t="n">
        <f aca="false">(FG63+FH63+FI63+FJ63)/4</f>
        <v>3.25</v>
      </c>
      <c r="FL63" s="11" t="n">
        <f aca="false">(FG63/DR63)</f>
        <v>0.384615384615385</v>
      </c>
      <c r="FM63" s="11" t="n">
        <f aca="false">(FH63/DS63)</f>
        <v>0.142857142857143</v>
      </c>
      <c r="FN63" s="11" t="n">
        <f aca="false">(FI63/DT63)</f>
        <v>0.25</v>
      </c>
      <c r="FO63" s="11" t="n">
        <f aca="false">(FJ63/DU63)</f>
        <v>0.25</v>
      </c>
      <c r="FP63" s="11" t="n">
        <f aca="false">(FK63/DV63)</f>
        <v>0.254901960784314</v>
      </c>
      <c r="FQ63" s="11" t="n">
        <f aca="false">(100*FP63)</f>
        <v>25.4901960784314</v>
      </c>
      <c r="FR63" s="9" t="n">
        <v>2</v>
      </c>
      <c r="FS63" s="9" t="n">
        <v>71.3</v>
      </c>
      <c r="FT63" s="9" t="n">
        <v>64.1</v>
      </c>
      <c r="FU63" s="9" t="n">
        <v>56.4</v>
      </c>
      <c r="FV63" s="9" t="n">
        <v>65.2</v>
      </c>
      <c r="FW63" s="11" t="n">
        <f aca="false">(FS63+FT63+FU63+FV63)/4</f>
        <v>64.25</v>
      </c>
      <c r="FX63" s="9" t="n">
        <v>0</v>
      </c>
      <c r="FY63" s="9" t="n">
        <v>0</v>
      </c>
      <c r="FZ63" s="9" t="n">
        <v>0</v>
      </c>
      <c r="GA63" s="9" t="n">
        <v>0</v>
      </c>
      <c r="GB63" s="11" t="n">
        <f aca="false">(FX63+FY63+FZ63+GA63)/4</f>
        <v>0</v>
      </c>
      <c r="GC63" s="9" t="n">
        <v>0</v>
      </c>
      <c r="GD63" s="9" t="n">
        <v>0</v>
      </c>
      <c r="GE63" s="9" t="n">
        <v>0</v>
      </c>
      <c r="GF63" s="9" t="n">
        <v>0</v>
      </c>
      <c r="GG63" s="11" t="n">
        <f aca="false">(GC63+GD63+GE63+GF63)/4</f>
        <v>0</v>
      </c>
      <c r="GH63" s="9" t="n">
        <v>1</v>
      </c>
      <c r="GI63" s="9" t="n">
        <v>1</v>
      </c>
      <c r="GJ63" s="9" t="n">
        <v>1</v>
      </c>
      <c r="GK63" s="9" t="n">
        <v>1</v>
      </c>
      <c r="GL63" s="11" t="n">
        <f aca="false">(GH63+GI63+GJ63+GK63)/4</f>
        <v>1</v>
      </c>
      <c r="GM63" s="9" t="n">
        <v>64</v>
      </c>
      <c r="GN63" s="9" t="n">
        <v>46</v>
      </c>
      <c r="GO63" s="9" t="n">
        <v>38</v>
      </c>
      <c r="GP63" s="9" t="n">
        <v>60</v>
      </c>
      <c r="GQ63" s="11" t="n">
        <f aca="false">(GM63+GN63+GO63+GP63)/4</f>
        <v>52</v>
      </c>
      <c r="GR63" s="9" t="n">
        <v>41</v>
      </c>
      <c r="GS63" s="9" t="n">
        <v>30</v>
      </c>
      <c r="GT63" s="9" t="n">
        <v>46</v>
      </c>
      <c r="GU63" s="9" t="n">
        <v>62</v>
      </c>
      <c r="GV63" s="11" t="n">
        <f aca="false">(GR63+GS63+GT63+GU63)/4</f>
        <v>44.75</v>
      </c>
      <c r="GW63" s="9" t="n">
        <v>0</v>
      </c>
      <c r="GX63" s="9" t="n">
        <v>0</v>
      </c>
      <c r="GY63" s="9" t="n">
        <v>0</v>
      </c>
      <c r="GZ63" s="9" t="n">
        <v>0</v>
      </c>
      <c r="HA63" s="11" t="n">
        <f aca="false">(GW63+GX63+GY63+GZ63)/4</f>
        <v>0</v>
      </c>
      <c r="HB63" s="9" t="n">
        <f aca="false">(GW63/GR63)</f>
        <v>0</v>
      </c>
      <c r="HC63" s="9" t="n">
        <f aca="false">(GX63/GS63)</f>
        <v>0</v>
      </c>
      <c r="HD63" s="9" t="n">
        <f aca="false">(GY63/GT63)</f>
        <v>0</v>
      </c>
      <c r="HE63" s="9" t="n">
        <f aca="false">(GZ63/GU63)/4</f>
        <v>0</v>
      </c>
      <c r="HF63" s="9" t="n">
        <f aca="false">(HB63+HC63+HD63+HE63)/4</f>
        <v>0</v>
      </c>
      <c r="HG63" s="9" t="n">
        <f aca="false">(100*HF63)</f>
        <v>0</v>
      </c>
      <c r="HH63" s="18" t="n">
        <v>0</v>
      </c>
      <c r="HI63" s="9" t="n">
        <v>2</v>
      </c>
      <c r="HJ63" s="9" t="n">
        <v>1</v>
      </c>
      <c r="HK63" s="9" t="n">
        <v>4</v>
      </c>
      <c r="HL63" s="19" t="n">
        <v>2</v>
      </c>
      <c r="HM63" s="9" t="n">
        <f aca="false">(HI63+HJ63+HK63+HL63)/4</f>
        <v>2.25</v>
      </c>
      <c r="HN63" s="9" t="n">
        <f aca="false">(HI63/GR63)</f>
        <v>0.0487804878048781</v>
      </c>
      <c r="HO63" s="9" t="n">
        <f aca="false">(HJ63/GS63)</f>
        <v>0.0333333333333333</v>
      </c>
      <c r="HP63" s="9" t="n">
        <f aca="false">(HK63/GT63)</f>
        <v>0.0869565217391304</v>
      </c>
      <c r="HQ63" s="9" t="n">
        <f aca="false">(HL63/GU63)</f>
        <v>0.032258064516129</v>
      </c>
      <c r="HR63" s="9" t="n">
        <f aca="false">(HM63/GV63)</f>
        <v>0.0502793296089386</v>
      </c>
      <c r="HS63" s="9" t="n">
        <f aca="false">(100*HR63)</f>
        <v>5.02793296089386</v>
      </c>
      <c r="HT63" s="18" t="n">
        <v>1</v>
      </c>
      <c r="HU63" s="9" t="n">
        <v>2</v>
      </c>
      <c r="HV63" s="9" t="n">
        <v>2</v>
      </c>
      <c r="HW63" s="9" t="n">
        <v>11</v>
      </c>
      <c r="HX63" s="19" t="n">
        <v>2</v>
      </c>
      <c r="HY63" s="9" t="n">
        <f aca="false">(HU63+HV63+HW63+HX63)/4</f>
        <v>4.25</v>
      </c>
      <c r="HZ63" s="9" t="n">
        <f aca="false">(HU63/GR63)</f>
        <v>0.0487804878048781</v>
      </c>
      <c r="IA63" s="9" t="n">
        <f aca="false">HV63/GS63</f>
        <v>0.0666666666666667</v>
      </c>
      <c r="IB63" s="9" t="n">
        <f aca="false">(HW63/GT63)</f>
        <v>0.239130434782609</v>
      </c>
      <c r="IC63" s="9" t="n">
        <f aca="false">(HX63/GU63)</f>
        <v>0.032258064516129</v>
      </c>
      <c r="ID63" s="9" t="n">
        <f aca="false">(HY63/GV63)</f>
        <v>0.0949720670391061</v>
      </c>
      <c r="IE63" s="9" t="n">
        <f aca="false">(100*ID63)</f>
        <v>9.49720670391061</v>
      </c>
      <c r="IF63" s="18" t="n">
        <v>1</v>
      </c>
      <c r="IG63" s="9" t="n">
        <v>0</v>
      </c>
      <c r="IH63" s="9" t="n">
        <v>8</v>
      </c>
      <c r="II63" s="19" t="n">
        <v>16</v>
      </c>
      <c r="IJ63" s="9" t="n">
        <v>3</v>
      </c>
      <c r="IK63" s="9" t="n">
        <f aca="false">(IG63+IH63+II63+IJ63)/4</f>
        <v>6.75</v>
      </c>
      <c r="IL63" s="9" t="n">
        <f aca="false">(IG63/GM63)</f>
        <v>0</v>
      </c>
      <c r="IM63" s="9" t="n">
        <f aca="false">(IH63/GN63)</f>
        <v>0.173913043478261</v>
      </c>
      <c r="IN63" s="9" t="n">
        <f aca="false">(II63/GO63)</f>
        <v>0.421052631578947</v>
      </c>
      <c r="IO63" s="9" t="n">
        <f aca="false">(IJ63/GP63)</f>
        <v>0.05</v>
      </c>
      <c r="IP63" s="9" t="n">
        <f aca="false">(IK63/GQ63)</f>
        <v>0.129807692307692</v>
      </c>
      <c r="IQ63" s="9" t="n">
        <f aca="false">(100*IP63)</f>
        <v>12.9807692307692</v>
      </c>
      <c r="IR63" s="18" t="n">
        <v>2</v>
      </c>
      <c r="IS63" s="9" t="n">
        <v>67.2</v>
      </c>
      <c r="IT63" s="9" t="n">
        <v>68.7</v>
      </c>
      <c r="IU63" s="19" t="n">
        <v>64.8</v>
      </c>
      <c r="IV63" s="9" t="n">
        <v>65.4</v>
      </c>
      <c r="IW63" s="9" t="n">
        <f aca="false">(IS63+IT63+IU63+IV63)/4</f>
        <v>66.525</v>
      </c>
      <c r="IX63" s="16" t="n">
        <v>45241</v>
      </c>
      <c r="IY63" s="10" t="s">
        <v>268</v>
      </c>
    </row>
    <row r="64" customFormat="false" ht="15.75" hidden="false" customHeight="true" outlineLevel="0" collapsed="false">
      <c r="A64" s="9" t="s">
        <v>259</v>
      </c>
      <c r="B64" s="10" t="s">
        <v>412</v>
      </c>
      <c r="C64" s="10" t="s">
        <v>400</v>
      </c>
      <c r="D64" s="9" t="n">
        <v>3</v>
      </c>
      <c r="E64" s="9" t="n">
        <v>21</v>
      </c>
      <c r="F64" s="10" t="s">
        <v>418</v>
      </c>
      <c r="G64" s="10" t="s">
        <v>291</v>
      </c>
      <c r="H64" s="9" t="n">
        <v>21</v>
      </c>
      <c r="I64" s="9" t="n">
        <v>20</v>
      </c>
      <c r="J64" s="10" t="s">
        <v>272</v>
      </c>
      <c r="K64" s="20"/>
      <c r="L64" s="20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 t="n">
        <v>0</v>
      </c>
      <c r="Y64" s="9" t="n">
        <v>0</v>
      </c>
      <c r="Z64" s="9" t="n">
        <v>0</v>
      </c>
      <c r="AA64" s="9" t="n">
        <v>0</v>
      </c>
      <c r="AB64" s="11" t="n">
        <f aca="false">(X64+Y64+Z64+AA64)/4</f>
        <v>0</v>
      </c>
      <c r="AC64" s="9" t="n">
        <v>1</v>
      </c>
      <c r="AD64" s="9" t="n">
        <v>1</v>
      </c>
      <c r="AE64" s="9" t="n">
        <v>1</v>
      </c>
      <c r="AF64" s="9" t="n">
        <v>1</v>
      </c>
      <c r="AG64" s="11" t="n">
        <f aca="false">(AC64+AD64+AE64+AF64)/4</f>
        <v>1</v>
      </c>
      <c r="AH64" s="9" t="n">
        <v>1</v>
      </c>
      <c r="AI64" s="9" t="n">
        <v>0</v>
      </c>
      <c r="AJ64" s="9" t="n">
        <v>1</v>
      </c>
      <c r="AK64" s="9" t="n">
        <v>1</v>
      </c>
      <c r="AL64" s="11" t="n">
        <f aca="false">(AH64+AI64+AJ64+AK64)/4</f>
        <v>0.75</v>
      </c>
      <c r="AM64" s="9" t="n">
        <v>13</v>
      </c>
      <c r="AN64" s="9" t="n">
        <v>20</v>
      </c>
      <c r="AO64" s="9" t="n">
        <v>102</v>
      </c>
      <c r="AP64" s="9" t="n">
        <v>22</v>
      </c>
      <c r="AQ64" s="11" t="n">
        <f aca="false">(AM64+AN64+AO64+AP64)/4</f>
        <v>39.25</v>
      </c>
      <c r="AR64" s="9" t="n">
        <v>13</v>
      </c>
      <c r="AS64" s="9" t="n">
        <v>19</v>
      </c>
      <c r="AT64" s="9" t="n">
        <v>20</v>
      </c>
      <c r="AU64" s="9" t="n">
        <v>8</v>
      </c>
      <c r="AV64" s="11" t="n">
        <f aca="false">(AR64+AS64+AT64+AU64)/4</f>
        <v>15</v>
      </c>
      <c r="AW64" s="9" t="n">
        <v>0</v>
      </c>
      <c r="AX64" s="9" t="n">
        <v>0</v>
      </c>
      <c r="AY64" s="9" t="n">
        <v>0</v>
      </c>
      <c r="AZ64" s="9" t="n">
        <v>0</v>
      </c>
      <c r="BA64" s="11" t="n">
        <f aca="false">(AW64+AX64+AY64+AZ64)/4</f>
        <v>0</v>
      </c>
      <c r="BB64" s="11" t="n">
        <f aca="false">(AW64/AR64)</f>
        <v>0</v>
      </c>
      <c r="BC64" s="11" t="n">
        <f aca="false">(AX64/AS64)</f>
        <v>0</v>
      </c>
      <c r="BD64" s="11" t="n">
        <f aca="false">(AY64/AT64)</f>
        <v>0</v>
      </c>
      <c r="BE64" s="11" t="n">
        <f aca="false">(AZ64/AU64)</f>
        <v>0</v>
      </c>
      <c r="BF64" s="11" t="n">
        <f aca="false">(BA64/AV64)</f>
        <v>0</v>
      </c>
      <c r="BG64" s="11" t="n">
        <f aca="false">(BF64*100)</f>
        <v>0</v>
      </c>
      <c r="BH64" s="9" t="n">
        <v>0</v>
      </c>
      <c r="BI64" s="9" t="n">
        <v>3</v>
      </c>
      <c r="BJ64" s="9" t="n">
        <v>5</v>
      </c>
      <c r="BK64" s="9" t="n">
        <v>2</v>
      </c>
      <c r="BL64" s="9" t="n">
        <v>4</v>
      </c>
      <c r="BM64" s="11" t="n">
        <f aca="false">(BI64+BJ64+BK64+BL64)/4</f>
        <v>3.5</v>
      </c>
      <c r="BN64" s="11" t="n">
        <f aca="false">(BI64/AR64)</f>
        <v>0.230769230769231</v>
      </c>
      <c r="BO64" s="11" t="n">
        <f aca="false">(BJ64/AS64)</f>
        <v>0.263157894736842</v>
      </c>
      <c r="BP64" s="11" t="n">
        <f aca="false">(BK64/AT64)</f>
        <v>0.1</v>
      </c>
      <c r="BQ64" s="11" t="n">
        <f aca="false">(BL64/AU64)</f>
        <v>0.5</v>
      </c>
      <c r="BR64" s="11" t="n">
        <f aca="false">(BM64/AV64)</f>
        <v>0.233333333333333</v>
      </c>
      <c r="BS64" s="11" t="n">
        <f aca="false">(100*BR64)</f>
        <v>23.3333333333333</v>
      </c>
      <c r="BT64" s="9" t="n">
        <v>2</v>
      </c>
      <c r="BU64" s="9" t="n">
        <v>1</v>
      </c>
      <c r="BV64" s="9" t="n">
        <v>0</v>
      </c>
      <c r="BW64" s="9" t="n">
        <v>1</v>
      </c>
      <c r="BX64" s="9" t="n">
        <v>0</v>
      </c>
      <c r="BY64" s="11" t="n">
        <f aca="false">(BU64+BV64+BW64+BX64)/4</f>
        <v>0.5</v>
      </c>
      <c r="BZ64" s="11" t="n">
        <f aca="false">(BU64/AR64)</f>
        <v>0.0769230769230769</v>
      </c>
      <c r="CA64" s="11" t="n">
        <f aca="false">(BV64/AS64)</f>
        <v>0</v>
      </c>
      <c r="CB64" s="11" t="n">
        <f aca="false">(BW64/AT64)</f>
        <v>0.05</v>
      </c>
      <c r="CC64" s="11" t="n">
        <f aca="false">(BX64/AU64)</f>
        <v>0</v>
      </c>
      <c r="CD64" s="11" t="n">
        <f aca="false">(BY64/AV64)</f>
        <v>0.0333333333333333</v>
      </c>
      <c r="CE64" s="11" t="n">
        <f aca="false">(100*CD64)</f>
        <v>3.33333333333333</v>
      </c>
      <c r="CF64" s="9" t="n">
        <v>1</v>
      </c>
      <c r="CG64" s="9" t="n">
        <v>5</v>
      </c>
      <c r="CH64" s="9" t="n">
        <v>0</v>
      </c>
      <c r="CI64" s="9" t="n">
        <v>3</v>
      </c>
      <c r="CJ64" s="9" t="n">
        <v>6</v>
      </c>
      <c r="CK64" s="11" t="n">
        <f aca="false">(CG64+CH64+CI64+CJ64)/4</f>
        <v>3.5</v>
      </c>
      <c r="CL64" s="11" t="n">
        <f aca="false">(CG64/AM64)</f>
        <v>0.384615384615385</v>
      </c>
      <c r="CM64" s="11" t="n">
        <f aca="false">(CH64/AN64)</f>
        <v>0</v>
      </c>
      <c r="CN64" s="11" t="n">
        <f aca="false">(CI64/AO64)</f>
        <v>0.0294117647058824</v>
      </c>
      <c r="CO64" s="9" t="n">
        <f aca="false">(CJ64/AP64)</f>
        <v>0.272727272727273</v>
      </c>
      <c r="CP64" s="9" t="n">
        <f aca="false">(CK64/AQ64)</f>
        <v>0.089171974522293</v>
      </c>
      <c r="CQ64" s="9" t="n">
        <f aca="false">(100*CP64)</f>
        <v>8.9171974522293</v>
      </c>
      <c r="CR64" s="18" t="n">
        <v>1</v>
      </c>
      <c r="CS64" s="9" t="n">
        <v>77.4</v>
      </c>
      <c r="CT64" s="9" t="n">
        <v>61.6</v>
      </c>
      <c r="CU64" s="9" t="n">
        <v>47.9</v>
      </c>
      <c r="CV64" s="9" t="n">
        <v>73.4</v>
      </c>
      <c r="CW64" s="11" t="n">
        <f aca="false">(CS64+CT64+CU64+CV64)/4</f>
        <v>65.075</v>
      </c>
      <c r="CX64" s="9" t="n">
        <v>0</v>
      </c>
      <c r="CY64" s="9" t="n">
        <v>0</v>
      </c>
      <c r="CZ64" s="9" t="n">
        <v>0</v>
      </c>
      <c r="DA64" s="9" t="n">
        <v>0</v>
      </c>
      <c r="DB64" s="11" t="n">
        <f aca="false">(CX64+CY64+CZ64+DA64)/4</f>
        <v>0</v>
      </c>
      <c r="DC64" s="9" t="n">
        <v>1</v>
      </c>
      <c r="DD64" s="9" t="n">
        <v>1</v>
      </c>
      <c r="DE64" s="9" t="n">
        <v>1</v>
      </c>
      <c r="DF64" s="9" t="n">
        <v>1</v>
      </c>
      <c r="DG64" s="11" t="n">
        <f aca="false">(DC64+DD64+DE64+DF64)/4</f>
        <v>1</v>
      </c>
      <c r="DH64" s="9" t="n">
        <v>1</v>
      </c>
      <c r="DI64" s="9" t="n">
        <v>1</v>
      </c>
      <c r="DJ64" s="9" t="n">
        <v>1</v>
      </c>
      <c r="DK64" s="9" t="n">
        <v>1</v>
      </c>
      <c r="DL64" s="11" t="n">
        <f aca="false">(DH64+DI64+DJ64+DK64)/4</f>
        <v>1</v>
      </c>
      <c r="DM64" s="9" t="n">
        <v>93</v>
      </c>
      <c r="DN64" s="9" t="n">
        <v>27</v>
      </c>
      <c r="DO64" s="9" t="n">
        <v>26</v>
      </c>
      <c r="DP64" s="9" t="n">
        <v>12</v>
      </c>
      <c r="DQ64" s="11" t="n">
        <f aca="false">(DM64+DN64+DO64+DP64)/4</f>
        <v>39.5</v>
      </c>
      <c r="DR64" s="9" t="n">
        <v>16</v>
      </c>
      <c r="DS64" s="9" t="n">
        <v>23</v>
      </c>
      <c r="DT64" s="9" t="n">
        <v>7</v>
      </c>
      <c r="DU64" s="9" t="n">
        <v>45</v>
      </c>
      <c r="DV64" s="11" t="n">
        <f aca="false">(DR64+DS64+DT64+DU64)/4</f>
        <v>22.75</v>
      </c>
      <c r="DW64" s="9" t="n">
        <v>0</v>
      </c>
      <c r="DX64" s="9" t="n">
        <v>0</v>
      </c>
      <c r="DY64" s="9" t="n">
        <v>0</v>
      </c>
      <c r="DZ64" s="9" t="n">
        <v>0</v>
      </c>
      <c r="EA64" s="11" t="n">
        <f aca="false">(DW64+DX64+DY64+DZ64)/4</f>
        <v>0</v>
      </c>
      <c r="EB64" s="11" t="n">
        <f aca="false">(DW64/DR64)</f>
        <v>0</v>
      </c>
      <c r="EC64" s="11" t="n">
        <f aca="false">(DX64/DS64)</f>
        <v>0</v>
      </c>
      <c r="ED64" s="11" t="n">
        <f aca="false">(DY64/DT64)</f>
        <v>0</v>
      </c>
      <c r="EE64" s="11" t="n">
        <f aca="false">(DZ64/DU64)</f>
        <v>0</v>
      </c>
      <c r="EF64" s="11" t="n">
        <f aca="false">(EA64/DV64)</f>
        <v>0</v>
      </c>
      <c r="EG64" s="11" t="n">
        <f aca="false">(100*EF64)</f>
        <v>0</v>
      </c>
      <c r="EH64" s="9" t="n">
        <v>0</v>
      </c>
      <c r="EI64" s="9" t="n">
        <v>6</v>
      </c>
      <c r="EJ64" s="9" t="n">
        <v>13</v>
      </c>
      <c r="EK64" s="19" t="n">
        <v>3</v>
      </c>
      <c r="EL64" s="9" t="n">
        <v>2</v>
      </c>
      <c r="EM64" s="9" t="n">
        <f aca="false">(EI64+EJ64+EK64+EL64)/4</f>
        <v>6</v>
      </c>
      <c r="EN64" s="9" t="n">
        <f aca="false">(EI64/DR64)</f>
        <v>0.375</v>
      </c>
      <c r="EO64" s="9" t="n">
        <f aca="false">(EJ64/DS64)</f>
        <v>0.565217391304348</v>
      </c>
      <c r="EP64" s="9" t="n">
        <f aca="false">(EK64/DT64)</f>
        <v>0.428571428571429</v>
      </c>
      <c r="EQ64" s="9" t="n">
        <f aca="false">(EL64/DU64)</f>
        <v>0.0444444444444444</v>
      </c>
      <c r="ER64" s="9" t="n">
        <f aca="false">EM64/DV64</f>
        <v>0.263736263736264</v>
      </c>
      <c r="ES64" s="9" t="n">
        <f aca="false">(100*ER64)</f>
        <v>26.3736263736264</v>
      </c>
      <c r="ET64" s="9" t="n">
        <v>3</v>
      </c>
      <c r="EU64" s="18" t="n">
        <v>4</v>
      </c>
      <c r="EV64" s="9" t="n">
        <v>0</v>
      </c>
      <c r="EW64" s="9" t="n">
        <v>0</v>
      </c>
      <c r="EX64" s="9" t="n">
        <v>0</v>
      </c>
      <c r="EY64" s="11" t="n">
        <f aca="false">(EU64+EV64+EW64+EX64)/4</f>
        <v>1</v>
      </c>
      <c r="EZ64" s="11" t="n">
        <f aca="false">(EU64/DR64)</f>
        <v>0.25</v>
      </c>
      <c r="FA64" s="11" t="n">
        <f aca="false">(EV64/DS64)</f>
        <v>0</v>
      </c>
      <c r="FB64" s="11" t="n">
        <f aca="false">(EW64/DT64)</f>
        <v>0</v>
      </c>
      <c r="FC64" s="11" t="n">
        <f aca="false">(EX64/DU64)</f>
        <v>0</v>
      </c>
      <c r="FD64" s="11" t="n">
        <f aca="false">(EY64/DV64)</f>
        <v>0.043956043956044</v>
      </c>
      <c r="FE64" s="11" t="n">
        <f aca="false">(100*FD64)</f>
        <v>4.3956043956044</v>
      </c>
      <c r="FF64" s="9" t="n">
        <v>1</v>
      </c>
      <c r="FG64" s="9" t="n">
        <v>0</v>
      </c>
      <c r="FH64" s="9" t="n">
        <v>2</v>
      </c>
      <c r="FI64" s="9" t="n">
        <v>3</v>
      </c>
      <c r="FJ64" s="9" t="n">
        <v>9</v>
      </c>
      <c r="FK64" s="11" t="n">
        <f aca="false">(FG64+FH64+FI64+FJ64)/4</f>
        <v>3.5</v>
      </c>
      <c r="FL64" s="11" t="n">
        <f aca="false">(FG64/DR64)</f>
        <v>0</v>
      </c>
      <c r="FM64" s="11" t="n">
        <f aca="false">(FH64/DS64)</f>
        <v>0.0869565217391304</v>
      </c>
      <c r="FN64" s="11" t="n">
        <f aca="false">(FI64/DT64)</f>
        <v>0.428571428571429</v>
      </c>
      <c r="FO64" s="11" t="n">
        <f aca="false">(FJ64/DU64)</f>
        <v>0.2</v>
      </c>
      <c r="FP64" s="11" t="n">
        <f aca="false">(FK64/DV64)</f>
        <v>0.153846153846154</v>
      </c>
      <c r="FQ64" s="11" t="n">
        <f aca="false">(100*FP64)</f>
        <v>15.3846153846154</v>
      </c>
      <c r="FR64" s="9" t="n">
        <v>2</v>
      </c>
      <c r="FS64" s="9" t="n">
        <v>65.4</v>
      </c>
      <c r="FT64" s="9" t="n">
        <v>62.5</v>
      </c>
      <c r="FU64" s="9" t="n">
        <v>52.1</v>
      </c>
      <c r="FV64" s="9" t="n">
        <v>79.9</v>
      </c>
      <c r="FW64" s="11" t="n">
        <f aca="false">(FS64+FT64+FU64+FV64)/4</f>
        <v>64.975</v>
      </c>
      <c r="FX64" s="9" t="n">
        <v>0</v>
      </c>
      <c r="FY64" s="9" t="n">
        <v>0</v>
      </c>
      <c r="FZ64" s="9" t="n">
        <v>0</v>
      </c>
      <c r="GA64" s="9" t="n">
        <v>1</v>
      </c>
      <c r="GB64" s="11" t="n">
        <f aca="false">(FX64+FY64+FZ64+GA64)/4</f>
        <v>0.25</v>
      </c>
      <c r="GC64" s="9" t="n">
        <v>1</v>
      </c>
      <c r="GD64" s="9" t="n">
        <v>1</v>
      </c>
      <c r="GE64" s="9" t="n">
        <v>1</v>
      </c>
      <c r="GF64" s="9" t="n">
        <v>1</v>
      </c>
      <c r="GG64" s="11" t="n">
        <f aca="false">(GC64+GD64+GE64+GF64)/4</f>
        <v>1</v>
      </c>
      <c r="GH64" s="9" t="n">
        <v>1</v>
      </c>
      <c r="GI64" s="9" t="n">
        <v>1</v>
      </c>
      <c r="GJ64" s="9" t="n">
        <v>1</v>
      </c>
      <c r="GK64" s="9" t="n">
        <v>0</v>
      </c>
      <c r="GL64" s="11" t="n">
        <f aca="false">(GH64+GI64+GJ64+GK64)/4</f>
        <v>0.75</v>
      </c>
      <c r="GM64" s="9" t="n">
        <v>76</v>
      </c>
      <c r="GN64" s="9" t="n">
        <v>94</v>
      </c>
      <c r="GO64" s="9" t="n">
        <v>46</v>
      </c>
      <c r="GP64" s="9" t="n">
        <v>86</v>
      </c>
      <c r="GQ64" s="11" t="n">
        <f aca="false">(GM64+GN64+GO64+GP64)/4</f>
        <v>75.5</v>
      </c>
      <c r="GR64" s="9" t="n">
        <v>13</v>
      </c>
      <c r="GS64" s="9" t="n">
        <v>23</v>
      </c>
      <c r="GT64" s="9" t="n">
        <v>13</v>
      </c>
      <c r="GU64" s="9" t="n">
        <v>29</v>
      </c>
      <c r="GV64" s="11" t="n">
        <f aca="false">(GR64+GS64+GT64+GU64)/4</f>
        <v>19.5</v>
      </c>
      <c r="GW64" s="9" t="n">
        <v>0</v>
      </c>
      <c r="GX64" s="9" t="n">
        <v>0</v>
      </c>
      <c r="GY64" s="9" t="n">
        <v>0</v>
      </c>
      <c r="GZ64" s="9" t="n">
        <v>1</v>
      </c>
      <c r="HA64" s="11" t="n">
        <f aca="false">(GW64+GX64+GY64+GZ64)/4</f>
        <v>0.25</v>
      </c>
      <c r="HB64" s="9" t="n">
        <f aca="false">(GW64/GR64)</f>
        <v>0</v>
      </c>
      <c r="HC64" s="9" t="n">
        <f aca="false">(GX64/GS64)</f>
        <v>0</v>
      </c>
      <c r="HD64" s="9" t="n">
        <f aca="false">(GY64/GT64)</f>
        <v>0</v>
      </c>
      <c r="HE64" s="9" t="n">
        <f aca="false">(GZ64/GU64)/4</f>
        <v>0.00862068965517241</v>
      </c>
      <c r="HF64" s="9" t="n">
        <f aca="false">(HB64+HC64+HD64+HE64)/4</f>
        <v>0.0021551724137931</v>
      </c>
      <c r="HG64" s="9" t="n">
        <f aca="false">(100*HF64)</f>
        <v>0.21551724137931</v>
      </c>
      <c r="HH64" s="18" t="n">
        <v>1</v>
      </c>
      <c r="HI64" s="9" t="n">
        <v>8</v>
      </c>
      <c r="HJ64" s="9" t="n">
        <v>6</v>
      </c>
      <c r="HK64" s="9" t="n">
        <v>3</v>
      </c>
      <c r="HL64" s="19" t="n">
        <v>7</v>
      </c>
      <c r="HM64" s="9" t="n">
        <f aca="false">(HI64+HJ64+HK64+HL64)/4</f>
        <v>6</v>
      </c>
      <c r="HN64" s="9" t="n">
        <f aca="false">(HI64/GR64)</f>
        <v>0.615384615384615</v>
      </c>
      <c r="HO64" s="9" t="n">
        <f aca="false">(HJ64/GS64)</f>
        <v>0.260869565217391</v>
      </c>
      <c r="HP64" s="9" t="n">
        <f aca="false">(HK64/GT64)</f>
        <v>0.230769230769231</v>
      </c>
      <c r="HQ64" s="9" t="n">
        <f aca="false">(HL64/GU64)</f>
        <v>0.241379310344828</v>
      </c>
      <c r="HR64" s="9" t="n">
        <f aca="false">(HM64/GV64)</f>
        <v>0.307692307692308</v>
      </c>
      <c r="HS64" s="9" t="n">
        <f aca="false">(100*HR64)</f>
        <v>30.7692307692308</v>
      </c>
      <c r="HT64" s="18" t="n">
        <v>3</v>
      </c>
      <c r="HU64" s="9" t="n">
        <v>1</v>
      </c>
      <c r="HV64" s="9" t="n">
        <v>2</v>
      </c>
      <c r="HW64" s="9" t="n">
        <v>1</v>
      </c>
      <c r="HX64" s="19" t="n">
        <v>0</v>
      </c>
      <c r="HY64" s="9" t="n">
        <f aca="false">(HU64+HV64+HW64+HX64)/4</f>
        <v>1</v>
      </c>
      <c r="HZ64" s="9" t="n">
        <f aca="false">(HU64/GR64)</f>
        <v>0.0769230769230769</v>
      </c>
      <c r="IA64" s="9" t="n">
        <f aca="false">HV64/GS64</f>
        <v>0.0869565217391304</v>
      </c>
      <c r="IB64" s="9" t="n">
        <f aca="false">(HW64/GT64)</f>
        <v>0.0769230769230769</v>
      </c>
      <c r="IC64" s="9" t="n">
        <f aca="false">(HX64/GU64)</f>
        <v>0</v>
      </c>
      <c r="ID64" s="9" t="n">
        <f aca="false">(HY64/GV64)</f>
        <v>0.0512820512820513</v>
      </c>
      <c r="IE64" s="9" t="n">
        <f aca="false">(100*ID64)</f>
        <v>5.12820512820513</v>
      </c>
      <c r="IF64" s="18" t="n">
        <v>1</v>
      </c>
      <c r="IG64" s="9" t="n">
        <v>2</v>
      </c>
      <c r="IH64" s="9" t="n">
        <v>11</v>
      </c>
      <c r="II64" s="19" t="n">
        <v>10</v>
      </c>
      <c r="IJ64" s="9" t="n">
        <v>0</v>
      </c>
      <c r="IK64" s="9" t="n">
        <f aca="false">(IG64+IH64+II64+IJ64)/4</f>
        <v>5.75</v>
      </c>
      <c r="IL64" s="9" t="n">
        <f aca="false">(IG64/GM64)</f>
        <v>0.0263157894736842</v>
      </c>
      <c r="IM64" s="9" t="n">
        <f aca="false">(IH64/GN64)</f>
        <v>0.117021276595745</v>
      </c>
      <c r="IN64" s="9" t="n">
        <f aca="false">(II64/GO64)</f>
        <v>0.217391304347826</v>
      </c>
      <c r="IO64" s="9" t="n">
        <f aca="false">(IJ64/GP64)</f>
        <v>0</v>
      </c>
      <c r="IP64" s="9" t="n">
        <f aca="false">(IK64/GQ64)</f>
        <v>0.076158940397351</v>
      </c>
      <c r="IQ64" s="9" t="n">
        <f aca="false">(100*IP64)</f>
        <v>7.6158940397351</v>
      </c>
      <c r="IR64" s="18" t="n">
        <v>1</v>
      </c>
      <c r="IS64" s="9" t="n">
        <v>57.8</v>
      </c>
      <c r="IT64" s="9" t="n">
        <v>56.8</v>
      </c>
      <c r="IU64" s="19" t="n">
        <v>68.2</v>
      </c>
      <c r="IV64" s="9" t="n">
        <v>65.3</v>
      </c>
      <c r="IW64" s="9" t="n">
        <f aca="false">(IS64+IT64+IU64+IV64)/4</f>
        <v>62.025</v>
      </c>
      <c r="IX64" s="16" t="n">
        <v>45241</v>
      </c>
      <c r="IY64" s="10" t="s">
        <v>268</v>
      </c>
    </row>
    <row r="65" customFormat="false" ht="15.75" hidden="false" customHeight="true" outlineLevel="0" collapsed="false">
      <c r="A65" s="9" t="s">
        <v>259</v>
      </c>
      <c r="B65" s="10" t="s">
        <v>419</v>
      </c>
      <c r="C65" s="10" t="s">
        <v>400</v>
      </c>
      <c r="D65" s="9" t="n">
        <v>4</v>
      </c>
      <c r="E65" s="9" t="n">
        <v>22</v>
      </c>
      <c r="F65" s="10" t="s">
        <v>420</v>
      </c>
      <c r="G65" s="10" t="s">
        <v>280</v>
      </c>
      <c r="H65" s="9" t="n">
        <v>21</v>
      </c>
      <c r="I65" s="9" t="n">
        <v>4</v>
      </c>
      <c r="J65" s="12" t="s">
        <v>264</v>
      </c>
      <c r="K65" s="13" t="s">
        <v>421</v>
      </c>
      <c r="L65" s="23" t="s">
        <v>422</v>
      </c>
      <c r="M65" s="14" t="n">
        <v>1291</v>
      </c>
      <c r="N65" s="15" t="n">
        <v>45154</v>
      </c>
      <c r="O65" s="10" t="s">
        <v>294</v>
      </c>
      <c r="P65" s="9"/>
      <c r="Q65" s="9" t="n">
        <v>51.29</v>
      </c>
      <c r="R65" s="9" t="n">
        <v>20</v>
      </c>
      <c r="S65" s="9" t="n">
        <v>-5</v>
      </c>
      <c r="T65" s="9" t="n">
        <v>150</v>
      </c>
      <c r="U65" s="9"/>
      <c r="V65" s="9" t="n">
        <v>8.92</v>
      </c>
      <c r="W65" s="9" t="s">
        <v>423</v>
      </c>
      <c r="X65" s="9" t="n">
        <v>0</v>
      </c>
      <c r="Y65" s="9" t="n">
        <v>0</v>
      </c>
      <c r="Z65" s="9" t="n">
        <v>0</v>
      </c>
      <c r="AA65" s="9" t="n">
        <v>0</v>
      </c>
      <c r="AB65" s="11" t="n">
        <f aca="false">(X65+Y65+Z65+AA65)/4</f>
        <v>0</v>
      </c>
      <c r="AC65" s="9" t="n">
        <v>1</v>
      </c>
      <c r="AD65" s="9" t="n">
        <v>1</v>
      </c>
      <c r="AE65" s="9" t="n">
        <v>1</v>
      </c>
      <c r="AF65" s="9" t="n">
        <v>1</v>
      </c>
      <c r="AG65" s="11" t="n">
        <f aca="false">(AC65+AD65+AE65+AF65)/4</f>
        <v>1</v>
      </c>
      <c r="AH65" s="9" t="n">
        <v>1</v>
      </c>
      <c r="AI65" s="9" t="n">
        <v>0</v>
      </c>
      <c r="AJ65" s="9" t="n">
        <v>0</v>
      </c>
      <c r="AK65" s="9" t="n">
        <v>0</v>
      </c>
      <c r="AL65" s="11" t="n">
        <f aca="false">(AH65+AI65+AJ65+AK65)/4</f>
        <v>0.25</v>
      </c>
      <c r="AM65" s="9" t="n">
        <v>4</v>
      </c>
      <c r="AN65" s="9" t="n">
        <v>5</v>
      </c>
      <c r="AO65" s="9" t="n">
        <v>1</v>
      </c>
      <c r="AP65" s="9" t="n">
        <v>20</v>
      </c>
      <c r="AQ65" s="11" t="n">
        <f aca="false">(AM65+AN65+AO65+AP65)/4</f>
        <v>7.5</v>
      </c>
      <c r="AR65" s="9" t="n">
        <v>4</v>
      </c>
      <c r="AS65" s="9" t="n">
        <v>7</v>
      </c>
      <c r="AT65" s="9" t="n">
        <v>42</v>
      </c>
      <c r="AU65" s="9" t="n">
        <v>11</v>
      </c>
      <c r="AV65" s="11" t="n">
        <f aca="false">(AR65+AS65+AT65+AU65)/4</f>
        <v>16</v>
      </c>
      <c r="AW65" s="9" t="n">
        <v>0</v>
      </c>
      <c r="AX65" s="9" t="n">
        <v>0</v>
      </c>
      <c r="AY65" s="9" t="n">
        <v>0</v>
      </c>
      <c r="AZ65" s="9" t="n">
        <v>0</v>
      </c>
      <c r="BA65" s="11" t="n">
        <f aca="false">(AW65+AX65+AY65+AZ65)/4</f>
        <v>0</v>
      </c>
      <c r="BB65" s="11" t="n">
        <f aca="false">(AW65/AR65)</f>
        <v>0</v>
      </c>
      <c r="BC65" s="11" t="n">
        <f aca="false">(AX65/AS65)</f>
        <v>0</v>
      </c>
      <c r="BD65" s="11" t="n">
        <f aca="false">(AY65/AT65)</f>
        <v>0</v>
      </c>
      <c r="BE65" s="11" t="n">
        <f aca="false">(AZ65/AU65)</f>
        <v>0</v>
      </c>
      <c r="BF65" s="11" t="n">
        <f aca="false">(BA65/AV65)</f>
        <v>0</v>
      </c>
      <c r="BG65" s="11" t="n">
        <f aca="false">(BF65*100)</f>
        <v>0</v>
      </c>
      <c r="BH65" s="9" t="n">
        <v>0</v>
      </c>
      <c r="BI65" s="9" t="n">
        <v>3</v>
      </c>
      <c r="BJ65" s="9" t="n">
        <v>4</v>
      </c>
      <c r="BK65" s="9" t="n">
        <v>2</v>
      </c>
      <c r="BL65" s="9" t="n">
        <v>1</v>
      </c>
      <c r="BM65" s="11" t="n">
        <f aca="false">(BI65+BJ65+BK65+BL65)/4</f>
        <v>2.5</v>
      </c>
      <c r="BN65" s="11" t="n">
        <f aca="false">(BI65/AR65)</f>
        <v>0.75</v>
      </c>
      <c r="BO65" s="11" t="n">
        <f aca="false">(BJ65/AS65)</f>
        <v>0.571428571428571</v>
      </c>
      <c r="BP65" s="11" t="n">
        <f aca="false">(BK65/AT65)</f>
        <v>0.0476190476190476</v>
      </c>
      <c r="BQ65" s="11" t="n">
        <f aca="false">(BL65/AU65)</f>
        <v>0.0909090909090909</v>
      </c>
      <c r="BR65" s="11" t="n">
        <f aca="false">(BM65/AV65)</f>
        <v>0.15625</v>
      </c>
      <c r="BS65" s="11" t="n">
        <f aca="false">(100*BR65)</f>
        <v>15.625</v>
      </c>
      <c r="BT65" s="9" t="n">
        <v>3</v>
      </c>
      <c r="BU65" s="9" t="n">
        <v>3</v>
      </c>
      <c r="BV65" s="9" t="n">
        <v>2</v>
      </c>
      <c r="BW65" s="9" t="n">
        <v>8</v>
      </c>
      <c r="BX65" s="9" t="n">
        <v>2</v>
      </c>
      <c r="BY65" s="11" t="n">
        <f aca="false">(BU65+BV65+BW65+BX65)/4</f>
        <v>3.75</v>
      </c>
      <c r="BZ65" s="11" t="n">
        <f aca="false">(BU65/AR65)</f>
        <v>0.75</v>
      </c>
      <c r="CA65" s="11" t="n">
        <f aca="false">(BV65/AS65)</f>
        <v>0.285714285714286</v>
      </c>
      <c r="CB65" s="11" t="n">
        <f aca="false">(BW65/AT65)</f>
        <v>0.19047619047619</v>
      </c>
      <c r="CC65" s="11" t="n">
        <f aca="false">(BX65/AU65)</f>
        <v>0.181818181818182</v>
      </c>
      <c r="CD65" s="11" t="n">
        <f aca="false">(BY65/AV65)</f>
        <v>0.234375</v>
      </c>
      <c r="CE65" s="11" t="n">
        <f aca="false">(100*CD65)</f>
        <v>23.4375</v>
      </c>
      <c r="CF65" s="9" t="n">
        <v>3</v>
      </c>
      <c r="CG65" s="9" t="n">
        <v>0</v>
      </c>
      <c r="CH65" s="9" t="n">
        <v>0</v>
      </c>
      <c r="CI65" s="9" t="n">
        <v>0</v>
      </c>
      <c r="CJ65" s="9" t="n">
        <v>3</v>
      </c>
      <c r="CK65" s="11" t="n">
        <f aca="false">(CG65+CH65+CI65+CJ65)/4</f>
        <v>0.75</v>
      </c>
      <c r="CL65" s="11" t="n">
        <f aca="false">(CG65/AM65)</f>
        <v>0</v>
      </c>
      <c r="CM65" s="11" t="n">
        <f aca="false">(CH65/AN65)</f>
        <v>0</v>
      </c>
      <c r="CN65" s="11" t="n">
        <f aca="false">(CI65/AO65)</f>
        <v>0</v>
      </c>
      <c r="CO65" s="9" t="n">
        <f aca="false">(CJ65/AP65)</f>
        <v>0.15</v>
      </c>
      <c r="CP65" s="9" t="n">
        <f aca="false">(CK65/AQ65)</f>
        <v>0.1</v>
      </c>
      <c r="CQ65" s="9" t="n">
        <f aca="false">(100*CP65)</f>
        <v>10</v>
      </c>
      <c r="CR65" s="18" t="n">
        <v>2</v>
      </c>
      <c r="CS65" s="9" t="n">
        <v>63.7</v>
      </c>
      <c r="CT65" s="9" t="n">
        <v>52.3</v>
      </c>
      <c r="CU65" s="9" t="n">
        <v>60.7</v>
      </c>
      <c r="CV65" s="9" t="n">
        <v>56</v>
      </c>
      <c r="CW65" s="11" t="n">
        <f aca="false">(CS65+CT65+CU65+CV65)/4</f>
        <v>58.175</v>
      </c>
      <c r="CX65" s="9" t="n">
        <v>0</v>
      </c>
      <c r="CY65" s="9" t="n">
        <v>0</v>
      </c>
      <c r="CZ65" s="9" t="n">
        <v>0</v>
      </c>
      <c r="DA65" s="9" t="n">
        <v>0</v>
      </c>
      <c r="DB65" s="11" t="n">
        <f aca="false">(CX65+CY65+CZ65+DA65)/4</f>
        <v>0</v>
      </c>
      <c r="DC65" s="9" t="n">
        <v>1</v>
      </c>
      <c r="DD65" s="9" t="n">
        <v>0</v>
      </c>
      <c r="DE65" s="9" t="n">
        <v>0</v>
      </c>
      <c r="DF65" s="9" t="n">
        <v>1</v>
      </c>
      <c r="DG65" s="11" t="n">
        <f aca="false">(DC65+DD65+DE65+DF65)/4</f>
        <v>0.5</v>
      </c>
      <c r="DH65" s="9" t="n">
        <v>1</v>
      </c>
      <c r="DI65" s="9" t="n">
        <v>0</v>
      </c>
      <c r="DJ65" s="9" t="n">
        <v>1</v>
      </c>
      <c r="DK65" s="9" t="n">
        <v>1</v>
      </c>
      <c r="DL65" s="11" t="n">
        <f aca="false">(DH65+DI65+DJ65+DK65)/4</f>
        <v>0.75</v>
      </c>
      <c r="DM65" s="9" t="n">
        <v>8</v>
      </c>
      <c r="DN65" s="9" t="n">
        <v>17</v>
      </c>
      <c r="DO65" s="9" t="n">
        <v>5</v>
      </c>
      <c r="DP65" s="9" t="n">
        <v>8</v>
      </c>
      <c r="DQ65" s="11" t="n">
        <f aca="false">(DM65+DN65+DO65+DP65)/4</f>
        <v>9.5</v>
      </c>
      <c r="DR65" s="9" t="n">
        <v>10</v>
      </c>
      <c r="DS65" s="9" t="n">
        <v>7</v>
      </c>
      <c r="DT65" s="9" t="n">
        <v>10</v>
      </c>
      <c r="DU65" s="9" t="n">
        <v>8</v>
      </c>
      <c r="DV65" s="11" t="n">
        <f aca="false">(DR65+DS65+DT65+DU65)/4</f>
        <v>8.75</v>
      </c>
      <c r="DW65" s="9" t="n">
        <v>0</v>
      </c>
      <c r="DX65" s="9" t="n">
        <v>0</v>
      </c>
      <c r="DY65" s="9" t="n">
        <v>0</v>
      </c>
      <c r="DZ65" s="9" t="n">
        <v>0</v>
      </c>
      <c r="EA65" s="11" t="n">
        <f aca="false">(DW65+DX65+DY65+DZ65)/4</f>
        <v>0</v>
      </c>
      <c r="EB65" s="11" t="n">
        <f aca="false">(DW65/DR65)</f>
        <v>0</v>
      </c>
      <c r="EC65" s="11" t="n">
        <f aca="false">(DX65/DS65)</f>
        <v>0</v>
      </c>
      <c r="ED65" s="11" t="n">
        <f aca="false">(DY65/DT65)</f>
        <v>0</v>
      </c>
      <c r="EE65" s="11" t="n">
        <f aca="false">(DZ65/DU65)</f>
        <v>0</v>
      </c>
      <c r="EF65" s="11" t="n">
        <f aca="false">(EA65/DV65)</f>
        <v>0</v>
      </c>
      <c r="EG65" s="11" t="n">
        <f aca="false">(100*EF65)</f>
        <v>0</v>
      </c>
      <c r="EH65" s="9" t="n">
        <v>0</v>
      </c>
      <c r="EI65" s="9" t="n">
        <v>5</v>
      </c>
      <c r="EJ65" s="9" t="n">
        <v>0</v>
      </c>
      <c r="EK65" s="19" t="n">
        <v>0</v>
      </c>
      <c r="EL65" s="9" t="n">
        <v>4</v>
      </c>
      <c r="EM65" s="9" t="n">
        <f aca="false">(EI65+EJ65+EK65+EL65)/4</f>
        <v>2.25</v>
      </c>
      <c r="EN65" s="9" t="n">
        <f aca="false">(EI65/DR65)</f>
        <v>0.5</v>
      </c>
      <c r="EO65" s="9" t="n">
        <f aca="false">(EJ65/DS65)</f>
        <v>0</v>
      </c>
      <c r="EP65" s="9" t="n">
        <f aca="false">(EK65/DT65)</f>
        <v>0</v>
      </c>
      <c r="EQ65" s="9" t="n">
        <f aca="false">(EL65/DU65)</f>
        <v>0.5</v>
      </c>
      <c r="ER65" s="9" t="n">
        <f aca="false">EM65/DV65</f>
        <v>0.257142857142857</v>
      </c>
      <c r="ES65" s="9" t="n">
        <f aca="false">(100*ER65)</f>
        <v>25.7142857142857</v>
      </c>
      <c r="ET65" s="9" t="n">
        <v>2</v>
      </c>
      <c r="EU65" s="18" t="n">
        <v>2</v>
      </c>
      <c r="EV65" s="9" t="n">
        <v>0</v>
      </c>
      <c r="EW65" s="9" t="n">
        <v>6</v>
      </c>
      <c r="EX65" s="9" t="n">
        <v>0</v>
      </c>
      <c r="EY65" s="11" t="n">
        <f aca="false">(EU65+EV65+EW65+EX65)/4</f>
        <v>2</v>
      </c>
      <c r="EZ65" s="11" t="n">
        <f aca="false">(EU65/DR65)</f>
        <v>0.2</v>
      </c>
      <c r="FA65" s="11" t="n">
        <f aca="false">(EV65/DS65)</f>
        <v>0</v>
      </c>
      <c r="FB65" s="11" t="n">
        <f aca="false">(EW65/DT65)</f>
        <v>0.6</v>
      </c>
      <c r="FC65" s="11" t="n">
        <f aca="false">(EX65/DU65)</f>
        <v>0</v>
      </c>
      <c r="FD65" s="11" t="n">
        <f aca="false">(EY65/DV65)</f>
        <v>0.228571428571429</v>
      </c>
      <c r="FE65" s="11" t="n">
        <f aca="false">(100*FD65)</f>
        <v>22.8571428571429</v>
      </c>
      <c r="FF65" s="9" t="n">
        <v>2</v>
      </c>
      <c r="FG65" s="9" t="n">
        <v>2</v>
      </c>
      <c r="FH65" s="9" t="n">
        <v>0</v>
      </c>
      <c r="FI65" s="9" t="n">
        <v>2</v>
      </c>
      <c r="FJ65" s="9" t="n">
        <v>2</v>
      </c>
      <c r="FK65" s="11" t="n">
        <f aca="false">(FG65+FH65+FI65+FJ65)/4</f>
        <v>1.5</v>
      </c>
      <c r="FL65" s="11" t="n">
        <f aca="false">(FG65/DR65)</f>
        <v>0.2</v>
      </c>
      <c r="FM65" s="11" t="n">
        <f aca="false">(FH65/DS65)</f>
        <v>0</v>
      </c>
      <c r="FN65" s="11" t="n">
        <f aca="false">(FI65/DT65)</f>
        <v>0.2</v>
      </c>
      <c r="FO65" s="11" t="n">
        <f aca="false">(FJ65/DU65)</f>
        <v>0.25</v>
      </c>
      <c r="FP65" s="11" t="n">
        <f aca="false">(FK65/DV65)</f>
        <v>0.171428571428571</v>
      </c>
      <c r="FQ65" s="11" t="n">
        <f aca="false">(100*FP65)</f>
        <v>17.1428571428571</v>
      </c>
      <c r="FR65" s="9" t="n">
        <v>2</v>
      </c>
      <c r="FS65" s="9" t="n">
        <v>68.8</v>
      </c>
      <c r="FT65" s="9" t="n">
        <v>58.5</v>
      </c>
      <c r="FU65" s="9" t="n">
        <v>62</v>
      </c>
      <c r="FV65" s="9" t="n">
        <v>63</v>
      </c>
      <c r="FW65" s="11" t="n">
        <f aca="false">(FS65+FT65+FU65+FV65)/4</f>
        <v>63.075</v>
      </c>
      <c r="FX65" s="9" t="n">
        <v>0</v>
      </c>
      <c r="FY65" s="9" t="n">
        <v>0</v>
      </c>
      <c r="FZ65" s="9" t="n">
        <v>0</v>
      </c>
      <c r="GA65" s="9" t="n">
        <v>0</v>
      </c>
      <c r="GB65" s="11" t="n">
        <f aca="false">(FX65+FY65+FZ65+GA65)/4</f>
        <v>0</v>
      </c>
      <c r="GC65" s="9" t="n">
        <v>0</v>
      </c>
      <c r="GD65" s="9" t="n">
        <v>1</v>
      </c>
      <c r="GE65" s="9" t="n">
        <v>0</v>
      </c>
      <c r="GF65" s="9" t="n">
        <v>1</v>
      </c>
      <c r="GG65" s="11" t="n">
        <f aca="false">(GC65+GD65+GE65+GF65)/4</f>
        <v>0.5</v>
      </c>
      <c r="GH65" s="9" t="n">
        <v>1</v>
      </c>
      <c r="GI65" s="9" t="n">
        <v>0</v>
      </c>
      <c r="GJ65" s="9" t="n">
        <v>0</v>
      </c>
      <c r="GK65" s="9" t="n">
        <v>0</v>
      </c>
      <c r="GL65" s="11" t="n">
        <f aca="false">(GH65+GI65+GJ65+GK65)/4</f>
        <v>0.25</v>
      </c>
      <c r="GM65" s="9" t="n">
        <v>7</v>
      </c>
      <c r="GN65" s="9" t="n">
        <v>1</v>
      </c>
      <c r="GO65" s="9" t="n">
        <v>17</v>
      </c>
      <c r="GP65" s="9" t="n">
        <v>1</v>
      </c>
      <c r="GQ65" s="11" t="n">
        <f aca="false">(GM65+GN65+GO65+GP65)/4</f>
        <v>6.5</v>
      </c>
      <c r="GR65" s="9" t="n">
        <v>10</v>
      </c>
      <c r="GS65" s="9" t="n">
        <v>16</v>
      </c>
      <c r="GT65" s="9" t="n">
        <v>0</v>
      </c>
      <c r="GU65" s="9" t="n">
        <v>7</v>
      </c>
      <c r="GV65" s="11" t="n">
        <f aca="false">(GR65+GS65+GT65+GU65)/4</f>
        <v>8.25</v>
      </c>
      <c r="GW65" s="9" t="n">
        <v>0</v>
      </c>
      <c r="GX65" s="9" t="n">
        <v>0</v>
      </c>
      <c r="GY65" s="9" t="n">
        <v>0</v>
      </c>
      <c r="GZ65" s="9" t="n">
        <v>0</v>
      </c>
      <c r="HA65" s="11" t="n">
        <f aca="false">(GW65+GX65+GY65+GZ65)/4</f>
        <v>0</v>
      </c>
      <c r="HB65" s="9" t="n">
        <f aca="false">(GW65/GR65)</f>
        <v>0</v>
      </c>
      <c r="HC65" s="9" t="n">
        <f aca="false">(GX65/GS65)</f>
        <v>0</v>
      </c>
      <c r="HD65" s="9" t="e">
        <f aca="false">(GY65/GT65)</f>
        <v>#DIV/0!</v>
      </c>
      <c r="HE65" s="9" t="n">
        <f aca="false">(GZ65/GU65)/4</f>
        <v>0</v>
      </c>
      <c r="HF65" s="9" t="e">
        <f aca="false">(HB65+HC65+HD65+HE65)/4</f>
        <v>#DIV/0!</v>
      </c>
      <c r="HG65" s="9" t="e">
        <f aca="false">(100*HF65)</f>
        <v>#DIV/0!</v>
      </c>
      <c r="HH65" s="18"/>
      <c r="HI65" s="9" t="n">
        <v>0</v>
      </c>
      <c r="HJ65" s="9" t="n">
        <v>4</v>
      </c>
      <c r="HK65" s="9" t="n">
        <v>0</v>
      </c>
      <c r="HL65" s="19" t="n">
        <v>5</v>
      </c>
      <c r="HM65" s="9" t="n">
        <f aca="false">(HI65+HJ65+HK65+HL65)/4</f>
        <v>2.25</v>
      </c>
      <c r="HN65" s="9" t="n">
        <f aca="false">(HI65/GR65)</f>
        <v>0</v>
      </c>
      <c r="HO65" s="9" t="n">
        <f aca="false">(HJ65/GS65)</f>
        <v>0.25</v>
      </c>
      <c r="HP65" s="9" t="e">
        <f aca="false">(HK65/GT65)</f>
        <v>#DIV/0!</v>
      </c>
      <c r="HQ65" s="9" t="n">
        <f aca="false">(HL65/GU65)</f>
        <v>0.714285714285714</v>
      </c>
      <c r="HR65" s="9" t="n">
        <f aca="false">(HM65/GV65)</f>
        <v>0.272727272727273</v>
      </c>
      <c r="HS65" s="9" t="n">
        <f aca="false">(100*HR65)</f>
        <v>27.2727272727273</v>
      </c>
      <c r="HT65" s="18" t="n">
        <v>2</v>
      </c>
      <c r="HU65" s="9" t="n">
        <v>0</v>
      </c>
      <c r="HV65" s="9" t="n">
        <v>0</v>
      </c>
      <c r="HW65" s="9" t="n">
        <v>0</v>
      </c>
      <c r="HX65" s="19" t="n">
        <v>0</v>
      </c>
      <c r="HY65" s="9" t="n">
        <f aca="false">(HU65+HV65+HW65+HX65)/4</f>
        <v>0</v>
      </c>
      <c r="HZ65" s="9" t="n">
        <f aca="false">(HU65/GR65)</f>
        <v>0</v>
      </c>
      <c r="IA65" s="9" t="n">
        <f aca="false">HV65/GS65</f>
        <v>0</v>
      </c>
      <c r="IB65" s="9" t="e">
        <f aca="false">(HW65/GT65)</f>
        <v>#DIV/0!</v>
      </c>
      <c r="IC65" s="9" t="n">
        <f aca="false">(HX65/GU65)</f>
        <v>0</v>
      </c>
      <c r="ID65" s="9" t="n">
        <f aca="false">(HY65/GV65)</f>
        <v>0</v>
      </c>
      <c r="IE65" s="9" t="n">
        <f aca="false">(100*ID65)</f>
        <v>0</v>
      </c>
      <c r="IF65" s="18" t="n">
        <v>0</v>
      </c>
      <c r="IG65" s="9" t="n">
        <v>4</v>
      </c>
      <c r="IH65" s="9" t="n">
        <v>0</v>
      </c>
      <c r="II65" s="19" t="n">
        <v>0</v>
      </c>
      <c r="IJ65" s="9" t="n">
        <v>0</v>
      </c>
      <c r="IK65" s="9" t="n">
        <f aca="false">(IG65+IH65+II65+IJ65)/4</f>
        <v>1</v>
      </c>
      <c r="IL65" s="9" t="n">
        <f aca="false">(IG65/GM65)</f>
        <v>0.571428571428571</v>
      </c>
      <c r="IM65" s="9" t="n">
        <f aca="false">(IH65/GN65)</f>
        <v>0</v>
      </c>
      <c r="IN65" s="9" t="n">
        <f aca="false">(II65/GO65)</f>
        <v>0</v>
      </c>
      <c r="IO65" s="9" t="n">
        <f aca="false">(IJ65/GP65)</f>
        <v>0</v>
      </c>
      <c r="IP65" s="9" t="n">
        <f aca="false">(IK65/GQ65)</f>
        <v>0.153846153846154</v>
      </c>
      <c r="IQ65" s="9" t="n">
        <f aca="false">(100*IP65)</f>
        <v>15.3846153846154</v>
      </c>
      <c r="IR65" s="18" t="n">
        <v>2</v>
      </c>
      <c r="IS65" s="9" t="n">
        <v>38.4</v>
      </c>
      <c r="IT65" s="9" t="n">
        <v>61.3</v>
      </c>
      <c r="IU65" s="19" t="n">
        <v>49.5</v>
      </c>
      <c r="IV65" s="9" t="n">
        <v>56.8</v>
      </c>
      <c r="IW65" s="9" t="n">
        <f aca="false">(IS65+IT65+IU65+IV65)/4</f>
        <v>51.5</v>
      </c>
      <c r="IX65" s="16" t="n">
        <v>45241</v>
      </c>
      <c r="IY65" s="10" t="s">
        <v>268</v>
      </c>
    </row>
    <row r="66" customFormat="false" ht="15.75" hidden="false" customHeight="true" outlineLevel="0" collapsed="false">
      <c r="A66" s="9" t="s">
        <v>259</v>
      </c>
      <c r="B66" s="10" t="s">
        <v>419</v>
      </c>
      <c r="C66" s="10" t="s">
        <v>400</v>
      </c>
      <c r="D66" s="9" t="n">
        <v>4</v>
      </c>
      <c r="E66" s="9" t="n">
        <v>22</v>
      </c>
      <c r="F66" s="10" t="s">
        <v>424</v>
      </c>
      <c r="G66" s="10" t="s">
        <v>297</v>
      </c>
      <c r="H66" s="9" t="n">
        <v>21</v>
      </c>
      <c r="I66" s="9" t="n">
        <v>10</v>
      </c>
      <c r="J66" s="12" t="s">
        <v>270</v>
      </c>
      <c r="K66" s="20"/>
      <c r="L66" s="20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 t="n">
        <v>0</v>
      </c>
      <c r="Y66" s="9" t="n">
        <v>0</v>
      </c>
      <c r="Z66" s="9" t="n">
        <v>0</v>
      </c>
      <c r="AA66" s="9" t="n">
        <v>0</v>
      </c>
      <c r="AB66" s="11" t="n">
        <f aca="false">(X66+Y66+Z66+AA66)/4</f>
        <v>0</v>
      </c>
      <c r="AC66" s="9" t="n">
        <v>0</v>
      </c>
      <c r="AD66" s="9" t="n">
        <v>1</v>
      </c>
      <c r="AE66" s="9" t="n">
        <v>1</v>
      </c>
      <c r="AF66" s="9" t="n">
        <v>1</v>
      </c>
      <c r="AG66" s="11" t="n">
        <f aca="false">(AC66+AD66+AE66+AF66)/4</f>
        <v>0.75</v>
      </c>
      <c r="AH66" s="9" t="n">
        <v>1</v>
      </c>
      <c r="AI66" s="9" t="n">
        <v>1</v>
      </c>
      <c r="AJ66" s="9" t="n">
        <v>0</v>
      </c>
      <c r="AK66" s="9" t="n">
        <v>1</v>
      </c>
      <c r="AL66" s="11" t="n">
        <f aca="false">(AH66+AI66+AJ66+AK66)/4</f>
        <v>0.75</v>
      </c>
      <c r="AM66" s="9" t="n">
        <v>45</v>
      </c>
      <c r="AN66" s="9" t="n">
        <v>37</v>
      </c>
      <c r="AO66" s="9" t="n">
        <v>24</v>
      </c>
      <c r="AP66" s="9" t="n">
        <v>18</v>
      </c>
      <c r="AQ66" s="11" t="n">
        <f aca="false">(AM66+AN66+AO66+AP66)/4</f>
        <v>31</v>
      </c>
      <c r="AR66" s="9" t="n">
        <v>11</v>
      </c>
      <c r="AS66" s="9" t="n">
        <v>13</v>
      </c>
      <c r="AT66" s="9" t="n">
        <v>16</v>
      </c>
      <c r="AU66" s="9" t="n">
        <v>12</v>
      </c>
      <c r="AV66" s="11" t="n">
        <f aca="false">(AR66+AS66+AT66+AU66)/4</f>
        <v>13</v>
      </c>
      <c r="AW66" s="9" t="n">
        <v>0</v>
      </c>
      <c r="AX66" s="9" t="n">
        <v>0</v>
      </c>
      <c r="AY66" s="9" t="n">
        <v>0</v>
      </c>
      <c r="AZ66" s="9" t="n">
        <v>0</v>
      </c>
      <c r="BA66" s="11" t="n">
        <f aca="false">(AW66+AX66+AY66+AZ66)/4</f>
        <v>0</v>
      </c>
      <c r="BB66" s="11" t="n">
        <f aca="false">(AW66/AR66)</f>
        <v>0</v>
      </c>
      <c r="BC66" s="11" t="n">
        <f aca="false">(AX66/AS66)</f>
        <v>0</v>
      </c>
      <c r="BD66" s="11" t="n">
        <f aca="false">(AY66/AT66)</f>
        <v>0</v>
      </c>
      <c r="BE66" s="11" t="n">
        <f aca="false">(AZ66/AU66)</f>
        <v>0</v>
      </c>
      <c r="BF66" s="11" t="n">
        <f aca="false">(BA66/AV66)</f>
        <v>0</v>
      </c>
      <c r="BG66" s="11" t="n">
        <f aca="false">(BF66*100)</f>
        <v>0</v>
      </c>
      <c r="BH66" s="9" t="n">
        <v>0</v>
      </c>
      <c r="BI66" s="9" t="n">
        <v>0</v>
      </c>
      <c r="BJ66" s="9" t="n">
        <v>2</v>
      </c>
      <c r="BK66" s="9" t="n">
        <v>3</v>
      </c>
      <c r="BL66" s="9" t="n">
        <v>1</v>
      </c>
      <c r="BM66" s="11" t="n">
        <f aca="false">(BI66+BJ66+BK66+BL66)/4</f>
        <v>1.5</v>
      </c>
      <c r="BN66" s="11" t="n">
        <f aca="false">(BI66/AR66)</f>
        <v>0</v>
      </c>
      <c r="BO66" s="11" t="n">
        <f aca="false">(BJ66/AS66)</f>
        <v>0.153846153846154</v>
      </c>
      <c r="BP66" s="11" t="n">
        <f aca="false">(BK66/AT66)</f>
        <v>0.1875</v>
      </c>
      <c r="BQ66" s="11" t="n">
        <f aca="false">(BL66/AU66)</f>
        <v>0.0833333333333333</v>
      </c>
      <c r="BR66" s="11" t="n">
        <f aca="false">(BM66/AV66)</f>
        <v>0.115384615384615</v>
      </c>
      <c r="BS66" s="11" t="n">
        <f aca="false">(100*BR66)</f>
        <v>11.5384615384615</v>
      </c>
      <c r="BT66" s="9" t="n">
        <v>2</v>
      </c>
      <c r="BU66" s="9" t="n">
        <v>0</v>
      </c>
      <c r="BV66" s="9" t="n">
        <v>0</v>
      </c>
      <c r="BW66" s="9" t="n">
        <v>0</v>
      </c>
      <c r="BX66" s="9" t="n">
        <v>1</v>
      </c>
      <c r="BY66" s="11" t="n">
        <f aca="false">(BU66+BV66+BW66+BX66)/4</f>
        <v>0.25</v>
      </c>
      <c r="BZ66" s="11" t="n">
        <f aca="false">(BU66/AR66)</f>
        <v>0</v>
      </c>
      <c r="CA66" s="11" t="n">
        <f aca="false">(BV66/AS66)</f>
        <v>0</v>
      </c>
      <c r="CB66" s="11" t="n">
        <f aca="false">(BW66/AT66)</f>
        <v>0</v>
      </c>
      <c r="CC66" s="11" t="n">
        <f aca="false">(BX66/AU66)</f>
        <v>0.0833333333333333</v>
      </c>
      <c r="CD66" s="11" t="n">
        <f aca="false">(BY66/AV66)</f>
        <v>0.0192307692307692</v>
      </c>
      <c r="CE66" s="11" t="n">
        <f aca="false">(100*CD66)</f>
        <v>1.92307692307692</v>
      </c>
      <c r="CF66" s="9" t="n">
        <v>1</v>
      </c>
      <c r="CG66" s="9" t="n">
        <v>6</v>
      </c>
      <c r="CH66" s="9" t="n">
        <v>2</v>
      </c>
      <c r="CI66" s="9" t="n">
        <v>0</v>
      </c>
      <c r="CJ66" s="9" t="n">
        <v>2</v>
      </c>
      <c r="CK66" s="11" t="n">
        <f aca="false">(CG66+CH66+CI66+CJ66)/4</f>
        <v>2.5</v>
      </c>
      <c r="CL66" s="11" t="n">
        <f aca="false">(CG66/AM66)</f>
        <v>0.133333333333333</v>
      </c>
      <c r="CM66" s="11" t="n">
        <f aca="false">(CH66/AN66)</f>
        <v>0.0540540540540541</v>
      </c>
      <c r="CN66" s="11" t="n">
        <f aca="false">(CI66/AO66)</f>
        <v>0</v>
      </c>
      <c r="CO66" s="9" t="n">
        <f aca="false">(CJ66/AP66)</f>
        <v>0.111111111111111</v>
      </c>
      <c r="CP66" s="9" t="n">
        <f aca="false">(CK66/AQ66)</f>
        <v>0.0806451612903226</v>
      </c>
      <c r="CQ66" s="9" t="n">
        <f aca="false">(100*CP66)</f>
        <v>8.06451612903226</v>
      </c>
      <c r="CR66" s="18" t="n">
        <v>1</v>
      </c>
      <c r="CS66" s="9" t="n">
        <v>72.1</v>
      </c>
      <c r="CT66" s="9" t="n">
        <v>70.6</v>
      </c>
      <c r="CU66" s="9" t="n">
        <v>62.5</v>
      </c>
      <c r="CV66" s="9" t="n">
        <v>76</v>
      </c>
      <c r="CW66" s="11" t="n">
        <f aca="false">(CS66+CT66+CU66+CV66)/4</f>
        <v>70.3</v>
      </c>
      <c r="CX66" s="9" t="n">
        <v>0</v>
      </c>
      <c r="CY66" s="9" t="n">
        <v>0</v>
      </c>
      <c r="CZ66" s="9" t="n">
        <v>0</v>
      </c>
      <c r="DA66" s="9" t="n">
        <v>0</v>
      </c>
      <c r="DB66" s="11" t="n">
        <f aca="false">(CX66+CY66+CZ66+DA66)/4</f>
        <v>0</v>
      </c>
      <c r="DC66" s="9" t="n">
        <v>1</v>
      </c>
      <c r="DD66" s="9" t="n">
        <v>1</v>
      </c>
      <c r="DE66" s="9" t="n">
        <v>1</v>
      </c>
      <c r="DF66" s="9" t="n">
        <v>1</v>
      </c>
      <c r="DG66" s="11" t="n">
        <f aca="false">(DC66+DD66+DE66+DF66)/4</f>
        <v>1</v>
      </c>
      <c r="DH66" s="9" t="n">
        <v>1</v>
      </c>
      <c r="DI66" s="9" t="n">
        <v>1</v>
      </c>
      <c r="DJ66" s="9" t="n">
        <v>1</v>
      </c>
      <c r="DK66" s="9" t="n">
        <v>1</v>
      </c>
      <c r="DL66" s="11" t="n">
        <f aca="false">(DH66+DI66+DJ66+DK66)/4</f>
        <v>1</v>
      </c>
      <c r="DM66" s="9" t="n">
        <v>19</v>
      </c>
      <c r="DN66" s="9" t="n">
        <v>28</v>
      </c>
      <c r="DO66" s="9" t="n">
        <v>44</v>
      </c>
      <c r="DP66" s="9" t="n">
        <v>37</v>
      </c>
      <c r="DQ66" s="11" t="n">
        <f aca="false">(DM66+DN66+DO66+DP66)/4</f>
        <v>32</v>
      </c>
      <c r="DR66" s="9" t="n">
        <v>15</v>
      </c>
      <c r="DS66" s="9" t="n">
        <v>7</v>
      </c>
      <c r="DT66" s="9" t="n">
        <v>48</v>
      </c>
      <c r="DU66" s="9" t="n">
        <v>27</v>
      </c>
      <c r="DV66" s="11" t="n">
        <f aca="false">(DR66+DS66+DT66+DU66)/4</f>
        <v>24.25</v>
      </c>
      <c r="DW66" s="9" t="n">
        <v>0</v>
      </c>
      <c r="DX66" s="9" t="n">
        <v>0</v>
      </c>
      <c r="DY66" s="9" t="n">
        <v>0</v>
      </c>
      <c r="DZ66" s="9" t="n">
        <v>0</v>
      </c>
      <c r="EA66" s="11" t="n">
        <f aca="false">(DW66+DX66+DY66+DZ66)/4</f>
        <v>0</v>
      </c>
      <c r="EB66" s="11" t="n">
        <f aca="false">(DW66/DR66)</f>
        <v>0</v>
      </c>
      <c r="EC66" s="11" t="n">
        <f aca="false">(DX66/DS66)</f>
        <v>0</v>
      </c>
      <c r="ED66" s="11" t="n">
        <f aca="false">(DY66/DT66)</f>
        <v>0</v>
      </c>
      <c r="EE66" s="11" t="n">
        <f aca="false">(DZ66/DU66)</f>
        <v>0</v>
      </c>
      <c r="EF66" s="11" t="n">
        <f aca="false">(EA66/DV66)</f>
        <v>0</v>
      </c>
      <c r="EG66" s="11" t="n">
        <f aca="false">(100*EF66)</f>
        <v>0</v>
      </c>
      <c r="EH66" s="9" t="n">
        <v>0</v>
      </c>
      <c r="EI66" s="9" t="n">
        <v>1</v>
      </c>
      <c r="EJ66" s="9" t="n">
        <v>1</v>
      </c>
      <c r="EK66" s="19" t="n">
        <v>21</v>
      </c>
      <c r="EL66" s="9" t="n">
        <v>12</v>
      </c>
      <c r="EM66" s="9" t="n">
        <f aca="false">(EI66+EJ66+EK66+EL66)/4</f>
        <v>8.75</v>
      </c>
      <c r="EN66" s="9" t="n">
        <f aca="false">(EI66/DR66)</f>
        <v>0.0666666666666667</v>
      </c>
      <c r="EO66" s="9" t="n">
        <f aca="false">(EJ66/DS66)</f>
        <v>0.142857142857143</v>
      </c>
      <c r="EP66" s="9" t="n">
        <f aca="false">(EK66/DT66)</f>
        <v>0.4375</v>
      </c>
      <c r="EQ66" s="9" t="n">
        <f aca="false">(EL66/DU66)</f>
        <v>0.444444444444444</v>
      </c>
      <c r="ER66" s="9" t="n">
        <f aca="false">EM66/DV66</f>
        <v>0.360824742268041</v>
      </c>
      <c r="ES66" s="9" t="n">
        <f aca="false">(100*ER66)</f>
        <v>36.0824742268041</v>
      </c>
      <c r="ET66" s="9" t="n">
        <v>3</v>
      </c>
      <c r="EU66" s="18" t="n">
        <v>1</v>
      </c>
      <c r="EV66" s="9" t="n">
        <v>2</v>
      </c>
      <c r="EW66" s="9" t="n">
        <v>3</v>
      </c>
      <c r="EX66" s="9" t="n">
        <v>3</v>
      </c>
      <c r="EY66" s="11" t="n">
        <f aca="false">(EU66+EV66+EW66+EX66)/4</f>
        <v>2.25</v>
      </c>
      <c r="EZ66" s="11" t="n">
        <f aca="false">(EU66/DR66)</f>
        <v>0.0666666666666667</v>
      </c>
      <c r="FA66" s="11" t="n">
        <f aca="false">(EV66/DS66)</f>
        <v>0.285714285714286</v>
      </c>
      <c r="FB66" s="11" t="n">
        <f aca="false">(EW66/DT66)</f>
        <v>0.0625</v>
      </c>
      <c r="FC66" s="11" t="n">
        <f aca="false">(EX66/DU66)</f>
        <v>0.111111111111111</v>
      </c>
      <c r="FD66" s="11" t="n">
        <f aca="false">(EY66/DV66)</f>
        <v>0.0927835051546392</v>
      </c>
      <c r="FE66" s="11" t="n">
        <f aca="false">(100*FD66)</f>
        <v>9.27835051546392</v>
      </c>
      <c r="FF66" s="9" t="n">
        <v>1</v>
      </c>
      <c r="FG66" s="9" t="n">
        <v>1</v>
      </c>
      <c r="FH66" s="9" t="n">
        <v>1</v>
      </c>
      <c r="FI66" s="9" t="n">
        <v>2</v>
      </c>
      <c r="FJ66" s="9" t="n">
        <v>2</v>
      </c>
      <c r="FK66" s="11" t="n">
        <f aca="false">(FG66+FH66+FI66+FJ66)/4</f>
        <v>1.5</v>
      </c>
      <c r="FL66" s="11" t="n">
        <f aca="false">(FG66/DR66)</f>
        <v>0.0666666666666667</v>
      </c>
      <c r="FM66" s="11" t="n">
        <f aca="false">(FH66/DS66)</f>
        <v>0.142857142857143</v>
      </c>
      <c r="FN66" s="11" t="n">
        <f aca="false">(FI66/DT66)</f>
        <v>0.0416666666666667</v>
      </c>
      <c r="FO66" s="11" t="n">
        <f aca="false">(FJ66/DU66)</f>
        <v>0.0740740740740741</v>
      </c>
      <c r="FP66" s="11" t="n">
        <f aca="false">(FK66/DV66)</f>
        <v>0.0618556701030928</v>
      </c>
      <c r="FQ66" s="11" t="n">
        <f aca="false">(100*FP66)</f>
        <v>6.18556701030928</v>
      </c>
      <c r="FR66" s="9" t="n">
        <v>1</v>
      </c>
      <c r="FS66" s="9" t="n">
        <v>71.7</v>
      </c>
      <c r="FT66" s="9" t="n">
        <v>72.3</v>
      </c>
      <c r="FU66" s="9" t="n">
        <v>72.4</v>
      </c>
      <c r="FV66" s="9" t="n">
        <v>60.9</v>
      </c>
      <c r="FW66" s="11" t="n">
        <f aca="false">(FS66+FT66+FU66+FV66)/4</f>
        <v>69.325</v>
      </c>
      <c r="FX66" s="9" t="n">
        <v>0</v>
      </c>
      <c r="FY66" s="9" t="n">
        <v>0</v>
      </c>
      <c r="FZ66" s="9" t="n">
        <v>0</v>
      </c>
      <c r="GA66" s="9" t="n">
        <v>1</v>
      </c>
      <c r="GB66" s="11" t="n">
        <f aca="false">(FX66+FY66+FZ66+GA66)/4</f>
        <v>0.25</v>
      </c>
      <c r="GC66" s="9" t="n">
        <v>1</v>
      </c>
      <c r="GD66" s="9" t="n">
        <v>1</v>
      </c>
      <c r="GE66" s="9" t="n">
        <v>1</v>
      </c>
      <c r="GF66" s="9" t="n">
        <v>1</v>
      </c>
      <c r="GG66" s="11" t="n">
        <f aca="false">(GC66+GD66+GE66+GF66)/4</f>
        <v>1</v>
      </c>
      <c r="GH66" s="9" t="n">
        <v>1</v>
      </c>
      <c r="GI66" s="9" t="n">
        <v>1</v>
      </c>
      <c r="GJ66" s="9" t="n">
        <v>0</v>
      </c>
      <c r="GK66" s="9" t="n">
        <v>0</v>
      </c>
      <c r="GL66" s="11" t="n">
        <f aca="false">(GH66+GI66+GJ66+GK66)/4</f>
        <v>0.5</v>
      </c>
      <c r="GM66" s="9" t="n">
        <v>145</v>
      </c>
      <c r="GN66" s="9" t="n">
        <v>8</v>
      </c>
      <c r="GO66" s="9" t="n">
        <v>133</v>
      </c>
      <c r="GP66" s="9" t="n">
        <v>78</v>
      </c>
      <c r="GQ66" s="11" t="n">
        <f aca="false">(GM66+GN66+GO66+GP66)/4</f>
        <v>91</v>
      </c>
      <c r="GR66" s="9" t="n">
        <v>57</v>
      </c>
      <c r="GS66" s="9" t="n">
        <v>23</v>
      </c>
      <c r="GT66" s="9" t="n">
        <v>14</v>
      </c>
      <c r="GU66" s="9" t="n">
        <v>11</v>
      </c>
      <c r="GV66" s="11" t="n">
        <f aca="false">(GR66+GS66+GT66+GU66)/4</f>
        <v>26.25</v>
      </c>
      <c r="GW66" s="9" t="n">
        <v>0</v>
      </c>
      <c r="GX66" s="9" t="n">
        <v>0</v>
      </c>
      <c r="GY66" s="9" t="n">
        <v>0</v>
      </c>
      <c r="GZ66" s="9" t="n">
        <v>1</v>
      </c>
      <c r="HA66" s="11" t="n">
        <f aca="false">(GW66+GX66+GY66+GZ66)/4</f>
        <v>0.25</v>
      </c>
      <c r="HB66" s="9" t="n">
        <f aca="false">(GW66/GR66)</f>
        <v>0</v>
      </c>
      <c r="HC66" s="9" t="n">
        <f aca="false">(GX66/GS66)</f>
        <v>0</v>
      </c>
      <c r="HD66" s="9" t="n">
        <f aca="false">(GY66/GT66)</f>
        <v>0</v>
      </c>
      <c r="HE66" s="9" t="n">
        <f aca="false">(GZ66/GU66)/4</f>
        <v>0.0227272727272727</v>
      </c>
      <c r="HF66" s="9" t="n">
        <f aca="false">(HB66+HC66+HD66+HE66)/4</f>
        <v>0.00568181818181818</v>
      </c>
      <c r="HG66" s="9" t="n">
        <f aca="false">(100*HF66)</f>
        <v>0.568181818181818</v>
      </c>
      <c r="HH66" s="18" t="n">
        <v>1</v>
      </c>
      <c r="HI66" s="9" t="n">
        <v>2</v>
      </c>
      <c r="HJ66" s="9" t="n">
        <v>3</v>
      </c>
      <c r="HK66" s="9" t="n">
        <v>7</v>
      </c>
      <c r="HL66" s="19" t="n">
        <v>8</v>
      </c>
      <c r="HM66" s="9" t="n">
        <f aca="false">(HI66+HJ66+HK66+HL66)/4</f>
        <v>5</v>
      </c>
      <c r="HN66" s="9" t="n">
        <f aca="false">(HI66/GR66)</f>
        <v>0.0350877192982456</v>
      </c>
      <c r="HO66" s="9" t="n">
        <f aca="false">(HJ66/GS66)</f>
        <v>0.130434782608696</v>
      </c>
      <c r="HP66" s="9" t="n">
        <f aca="false">(HK66/GT66)</f>
        <v>0.5</v>
      </c>
      <c r="HQ66" s="9" t="n">
        <f aca="false">(HL66/GU66)</f>
        <v>0.727272727272727</v>
      </c>
      <c r="HR66" s="9" t="n">
        <f aca="false">(HM66/GV66)</f>
        <v>0.19047619047619</v>
      </c>
      <c r="HS66" s="9" t="n">
        <f aca="false">(100*HR66)</f>
        <v>19.047619047619</v>
      </c>
      <c r="HT66" s="18" t="n">
        <v>2</v>
      </c>
      <c r="HU66" s="9" t="n">
        <v>1</v>
      </c>
      <c r="HV66" s="9" t="n">
        <v>2</v>
      </c>
      <c r="HW66" s="9" t="n">
        <v>0</v>
      </c>
      <c r="HX66" s="19" t="n">
        <v>0</v>
      </c>
      <c r="HY66" s="9" t="n">
        <f aca="false">(HU66+HV66+HW66+HX66)/4</f>
        <v>0.75</v>
      </c>
      <c r="HZ66" s="9" t="n">
        <f aca="false">(HU66/GR66)</f>
        <v>0.0175438596491228</v>
      </c>
      <c r="IA66" s="9" t="n">
        <f aca="false">HV66/GS66</f>
        <v>0.0869565217391304</v>
      </c>
      <c r="IB66" s="9" t="n">
        <f aca="false">(HW66/GT66)</f>
        <v>0</v>
      </c>
      <c r="IC66" s="9" t="n">
        <f aca="false">(HX66/GU66)</f>
        <v>0</v>
      </c>
      <c r="ID66" s="9" t="n">
        <f aca="false">(HY66/GV66)</f>
        <v>0.0285714285714286</v>
      </c>
      <c r="IE66" s="9" t="n">
        <f aca="false">(100*ID66)</f>
        <v>2.85714285714286</v>
      </c>
      <c r="IF66" s="18" t="n">
        <v>1</v>
      </c>
      <c r="IG66" s="9" t="n">
        <v>2</v>
      </c>
      <c r="IH66" s="9" t="n">
        <v>4</v>
      </c>
      <c r="II66" s="19" t="n">
        <v>0</v>
      </c>
      <c r="IJ66" s="9" t="n">
        <v>0</v>
      </c>
      <c r="IK66" s="9" t="n">
        <f aca="false">(IG66+IH66+II66+IJ66)/4</f>
        <v>1.5</v>
      </c>
      <c r="IL66" s="9" t="n">
        <f aca="false">(IG66/GM66)</f>
        <v>0.0137931034482759</v>
      </c>
      <c r="IM66" s="9" t="n">
        <f aca="false">(IH66/GN66)</f>
        <v>0.5</v>
      </c>
      <c r="IN66" s="9" t="n">
        <f aca="false">(II66/GO66)</f>
        <v>0</v>
      </c>
      <c r="IO66" s="9" t="n">
        <f aca="false">(IJ66/GP66)</f>
        <v>0</v>
      </c>
      <c r="IP66" s="9" t="n">
        <f aca="false">(IK66/GQ66)</f>
        <v>0.0164835164835165</v>
      </c>
      <c r="IQ66" s="9" t="n">
        <f aca="false">(100*IP66)</f>
        <v>1.64835164835165</v>
      </c>
      <c r="IR66" s="18" t="n">
        <v>1</v>
      </c>
      <c r="IS66" s="9" t="n">
        <v>69.9</v>
      </c>
      <c r="IT66" s="9" t="n">
        <v>56.8</v>
      </c>
      <c r="IU66" s="19" t="n">
        <v>69.6</v>
      </c>
      <c r="IV66" s="9" t="n">
        <v>73.1</v>
      </c>
      <c r="IW66" s="9" t="n">
        <f aca="false">(IS66+IT66+IU66+IV66)/4</f>
        <v>67.35</v>
      </c>
      <c r="IX66" s="16" t="n">
        <v>45241</v>
      </c>
      <c r="IY66" s="10" t="s">
        <v>268</v>
      </c>
    </row>
    <row r="67" customFormat="false" ht="15.75" hidden="false" customHeight="true" outlineLevel="0" collapsed="false">
      <c r="A67" s="9" t="s">
        <v>259</v>
      </c>
      <c r="B67" s="10" t="s">
        <v>419</v>
      </c>
      <c r="C67" s="10" t="s">
        <v>400</v>
      </c>
      <c r="D67" s="9" t="n">
        <v>4</v>
      </c>
      <c r="E67" s="9" t="n">
        <v>22</v>
      </c>
      <c r="F67" s="10" t="s">
        <v>425</v>
      </c>
      <c r="G67" s="10" t="s">
        <v>275</v>
      </c>
      <c r="H67" s="9" t="n">
        <v>21</v>
      </c>
      <c r="I67" s="9" t="n">
        <v>20</v>
      </c>
      <c r="J67" s="10" t="s">
        <v>272</v>
      </c>
      <c r="K67" s="20"/>
      <c r="L67" s="20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 t="n">
        <v>0</v>
      </c>
      <c r="Y67" s="9" t="n">
        <v>0</v>
      </c>
      <c r="Z67" s="9" t="n">
        <v>0</v>
      </c>
      <c r="AA67" s="9" t="n">
        <v>0</v>
      </c>
      <c r="AB67" s="11" t="n">
        <f aca="false">(X67+Y67+Z67+AA67)/4</f>
        <v>0</v>
      </c>
      <c r="AC67" s="9" t="n">
        <v>1</v>
      </c>
      <c r="AD67" s="9" t="n">
        <v>1</v>
      </c>
      <c r="AE67" s="9" t="n">
        <v>1</v>
      </c>
      <c r="AF67" s="9" t="n">
        <v>1</v>
      </c>
      <c r="AG67" s="11" t="n">
        <f aca="false">(AC67+AD67+AE67+AF67)/4</f>
        <v>1</v>
      </c>
      <c r="AH67" s="9" t="n">
        <v>0</v>
      </c>
      <c r="AI67" s="9" t="n">
        <v>1</v>
      </c>
      <c r="AJ67" s="9" t="n">
        <v>1</v>
      </c>
      <c r="AK67" s="9" t="n">
        <v>1</v>
      </c>
      <c r="AL67" s="11" t="n">
        <f aca="false">(AH67+AI67+AJ67+AK67)/4</f>
        <v>0.75</v>
      </c>
      <c r="AM67" s="9" t="n">
        <v>18</v>
      </c>
      <c r="AN67" s="9" t="n">
        <v>5</v>
      </c>
      <c r="AO67" s="9" t="n">
        <v>58</v>
      </c>
      <c r="AP67" s="9" t="n">
        <v>58</v>
      </c>
      <c r="AQ67" s="11" t="n">
        <f aca="false">(AM67+AN67+AO67+AP67)/4</f>
        <v>34.75</v>
      </c>
      <c r="AR67" s="9" t="n">
        <v>5</v>
      </c>
      <c r="AS67" s="9" t="n">
        <v>9</v>
      </c>
      <c r="AT67" s="9" t="n">
        <v>12</v>
      </c>
      <c r="AU67" s="9" t="n">
        <v>16</v>
      </c>
      <c r="AV67" s="11" t="n">
        <f aca="false">(AR67+AS67+AT67+AU67)/4</f>
        <v>10.5</v>
      </c>
      <c r="AW67" s="9" t="n">
        <v>0</v>
      </c>
      <c r="AX67" s="9" t="n">
        <v>0</v>
      </c>
      <c r="AY67" s="9" t="n">
        <v>0</v>
      </c>
      <c r="AZ67" s="9" t="n">
        <v>0</v>
      </c>
      <c r="BA67" s="11" t="n">
        <f aca="false">(AW67+AX67+AY67+AZ67)/4</f>
        <v>0</v>
      </c>
      <c r="BB67" s="11" t="n">
        <f aca="false">(AW67/AR67)</f>
        <v>0</v>
      </c>
      <c r="BC67" s="11" t="n">
        <f aca="false">(AX67/AS67)</f>
        <v>0</v>
      </c>
      <c r="BD67" s="11" t="n">
        <f aca="false">(AY67/AT67)</f>
        <v>0</v>
      </c>
      <c r="BE67" s="11" t="n">
        <f aca="false">(AZ67/AU67)</f>
        <v>0</v>
      </c>
      <c r="BF67" s="11" t="n">
        <f aca="false">(BA67/AV67)</f>
        <v>0</v>
      </c>
      <c r="BG67" s="11" t="n">
        <f aca="false">(BF67*100)</f>
        <v>0</v>
      </c>
      <c r="BH67" s="9" t="n">
        <v>0</v>
      </c>
      <c r="BI67" s="9" t="n">
        <v>2</v>
      </c>
      <c r="BJ67" s="9" t="n">
        <v>1</v>
      </c>
      <c r="BK67" s="9" t="n">
        <v>3</v>
      </c>
      <c r="BL67" s="9" t="n">
        <v>1</v>
      </c>
      <c r="BM67" s="11" t="n">
        <f aca="false">(BI67+BJ67+BK67+BL67)/4</f>
        <v>1.75</v>
      </c>
      <c r="BN67" s="11" t="n">
        <f aca="false">(BI67/AR67)</f>
        <v>0.4</v>
      </c>
      <c r="BO67" s="11" t="n">
        <f aca="false">(BJ67/AS67)</f>
        <v>0.111111111111111</v>
      </c>
      <c r="BP67" s="11" t="n">
        <f aca="false">(BK67/AT67)</f>
        <v>0.25</v>
      </c>
      <c r="BQ67" s="11" t="n">
        <f aca="false">(BL67/AU67)</f>
        <v>0.0625</v>
      </c>
      <c r="BR67" s="11" t="n">
        <f aca="false">(BM67/AV67)</f>
        <v>0.166666666666667</v>
      </c>
      <c r="BS67" s="11" t="n">
        <f aca="false">(100*BR67)</f>
        <v>16.6666666666667</v>
      </c>
      <c r="BT67" s="9" t="n">
        <v>2</v>
      </c>
      <c r="BU67" s="9" t="n">
        <v>0</v>
      </c>
      <c r="BV67" s="9" t="n">
        <v>2</v>
      </c>
      <c r="BW67" s="9" t="n">
        <v>0</v>
      </c>
      <c r="BX67" s="9" t="n">
        <v>0</v>
      </c>
      <c r="BY67" s="11" t="n">
        <f aca="false">(BU67+BV67+BW67+BX67)/4</f>
        <v>0.5</v>
      </c>
      <c r="BZ67" s="11" t="n">
        <f aca="false">(BU67/AR67)</f>
        <v>0</v>
      </c>
      <c r="CA67" s="11" t="n">
        <f aca="false">(BV67/AS67)</f>
        <v>0.222222222222222</v>
      </c>
      <c r="CB67" s="11" t="n">
        <f aca="false">(BW67/AT67)</f>
        <v>0</v>
      </c>
      <c r="CC67" s="11" t="n">
        <f aca="false">(BX67/AU67)</f>
        <v>0</v>
      </c>
      <c r="CD67" s="11" t="n">
        <f aca="false">(BY67/AV67)</f>
        <v>0.0476190476190476</v>
      </c>
      <c r="CE67" s="11" t="n">
        <f aca="false">(100*CD67)</f>
        <v>4.76190476190476</v>
      </c>
      <c r="CF67" s="9" t="n">
        <v>1</v>
      </c>
      <c r="CG67" s="9" t="n">
        <v>0</v>
      </c>
      <c r="CH67" s="9" t="n">
        <v>2</v>
      </c>
      <c r="CI67" s="9" t="n">
        <v>8</v>
      </c>
      <c r="CJ67" s="9" t="n">
        <v>16</v>
      </c>
      <c r="CK67" s="11" t="n">
        <f aca="false">(CG67+CH67+CI67+CJ67)/4</f>
        <v>6.5</v>
      </c>
      <c r="CL67" s="11" t="n">
        <f aca="false">(CG67/AM67)</f>
        <v>0</v>
      </c>
      <c r="CM67" s="11" t="n">
        <f aca="false">(CH67/AN67)</f>
        <v>0.4</v>
      </c>
      <c r="CN67" s="11" t="n">
        <f aca="false">(CI67/AO67)</f>
        <v>0.137931034482759</v>
      </c>
      <c r="CO67" s="9" t="n">
        <f aca="false">(CJ67/AP67)</f>
        <v>0.275862068965517</v>
      </c>
      <c r="CP67" s="9" t="n">
        <f aca="false">(CK67/AQ67)</f>
        <v>0.18705035971223</v>
      </c>
      <c r="CQ67" s="9" t="n">
        <f aca="false">(100*CP67)</f>
        <v>18.705035971223</v>
      </c>
      <c r="CR67" s="18" t="n">
        <v>2</v>
      </c>
      <c r="CS67" s="9" t="n">
        <v>41.1</v>
      </c>
      <c r="CT67" s="9" t="n">
        <v>69.3</v>
      </c>
      <c r="CU67" s="9" t="n">
        <v>60.8</v>
      </c>
      <c r="CV67" s="9" t="n">
        <v>54.1</v>
      </c>
      <c r="CW67" s="11" t="n">
        <f aca="false">(CS67+CT67+CU67+CV67)/4</f>
        <v>56.325</v>
      </c>
      <c r="CX67" s="9" t="n">
        <v>0</v>
      </c>
      <c r="CY67" s="9" t="n">
        <v>0</v>
      </c>
      <c r="CZ67" s="9" t="n">
        <v>0</v>
      </c>
      <c r="DA67" s="9" t="n">
        <v>0</v>
      </c>
      <c r="DB67" s="11" t="n">
        <f aca="false">(CX67+CY67+CZ67+DA67)/4</f>
        <v>0</v>
      </c>
      <c r="DC67" s="9" t="n">
        <v>1</v>
      </c>
      <c r="DD67" s="9" t="n">
        <v>1</v>
      </c>
      <c r="DE67" s="9" t="n">
        <v>1</v>
      </c>
      <c r="DF67" s="9" t="n">
        <v>1</v>
      </c>
      <c r="DG67" s="11" t="n">
        <f aca="false">(DC67+DD67+DE67+DF67)/4</f>
        <v>1</v>
      </c>
      <c r="DH67" s="9" t="n">
        <v>1</v>
      </c>
      <c r="DI67" s="9" t="n">
        <v>1</v>
      </c>
      <c r="DJ67" s="9" t="n">
        <v>1</v>
      </c>
      <c r="DK67" s="9" t="n">
        <v>1</v>
      </c>
      <c r="DL67" s="11" t="n">
        <f aca="false">(DH67+DI67+DJ67+DK67)/4</f>
        <v>1</v>
      </c>
      <c r="DM67" s="9" t="n">
        <v>21</v>
      </c>
      <c r="DN67" s="9" t="n">
        <v>42</v>
      </c>
      <c r="DO67" s="9" t="n">
        <v>7</v>
      </c>
      <c r="DP67" s="9" t="n">
        <v>27</v>
      </c>
      <c r="DQ67" s="11" t="n">
        <f aca="false">(DM67+DN67+DO67+DP67)/4</f>
        <v>24.25</v>
      </c>
      <c r="DR67" s="9" t="n">
        <v>8</v>
      </c>
      <c r="DS67" s="9" t="n">
        <v>9</v>
      </c>
      <c r="DT67" s="9" t="n">
        <v>10</v>
      </c>
      <c r="DU67" s="9" t="n">
        <v>17</v>
      </c>
      <c r="DV67" s="11" t="n">
        <f aca="false">(DR67+DS67+DT67+DU67)/4</f>
        <v>11</v>
      </c>
      <c r="DW67" s="9" t="n">
        <v>0</v>
      </c>
      <c r="DX67" s="9" t="n">
        <v>0</v>
      </c>
      <c r="DY67" s="9" t="n">
        <v>0</v>
      </c>
      <c r="DZ67" s="9" t="n">
        <v>0</v>
      </c>
      <c r="EA67" s="11" t="n">
        <f aca="false">(DW67+DX67+DY67+DZ67)/4</f>
        <v>0</v>
      </c>
      <c r="EB67" s="11" t="n">
        <f aca="false">(DW67/DR67)</f>
        <v>0</v>
      </c>
      <c r="EC67" s="11" t="n">
        <f aca="false">(DX67/DS67)</f>
        <v>0</v>
      </c>
      <c r="ED67" s="11" t="n">
        <f aca="false">(DY67/DT67)</f>
        <v>0</v>
      </c>
      <c r="EE67" s="11" t="n">
        <f aca="false">(DZ67/DU67)</f>
        <v>0</v>
      </c>
      <c r="EF67" s="11" t="n">
        <f aca="false">(EA67/DV67)</f>
        <v>0</v>
      </c>
      <c r="EG67" s="11" t="n">
        <f aca="false">(100*EF67)</f>
        <v>0</v>
      </c>
      <c r="EH67" s="9" t="n">
        <v>0</v>
      </c>
      <c r="EI67" s="9" t="n">
        <v>4</v>
      </c>
      <c r="EJ67" s="9" t="n">
        <v>4</v>
      </c>
      <c r="EK67" s="19" t="n">
        <v>3</v>
      </c>
      <c r="EL67" s="9" t="n">
        <v>2</v>
      </c>
      <c r="EM67" s="9" t="n">
        <f aca="false">(EI67+EJ67+EK67+EL67)/4</f>
        <v>3.25</v>
      </c>
      <c r="EN67" s="9" t="n">
        <f aca="false">(EI67/DR67)</f>
        <v>0.5</v>
      </c>
      <c r="EO67" s="9" t="n">
        <f aca="false">(EJ67/DS67)</f>
        <v>0.444444444444444</v>
      </c>
      <c r="EP67" s="9" t="n">
        <f aca="false">(EK67/DT67)</f>
        <v>0.3</v>
      </c>
      <c r="EQ67" s="9" t="n">
        <f aca="false">(EL67/DU67)</f>
        <v>0.117647058823529</v>
      </c>
      <c r="ER67" s="9" t="n">
        <f aca="false">EM67/DV67</f>
        <v>0.295454545454545</v>
      </c>
      <c r="ES67" s="9" t="n">
        <f aca="false">(100*ER67)</f>
        <v>29.5454545454545</v>
      </c>
      <c r="ET67" s="9" t="n">
        <v>2</v>
      </c>
      <c r="EU67" s="18" t="n">
        <v>0</v>
      </c>
      <c r="EV67" s="9" t="n">
        <v>0</v>
      </c>
      <c r="EW67" s="9" t="n">
        <v>0</v>
      </c>
      <c r="EX67" s="9" t="n">
        <v>0</v>
      </c>
      <c r="EY67" s="11" t="n">
        <f aca="false">(EU67+EV67+EW67+EX67)/4</f>
        <v>0</v>
      </c>
      <c r="EZ67" s="11" t="n">
        <f aca="false">(EU67/DR67)</f>
        <v>0</v>
      </c>
      <c r="FA67" s="11" t="n">
        <f aca="false">(EV67/DS67)</f>
        <v>0</v>
      </c>
      <c r="FB67" s="11" t="n">
        <f aca="false">(EW67/DT67)</f>
        <v>0</v>
      </c>
      <c r="FC67" s="11" t="n">
        <f aca="false">(EX67/DU67)</f>
        <v>0</v>
      </c>
      <c r="FD67" s="11" t="n">
        <f aca="false">(EY67/DV67)</f>
        <v>0</v>
      </c>
      <c r="FE67" s="11" t="n">
        <f aca="false">(100*FD67)</f>
        <v>0</v>
      </c>
      <c r="FF67" s="9" t="n">
        <v>0</v>
      </c>
      <c r="FG67" s="9" t="n">
        <v>7</v>
      </c>
      <c r="FH67" s="9" t="n">
        <v>2</v>
      </c>
      <c r="FI67" s="9" t="n">
        <v>3</v>
      </c>
      <c r="FJ67" s="9" t="n">
        <v>9</v>
      </c>
      <c r="FK67" s="11" t="n">
        <f aca="false">(FG67+FH67+FI67+FJ67)/4</f>
        <v>5.25</v>
      </c>
      <c r="FL67" s="11" t="n">
        <f aca="false">(FG67/DR67)</f>
        <v>0.875</v>
      </c>
      <c r="FM67" s="11" t="n">
        <f aca="false">(FH67/DS67)</f>
        <v>0.222222222222222</v>
      </c>
      <c r="FN67" s="11" t="n">
        <f aca="false">(FI67/DT67)</f>
        <v>0.3</v>
      </c>
      <c r="FO67" s="11" t="n">
        <f aca="false">(FJ67/DU67)</f>
        <v>0.529411764705882</v>
      </c>
      <c r="FP67" s="11" t="n">
        <f aca="false">(FK67/DV67)</f>
        <v>0.477272727272727</v>
      </c>
      <c r="FQ67" s="11" t="n">
        <f aca="false">(100*FP67)</f>
        <v>47.7272727272727</v>
      </c>
      <c r="FR67" s="9" t="n">
        <v>3</v>
      </c>
      <c r="FS67" s="9" t="n">
        <v>42.3</v>
      </c>
      <c r="FT67" s="9" t="n">
        <v>55.6</v>
      </c>
      <c r="FU67" s="9" t="n">
        <v>69.1</v>
      </c>
      <c r="FV67" s="9" t="n">
        <v>59.2</v>
      </c>
      <c r="FW67" s="11" t="n">
        <f aca="false">(FS67+FT67+FU67+FV67)/4</f>
        <v>56.55</v>
      </c>
      <c r="FX67" s="9" t="n">
        <v>0</v>
      </c>
      <c r="FY67" s="9" t="n">
        <v>0</v>
      </c>
      <c r="FZ67" s="9" t="n">
        <v>0</v>
      </c>
      <c r="GA67" s="9" t="n">
        <v>1</v>
      </c>
      <c r="GB67" s="11" t="n">
        <f aca="false">(FX67+FY67+FZ67+GA67)/4</f>
        <v>0.25</v>
      </c>
      <c r="GC67" s="9" t="n">
        <v>1</v>
      </c>
      <c r="GD67" s="9" t="n">
        <v>1</v>
      </c>
      <c r="GE67" s="9" t="n">
        <v>1</v>
      </c>
      <c r="GF67" s="9" t="n">
        <v>1</v>
      </c>
      <c r="GG67" s="11" t="n">
        <f aca="false">(GC67+GD67+GE67+GF67)/4</f>
        <v>1</v>
      </c>
      <c r="GH67" s="9" t="n">
        <v>1</v>
      </c>
      <c r="GI67" s="9" t="n">
        <v>0</v>
      </c>
      <c r="GJ67" s="9" t="n">
        <v>1</v>
      </c>
      <c r="GK67" s="9" t="n">
        <v>1</v>
      </c>
      <c r="GL67" s="11" t="n">
        <f aca="false">(GH67+GI67+GJ67+GK67)/4</f>
        <v>0.75</v>
      </c>
      <c r="GM67" s="9" t="n">
        <v>64</v>
      </c>
      <c r="GN67" s="9" t="n">
        <v>18</v>
      </c>
      <c r="GO67" s="9" t="n">
        <v>11</v>
      </c>
      <c r="GP67" s="9" t="n">
        <v>12</v>
      </c>
      <c r="GQ67" s="11" t="n">
        <f aca="false">(GM67+GN67+GO67+GP67)/4</f>
        <v>26.25</v>
      </c>
      <c r="GR67" s="9" t="n">
        <v>16</v>
      </c>
      <c r="GS67" s="9" t="n">
        <v>14</v>
      </c>
      <c r="GT67" s="9" t="n">
        <v>16</v>
      </c>
      <c r="GU67" s="9" t="n">
        <v>12</v>
      </c>
      <c r="GV67" s="11" t="n">
        <f aca="false">(GR67+GS67+GT67+GU67)/4</f>
        <v>14.5</v>
      </c>
      <c r="GW67" s="9" t="n">
        <v>0</v>
      </c>
      <c r="GX67" s="9" t="n">
        <v>0</v>
      </c>
      <c r="GY67" s="9" t="n">
        <v>0</v>
      </c>
      <c r="GZ67" s="9" t="n">
        <v>1</v>
      </c>
      <c r="HA67" s="11" t="n">
        <f aca="false">(GW67+GX67+GY67+GZ67)/4</f>
        <v>0.25</v>
      </c>
      <c r="HB67" s="9" t="n">
        <f aca="false">(GW67/GR67)</f>
        <v>0</v>
      </c>
      <c r="HC67" s="9" t="n">
        <f aca="false">(GX67/GS67)</f>
        <v>0</v>
      </c>
      <c r="HD67" s="9" t="n">
        <f aca="false">(GY67/GT67)</f>
        <v>0</v>
      </c>
      <c r="HE67" s="9" t="n">
        <f aca="false">(GZ67/GU67)/4</f>
        <v>0.0208333333333333</v>
      </c>
      <c r="HF67" s="9" t="n">
        <f aca="false">(HB67+HC67+HD67+HE67)/4</f>
        <v>0.00520833333333333</v>
      </c>
      <c r="HG67" s="9" t="n">
        <f aca="false">(100*HF67)</f>
        <v>0.520833333333333</v>
      </c>
      <c r="HH67" s="18" t="n">
        <v>1</v>
      </c>
      <c r="HI67" s="9" t="n">
        <v>5</v>
      </c>
      <c r="HJ67" s="9" t="n">
        <v>2</v>
      </c>
      <c r="HK67" s="9" t="n">
        <v>2</v>
      </c>
      <c r="HL67" s="19" t="n">
        <v>6</v>
      </c>
      <c r="HM67" s="9" t="n">
        <f aca="false">(HI67+HJ67+HK67+HL67)/4</f>
        <v>3.75</v>
      </c>
      <c r="HN67" s="9" t="n">
        <f aca="false">(HI67/GR67)</f>
        <v>0.3125</v>
      </c>
      <c r="HO67" s="9" t="n">
        <f aca="false">(HJ67/GS67)</f>
        <v>0.142857142857143</v>
      </c>
      <c r="HP67" s="9" t="n">
        <f aca="false">(HK67/GT67)</f>
        <v>0.125</v>
      </c>
      <c r="HQ67" s="9" t="n">
        <f aca="false">(HL67/GU67)</f>
        <v>0.5</v>
      </c>
      <c r="HR67" s="9" t="n">
        <f aca="false">(HM67/GV67)</f>
        <v>0.258620689655172</v>
      </c>
      <c r="HS67" s="9" t="n">
        <f aca="false">(100*HR67)</f>
        <v>25.8620689655172</v>
      </c>
      <c r="HT67" s="18" t="n">
        <v>2</v>
      </c>
      <c r="HU67" s="9" t="n">
        <v>6</v>
      </c>
      <c r="HV67" s="9" t="n">
        <v>0</v>
      </c>
      <c r="HW67" s="9" t="n">
        <v>3</v>
      </c>
      <c r="HX67" s="19" t="n">
        <v>2</v>
      </c>
      <c r="HY67" s="9" t="n">
        <f aca="false">(HU67+HV67+HW67+HX67)/4</f>
        <v>2.75</v>
      </c>
      <c r="HZ67" s="9" t="n">
        <f aca="false">(HU67/GR67)</f>
        <v>0.375</v>
      </c>
      <c r="IA67" s="9" t="n">
        <f aca="false">HV67/GS67</f>
        <v>0</v>
      </c>
      <c r="IB67" s="9" t="n">
        <f aca="false">(HW67/GT67)</f>
        <v>0.1875</v>
      </c>
      <c r="IC67" s="9" t="n">
        <f aca="false">(HX67/GU67)</f>
        <v>0.166666666666667</v>
      </c>
      <c r="ID67" s="9" t="n">
        <f aca="false">(HY67/GV67)</f>
        <v>0.189655172413793</v>
      </c>
      <c r="IE67" s="9" t="n">
        <f aca="false">(100*ID67)</f>
        <v>18.9655172413793</v>
      </c>
      <c r="IF67" s="18" t="n">
        <v>2</v>
      </c>
      <c r="IG67" s="9" t="n">
        <v>0</v>
      </c>
      <c r="IH67" s="9" t="n">
        <v>0</v>
      </c>
      <c r="II67" s="19" t="n">
        <v>6</v>
      </c>
      <c r="IJ67" s="9" t="n">
        <v>2</v>
      </c>
      <c r="IK67" s="9" t="n">
        <f aca="false">(IG67+IH67+II67+IJ67)/4</f>
        <v>2</v>
      </c>
      <c r="IL67" s="9" t="n">
        <f aca="false">(IG67/GM67)</f>
        <v>0</v>
      </c>
      <c r="IM67" s="9" t="n">
        <f aca="false">(IH67/GN67)</f>
        <v>0</v>
      </c>
      <c r="IN67" s="9" t="n">
        <f aca="false">(II67/GO67)</f>
        <v>0.545454545454545</v>
      </c>
      <c r="IO67" s="9" t="n">
        <f aca="false">(IJ67/GP67)</f>
        <v>0.166666666666667</v>
      </c>
      <c r="IP67" s="9" t="n">
        <f aca="false">(IK67/GQ67)</f>
        <v>0.0761904761904762</v>
      </c>
      <c r="IQ67" s="9" t="n">
        <f aca="false">(100*IP67)</f>
        <v>7.61904761904762</v>
      </c>
      <c r="IR67" s="18" t="n">
        <v>1</v>
      </c>
      <c r="IS67" s="9" t="n">
        <v>42.3</v>
      </c>
      <c r="IT67" s="9" t="n">
        <v>79</v>
      </c>
      <c r="IU67" s="19" t="n">
        <v>61.2</v>
      </c>
      <c r="IV67" s="9" t="n">
        <v>62.1</v>
      </c>
      <c r="IW67" s="9" t="n">
        <f aca="false">(IS67+IT67+IU67+IV67)/4</f>
        <v>61.15</v>
      </c>
      <c r="IX67" s="16" t="n">
        <v>45241</v>
      </c>
      <c r="IY67" s="10" t="s">
        <v>268</v>
      </c>
    </row>
    <row r="68" customFormat="false" ht="15.75" hidden="false" customHeight="true" outlineLevel="0" collapsed="false">
      <c r="A68" s="9" t="s">
        <v>299</v>
      </c>
      <c r="B68" s="10" t="s">
        <v>426</v>
      </c>
      <c r="C68" s="10" t="s">
        <v>400</v>
      </c>
      <c r="D68" s="9" t="n">
        <v>1</v>
      </c>
      <c r="E68" s="9" t="n">
        <v>23</v>
      </c>
      <c r="F68" s="10" t="s">
        <v>427</v>
      </c>
      <c r="G68" s="10" t="s">
        <v>280</v>
      </c>
      <c r="H68" s="9" t="n">
        <v>21</v>
      </c>
      <c r="I68" s="9" t="n">
        <v>5</v>
      </c>
      <c r="J68" s="12" t="s">
        <v>264</v>
      </c>
      <c r="K68" s="13" t="s">
        <v>428</v>
      </c>
      <c r="L68" s="23" t="s">
        <v>429</v>
      </c>
      <c r="M68" s="14" t="n">
        <v>1293</v>
      </c>
      <c r="N68" s="15" t="n">
        <v>45154</v>
      </c>
      <c r="O68" s="10" t="s">
        <v>294</v>
      </c>
      <c r="P68" s="9"/>
      <c r="Q68" s="9" t="n">
        <v>65.26</v>
      </c>
      <c r="R68" s="9" t="n">
        <v>15</v>
      </c>
      <c r="S68" s="9" t="n">
        <v>-12</v>
      </c>
      <c r="T68" s="9" t="n">
        <v>130</v>
      </c>
      <c r="U68" s="9"/>
      <c r="V68" s="9" t="n">
        <v>2.37</v>
      </c>
      <c r="W68" s="9"/>
      <c r="X68" s="9" t="n">
        <v>0</v>
      </c>
      <c r="Y68" s="9" t="n">
        <v>0</v>
      </c>
      <c r="Z68" s="9" t="n">
        <v>0</v>
      </c>
      <c r="AA68" s="9" t="n">
        <v>0</v>
      </c>
      <c r="AB68" s="11" t="n">
        <f aca="false">(X68+Y68+Z68+AA68)/4</f>
        <v>0</v>
      </c>
      <c r="AC68" s="9" t="n">
        <v>0</v>
      </c>
      <c r="AD68" s="9" t="n">
        <v>1</v>
      </c>
      <c r="AE68" s="9" t="n">
        <v>1</v>
      </c>
      <c r="AF68" s="9" t="n">
        <v>1</v>
      </c>
      <c r="AG68" s="11" t="n">
        <f aca="false">(AC68+AD68+AE68+AF68)/4</f>
        <v>0.75</v>
      </c>
      <c r="AH68" s="9" t="n">
        <v>1</v>
      </c>
      <c r="AI68" s="9" t="n">
        <v>0</v>
      </c>
      <c r="AJ68" s="9" t="n">
        <v>1</v>
      </c>
      <c r="AK68" s="9" t="n">
        <v>0</v>
      </c>
      <c r="AL68" s="11" t="n">
        <f aca="false">(AH68+AI68+AJ68+AK68)/4</f>
        <v>0.5</v>
      </c>
      <c r="AM68" s="9" t="n">
        <v>15</v>
      </c>
      <c r="AN68" s="9" t="n">
        <v>9</v>
      </c>
      <c r="AO68" s="9" t="n">
        <v>0</v>
      </c>
      <c r="AP68" s="9" t="n">
        <v>3</v>
      </c>
      <c r="AQ68" s="11" t="n">
        <f aca="false">(AM68+AN68+AO68+AP68)/4</f>
        <v>6.75</v>
      </c>
      <c r="AR68" s="9" t="n">
        <v>35</v>
      </c>
      <c r="AS68" s="9" t="n">
        <v>16</v>
      </c>
      <c r="AT68" s="9" t="n">
        <v>23</v>
      </c>
      <c r="AU68" s="9" t="n">
        <v>20</v>
      </c>
      <c r="AV68" s="11" t="n">
        <f aca="false">(AR68+AS68+AT68+AU68)/4</f>
        <v>23.5</v>
      </c>
      <c r="AW68" s="9" t="n">
        <v>0</v>
      </c>
      <c r="AX68" s="9" t="n">
        <v>0</v>
      </c>
      <c r="AY68" s="9" t="n">
        <v>0</v>
      </c>
      <c r="AZ68" s="9" t="n">
        <v>0</v>
      </c>
      <c r="BA68" s="11" t="n">
        <f aca="false">(AW68+AX68+AY68+AZ68)/4</f>
        <v>0</v>
      </c>
      <c r="BB68" s="11" t="n">
        <f aca="false">(AW68/AR68)</f>
        <v>0</v>
      </c>
      <c r="BC68" s="11" t="n">
        <f aca="false">(AX68/AS68)</f>
        <v>0</v>
      </c>
      <c r="BD68" s="11" t="n">
        <f aca="false">(AY68/AT68)</f>
        <v>0</v>
      </c>
      <c r="BE68" s="11" t="n">
        <f aca="false">(AZ68/AU68)</f>
        <v>0</v>
      </c>
      <c r="BF68" s="11" t="n">
        <f aca="false">(BA68/AV68)</f>
        <v>0</v>
      </c>
      <c r="BG68" s="11" t="n">
        <f aca="false">(BF68*100)</f>
        <v>0</v>
      </c>
      <c r="BH68" s="9" t="n">
        <v>0</v>
      </c>
      <c r="BI68" s="9" t="n">
        <v>0</v>
      </c>
      <c r="BJ68" s="9" t="n">
        <v>3</v>
      </c>
      <c r="BK68" s="9" t="n">
        <v>6</v>
      </c>
      <c r="BL68" s="9" t="n">
        <v>7</v>
      </c>
      <c r="BM68" s="11" t="n">
        <f aca="false">(BI68+BJ68+BK68+BL68)/4</f>
        <v>4</v>
      </c>
      <c r="BN68" s="11" t="n">
        <f aca="false">(BI68/AR68)</f>
        <v>0</v>
      </c>
      <c r="BO68" s="11" t="n">
        <f aca="false">(BJ68/AS68)</f>
        <v>0.1875</v>
      </c>
      <c r="BP68" s="11" t="n">
        <f aca="false">(BK68/AT68)</f>
        <v>0.260869565217391</v>
      </c>
      <c r="BQ68" s="11" t="n">
        <f aca="false">(BL68/AU68)</f>
        <v>0.35</v>
      </c>
      <c r="BR68" s="11" t="n">
        <f aca="false">(BM68/AV68)</f>
        <v>0.170212765957447</v>
      </c>
      <c r="BS68" s="11" t="n">
        <f aca="false">(100*BR68)</f>
        <v>17.0212765957447</v>
      </c>
      <c r="BT68" s="9" t="n">
        <v>2</v>
      </c>
      <c r="BU68" s="9" t="n">
        <v>1</v>
      </c>
      <c r="BV68" s="9" t="n">
        <v>0</v>
      </c>
      <c r="BW68" s="9" t="n">
        <v>3</v>
      </c>
      <c r="BX68" s="9" t="n">
        <v>0</v>
      </c>
      <c r="BY68" s="11" t="n">
        <f aca="false">(BU68+BV68+BW68+BX68)/4</f>
        <v>1</v>
      </c>
      <c r="BZ68" s="11" t="n">
        <f aca="false">(BU68/AR68)</f>
        <v>0.0285714285714286</v>
      </c>
      <c r="CA68" s="11" t="n">
        <f aca="false">(BV68/AS68)</f>
        <v>0</v>
      </c>
      <c r="CB68" s="11" t="n">
        <f aca="false">(BW68/AT68)</f>
        <v>0.130434782608696</v>
      </c>
      <c r="CC68" s="11" t="n">
        <f aca="false">(BX68/AU68)</f>
        <v>0</v>
      </c>
      <c r="CD68" s="11" t="n">
        <f aca="false">(BY68/AV68)</f>
        <v>0.0425531914893617</v>
      </c>
      <c r="CE68" s="11" t="n">
        <f aca="false">(100*CD68)</f>
        <v>4.25531914893617</v>
      </c>
      <c r="CF68" s="9" t="n">
        <v>1</v>
      </c>
      <c r="CG68" s="9" t="n">
        <v>6</v>
      </c>
      <c r="CH68" s="9" t="n">
        <v>0</v>
      </c>
      <c r="CI68" s="9" t="n">
        <v>0</v>
      </c>
      <c r="CJ68" s="9" t="n">
        <v>0</v>
      </c>
      <c r="CK68" s="11" t="n">
        <f aca="false">(CG68+CH68+CI68+CJ68)/4</f>
        <v>1.5</v>
      </c>
      <c r="CL68" s="11" t="n">
        <f aca="false">(CG68/AM68)</f>
        <v>0.4</v>
      </c>
      <c r="CM68" s="11" t="n">
        <f aca="false">(CH68/AN68)</f>
        <v>0</v>
      </c>
      <c r="CN68" s="11" t="e">
        <f aca="false">(CI68/AO68)</f>
        <v>#DIV/0!</v>
      </c>
      <c r="CO68" s="9" t="n">
        <f aca="false">(CJ68/AP68)</f>
        <v>0</v>
      </c>
      <c r="CP68" s="9" t="n">
        <f aca="false">(CK68/AQ68)</f>
        <v>0.222222222222222</v>
      </c>
      <c r="CQ68" s="9" t="n">
        <f aca="false">(100*CP68)</f>
        <v>22.2222222222222</v>
      </c>
      <c r="CR68" s="18" t="n">
        <v>2</v>
      </c>
      <c r="CS68" s="9" t="n">
        <v>54.1</v>
      </c>
      <c r="CT68" s="9" t="n">
        <v>49.5</v>
      </c>
      <c r="CU68" s="9" t="n">
        <v>47.3</v>
      </c>
      <c r="CV68" s="9" t="n">
        <v>53</v>
      </c>
      <c r="CW68" s="11" t="n">
        <f aca="false">(CS68+CT68+CU68+CV68)/4</f>
        <v>50.975</v>
      </c>
      <c r="CX68" s="9" t="n">
        <v>0</v>
      </c>
      <c r="CY68" s="9" t="n">
        <v>0</v>
      </c>
      <c r="CZ68" s="9" t="n">
        <v>0</v>
      </c>
      <c r="DA68" s="9" t="n">
        <v>0</v>
      </c>
      <c r="DB68" s="11" t="n">
        <f aca="false">(CX68+CY68+CZ68+DA68)/4</f>
        <v>0</v>
      </c>
      <c r="DC68" s="9" t="n">
        <v>1</v>
      </c>
      <c r="DD68" s="9" t="n">
        <v>1</v>
      </c>
      <c r="DE68" s="9" t="n">
        <v>1</v>
      </c>
      <c r="DF68" s="9" t="n">
        <v>0</v>
      </c>
      <c r="DG68" s="11" t="n">
        <f aca="false">(DC68+DD68+DE68+DF68)/4</f>
        <v>0.75</v>
      </c>
      <c r="DH68" s="9" t="n">
        <v>0</v>
      </c>
      <c r="DI68" s="9" t="n">
        <v>0</v>
      </c>
      <c r="DJ68" s="9" t="n">
        <v>1</v>
      </c>
      <c r="DK68" s="9" t="n">
        <v>0</v>
      </c>
      <c r="DL68" s="11" t="n">
        <f aca="false">(DH68+DI68+DJ68+DK68)/4</f>
        <v>0.25</v>
      </c>
      <c r="DM68" s="9" t="n">
        <v>23</v>
      </c>
      <c r="DN68" s="9" t="n">
        <v>59</v>
      </c>
      <c r="DO68" s="9" t="n">
        <v>70</v>
      </c>
      <c r="DP68" s="9" t="n">
        <v>36</v>
      </c>
      <c r="DQ68" s="11" t="n">
        <f aca="false">(DM68+DN68+DO68+DP68)/4</f>
        <v>47</v>
      </c>
      <c r="DR68" s="9" t="n">
        <v>23</v>
      </c>
      <c r="DS68" s="9" t="n">
        <v>15</v>
      </c>
      <c r="DT68" s="9" t="n">
        <v>24</v>
      </c>
      <c r="DU68" s="9" t="n">
        <v>8</v>
      </c>
      <c r="DV68" s="11" t="n">
        <f aca="false">(DR68+DS68+DT68+DU68)/4</f>
        <v>17.5</v>
      </c>
      <c r="DW68" s="9" t="n">
        <v>0</v>
      </c>
      <c r="DX68" s="9" t="n">
        <v>0</v>
      </c>
      <c r="DY68" s="9" t="n">
        <v>0</v>
      </c>
      <c r="DZ68" s="9" t="n">
        <v>0</v>
      </c>
      <c r="EA68" s="11" t="n">
        <f aca="false">(DW68+DX68+DY68+DZ68)/4</f>
        <v>0</v>
      </c>
      <c r="EB68" s="11" t="n">
        <f aca="false">(DW68/DR68)</f>
        <v>0</v>
      </c>
      <c r="EC68" s="11" t="n">
        <f aca="false">(DX68/DS68)</f>
        <v>0</v>
      </c>
      <c r="ED68" s="11" t="n">
        <f aca="false">(DY68/DT68)</f>
        <v>0</v>
      </c>
      <c r="EE68" s="11" t="n">
        <f aca="false">(DZ68/DU68)</f>
        <v>0</v>
      </c>
      <c r="EF68" s="11" t="n">
        <f aca="false">(EA68/DV68)</f>
        <v>0</v>
      </c>
      <c r="EG68" s="11" t="n">
        <f aca="false">(100*EF68)</f>
        <v>0</v>
      </c>
      <c r="EH68" s="9" t="n">
        <v>0</v>
      </c>
      <c r="EI68" s="9" t="n">
        <v>4</v>
      </c>
      <c r="EJ68" s="9" t="n">
        <v>3</v>
      </c>
      <c r="EK68" s="19" t="n">
        <v>4</v>
      </c>
      <c r="EL68" s="9" t="n">
        <v>0</v>
      </c>
      <c r="EM68" s="9" t="n">
        <f aca="false">(EI68+EJ68+EK68+EL68)/4</f>
        <v>2.75</v>
      </c>
      <c r="EN68" s="9" t="n">
        <f aca="false">(EI68/DR68)</f>
        <v>0.173913043478261</v>
      </c>
      <c r="EO68" s="9" t="n">
        <f aca="false">(EJ68/DS68)</f>
        <v>0.2</v>
      </c>
      <c r="EP68" s="9" t="n">
        <f aca="false">(EK68/DT68)</f>
        <v>0.166666666666667</v>
      </c>
      <c r="EQ68" s="9" t="n">
        <f aca="false">(EL68/DU68)</f>
        <v>0</v>
      </c>
      <c r="ER68" s="9" t="n">
        <f aca="false">EM68/DV68</f>
        <v>0.157142857142857</v>
      </c>
      <c r="ES68" s="9" t="n">
        <f aca="false">(100*ER68)</f>
        <v>15.7142857142857</v>
      </c>
      <c r="ET68" s="9" t="n">
        <v>2</v>
      </c>
      <c r="EU68" s="18" t="n">
        <v>0</v>
      </c>
      <c r="EV68" s="9" t="n">
        <v>0</v>
      </c>
      <c r="EW68" s="9" t="n">
        <v>0</v>
      </c>
      <c r="EX68" s="9" t="n">
        <v>0</v>
      </c>
      <c r="EY68" s="11" t="n">
        <f aca="false">(EU68+EV68+EW68+EX68)/4</f>
        <v>0</v>
      </c>
      <c r="EZ68" s="11" t="n">
        <f aca="false">(EU68/DR68)</f>
        <v>0</v>
      </c>
      <c r="FA68" s="11" t="n">
        <f aca="false">(EV68/DS68)</f>
        <v>0</v>
      </c>
      <c r="FB68" s="11" t="n">
        <f aca="false">(EW68/DT68)</f>
        <v>0</v>
      </c>
      <c r="FC68" s="11" t="n">
        <f aca="false">(EX68/DU68)</f>
        <v>0</v>
      </c>
      <c r="FD68" s="11" t="n">
        <f aca="false">(EY68/DV68)</f>
        <v>0</v>
      </c>
      <c r="FE68" s="11" t="n">
        <f aca="false">(100*FD68)</f>
        <v>0</v>
      </c>
      <c r="FF68" s="9" t="n">
        <v>0</v>
      </c>
      <c r="FG68" s="9" t="n">
        <v>0</v>
      </c>
      <c r="FH68" s="9" t="n">
        <v>0</v>
      </c>
      <c r="FI68" s="9" t="n">
        <v>2</v>
      </c>
      <c r="FJ68" s="9" t="n">
        <v>0</v>
      </c>
      <c r="FK68" s="11" t="n">
        <f aca="false">(FG68+FH68+FI68+FJ68)/4</f>
        <v>0.5</v>
      </c>
      <c r="FL68" s="11" t="n">
        <f aca="false">(FG68/DR68)</f>
        <v>0</v>
      </c>
      <c r="FM68" s="11" t="n">
        <f aca="false">(FH68/DS68)</f>
        <v>0</v>
      </c>
      <c r="FN68" s="11" t="n">
        <f aca="false">(FI68/DT68)</f>
        <v>0.0833333333333333</v>
      </c>
      <c r="FO68" s="11" t="n">
        <f aca="false">(FJ68/DU68)</f>
        <v>0</v>
      </c>
      <c r="FP68" s="11" t="n">
        <f aca="false">(FK68/DV68)</f>
        <v>0.0285714285714286</v>
      </c>
      <c r="FQ68" s="11" t="n">
        <f aca="false">(100*FP68)</f>
        <v>2.85714285714286</v>
      </c>
      <c r="FR68" s="9" t="n">
        <v>1</v>
      </c>
      <c r="FS68" s="9"/>
      <c r="FT68" s="9"/>
      <c r="FU68" s="9"/>
      <c r="FV68" s="9"/>
      <c r="FW68" s="11" t="n">
        <f aca="false">(FS68+FT68+FU68+FV68)/4</f>
        <v>0</v>
      </c>
      <c r="FX68" s="9" t="n">
        <v>0</v>
      </c>
      <c r="FY68" s="9" t="n">
        <v>0</v>
      </c>
      <c r="FZ68" s="9" t="n">
        <v>0</v>
      </c>
      <c r="GA68" s="9" t="n">
        <v>0</v>
      </c>
      <c r="GB68" s="11" t="n">
        <f aca="false">(FX68+FY68+FZ68+GA68)/4</f>
        <v>0</v>
      </c>
      <c r="GC68" s="9" t="n">
        <v>0</v>
      </c>
      <c r="GD68" s="9" t="n">
        <v>1</v>
      </c>
      <c r="GE68" s="9" t="n">
        <v>1</v>
      </c>
      <c r="GF68" s="9" t="n">
        <v>1</v>
      </c>
      <c r="GG68" s="11" t="n">
        <f aca="false">(GC68+GD68+GE68+GF68)/4</f>
        <v>0.75</v>
      </c>
      <c r="GH68" s="9" t="n">
        <v>0</v>
      </c>
      <c r="GI68" s="9" t="n">
        <v>0</v>
      </c>
      <c r="GJ68" s="9" t="n">
        <v>1</v>
      </c>
      <c r="GK68" s="9" t="n">
        <v>1</v>
      </c>
      <c r="GL68" s="11" t="n">
        <f aca="false">(GH68+GI68+GJ68+GK68)/4</f>
        <v>0.5</v>
      </c>
      <c r="GM68" s="9" t="n">
        <v>14</v>
      </c>
      <c r="GN68" s="9" t="n">
        <v>59</v>
      </c>
      <c r="GO68" s="9" t="n">
        <v>75</v>
      </c>
      <c r="GP68" s="9" t="n">
        <v>68</v>
      </c>
      <c r="GQ68" s="11" t="n">
        <f aca="false">(GM68+GN68+GO68+GP68)/4</f>
        <v>54</v>
      </c>
      <c r="GR68" s="9" t="n">
        <v>13</v>
      </c>
      <c r="GS68" s="9" t="n">
        <v>29</v>
      </c>
      <c r="GT68" s="9" t="n">
        <v>34</v>
      </c>
      <c r="GU68" s="9" t="n">
        <v>18</v>
      </c>
      <c r="GV68" s="11" t="n">
        <f aca="false">(GR68+GS68+GT68+GU68)/4</f>
        <v>23.5</v>
      </c>
      <c r="GW68" s="9" t="n">
        <v>0</v>
      </c>
      <c r="GX68" s="9" t="n">
        <v>0</v>
      </c>
      <c r="GY68" s="9" t="n">
        <v>0</v>
      </c>
      <c r="GZ68" s="9" t="n">
        <v>0</v>
      </c>
      <c r="HA68" s="11" t="n">
        <f aca="false">(GW68+GX68+GY68+GZ68)/4</f>
        <v>0</v>
      </c>
      <c r="HB68" s="9" t="n">
        <f aca="false">(GW68/GR68)</f>
        <v>0</v>
      </c>
      <c r="HC68" s="9" t="n">
        <f aca="false">(GX68/GS68)</f>
        <v>0</v>
      </c>
      <c r="HD68" s="9" t="n">
        <f aca="false">(GY68/GT68)</f>
        <v>0</v>
      </c>
      <c r="HE68" s="9" t="n">
        <f aca="false">(GZ68/GU68)/4</f>
        <v>0</v>
      </c>
      <c r="HF68" s="9" t="n">
        <f aca="false">(HB68+HC68+HD68+HE68)/4</f>
        <v>0</v>
      </c>
      <c r="HG68" s="9" t="n">
        <f aca="false">(100*HF68)</f>
        <v>0</v>
      </c>
      <c r="HH68" s="18" t="n">
        <v>0</v>
      </c>
      <c r="HI68" s="9" t="n">
        <v>0</v>
      </c>
      <c r="HJ68" s="9" t="n">
        <v>2</v>
      </c>
      <c r="HK68" s="9" t="n">
        <v>3</v>
      </c>
      <c r="HL68" s="19" t="n">
        <v>2</v>
      </c>
      <c r="HM68" s="9" t="n">
        <f aca="false">(HI68+HJ68+HK68+HL68)/4</f>
        <v>1.75</v>
      </c>
      <c r="HN68" s="9" t="n">
        <f aca="false">(HI68/GR68)</f>
        <v>0</v>
      </c>
      <c r="HO68" s="9" t="n">
        <f aca="false">(HJ68/GS68)</f>
        <v>0.0689655172413793</v>
      </c>
      <c r="HP68" s="9" t="n">
        <f aca="false">(HK68/GT68)</f>
        <v>0.0882352941176471</v>
      </c>
      <c r="HQ68" s="9" t="n">
        <f aca="false">(HL68/GU68)</f>
        <v>0.111111111111111</v>
      </c>
      <c r="HR68" s="9" t="n">
        <f aca="false">(HM68/GV68)</f>
        <v>0.074468085106383</v>
      </c>
      <c r="HS68" s="9" t="n">
        <f aca="false">(100*HR68)</f>
        <v>7.4468085106383</v>
      </c>
      <c r="HT68" s="18" t="n">
        <v>1</v>
      </c>
      <c r="HU68" s="9" t="n">
        <v>0</v>
      </c>
      <c r="HV68" s="9" t="n">
        <v>0</v>
      </c>
      <c r="HW68" s="9" t="n">
        <v>0</v>
      </c>
      <c r="HX68" s="19" t="n">
        <v>2</v>
      </c>
      <c r="HY68" s="9" t="n">
        <f aca="false">(HU68+HV68+HW68+HX68)/4</f>
        <v>0.5</v>
      </c>
      <c r="HZ68" s="9" t="n">
        <f aca="false">(HU68/GR68)</f>
        <v>0</v>
      </c>
      <c r="IA68" s="9" t="n">
        <f aca="false">HV68/GS68</f>
        <v>0</v>
      </c>
      <c r="IB68" s="9" t="n">
        <f aca="false">(HW68/GT68)</f>
        <v>0</v>
      </c>
      <c r="IC68" s="9" t="n">
        <f aca="false">(HX68/GU68)</f>
        <v>0.111111111111111</v>
      </c>
      <c r="ID68" s="9" t="n">
        <f aca="false">(HY68/GV68)</f>
        <v>0.0212765957446809</v>
      </c>
      <c r="IE68" s="9" t="n">
        <f aca="false">(100*ID68)</f>
        <v>2.12765957446809</v>
      </c>
      <c r="IF68" s="18" t="n">
        <v>1</v>
      </c>
      <c r="IG68" s="9" t="n">
        <v>0</v>
      </c>
      <c r="IH68" s="9" t="n">
        <v>0</v>
      </c>
      <c r="II68" s="19" t="n">
        <v>24</v>
      </c>
      <c r="IJ68" s="9" t="n">
        <v>13</v>
      </c>
      <c r="IK68" s="9" t="n">
        <f aca="false">(IG68+IH68+II68+IJ68)/4</f>
        <v>9.25</v>
      </c>
      <c r="IL68" s="9" t="n">
        <f aca="false">(IG68/GM68)</f>
        <v>0</v>
      </c>
      <c r="IM68" s="9" t="n">
        <f aca="false">(IH68/GN68)</f>
        <v>0</v>
      </c>
      <c r="IN68" s="9" t="n">
        <f aca="false">(II68/GO68)</f>
        <v>0.32</v>
      </c>
      <c r="IO68" s="9" t="n">
        <f aca="false">(IJ68/GP68)</f>
        <v>0.191176470588235</v>
      </c>
      <c r="IP68" s="9" t="n">
        <f aca="false">(IK68/GQ68)</f>
        <v>0.171296296296296</v>
      </c>
      <c r="IQ68" s="9" t="n">
        <f aca="false">(100*IP68)</f>
        <v>17.1296296296296</v>
      </c>
      <c r="IR68" s="18" t="n">
        <v>2</v>
      </c>
      <c r="IS68" s="9" t="n">
        <v>33.4</v>
      </c>
      <c r="IT68" s="9" t="n">
        <v>47.7</v>
      </c>
      <c r="IU68" s="19" t="n">
        <v>53.2</v>
      </c>
      <c r="IV68" s="9" t="n">
        <v>50.9</v>
      </c>
      <c r="IW68" s="9" t="n">
        <f aca="false">(IS68+IT68+IU68+IV68)/4</f>
        <v>46.3</v>
      </c>
      <c r="IX68" s="16" t="n">
        <v>45202</v>
      </c>
      <c r="IY68" s="10" t="s">
        <v>268</v>
      </c>
    </row>
    <row r="69" customFormat="false" ht="15.75" hidden="false" customHeight="true" outlineLevel="0" collapsed="false">
      <c r="A69" s="9" t="s">
        <v>299</v>
      </c>
      <c r="B69" s="10" t="s">
        <v>426</v>
      </c>
      <c r="C69" s="10" t="s">
        <v>400</v>
      </c>
      <c r="D69" s="9" t="n">
        <v>1</v>
      </c>
      <c r="E69" s="9" t="n">
        <v>23</v>
      </c>
      <c r="F69" s="10" t="s">
        <v>430</v>
      </c>
      <c r="G69" s="10" t="s">
        <v>280</v>
      </c>
      <c r="H69" s="9" t="n">
        <v>21</v>
      </c>
      <c r="I69" s="9" t="n">
        <v>10</v>
      </c>
      <c r="J69" s="12" t="s">
        <v>270</v>
      </c>
      <c r="K69" s="20"/>
      <c r="L69" s="20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 t="n">
        <v>0</v>
      </c>
      <c r="Y69" s="9" t="n">
        <v>0</v>
      </c>
      <c r="Z69" s="9" t="n">
        <v>0</v>
      </c>
      <c r="AA69" s="9" t="n">
        <v>0</v>
      </c>
      <c r="AB69" s="11" t="n">
        <f aca="false">(X69+Y69+Z69+AA69)/4</f>
        <v>0</v>
      </c>
      <c r="AC69" s="9" t="n">
        <v>1</v>
      </c>
      <c r="AD69" s="9" t="n">
        <v>0</v>
      </c>
      <c r="AE69" s="9" t="n">
        <v>0</v>
      </c>
      <c r="AF69" s="9" t="n">
        <v>1</v>
      </c>
      <c r="AG69" s="11" t="n">
        <f aca="false">(AC69+AD69+AE69+AF69)/4</f>
        <v>0.5</v>
      </c>
      <c r="AH69" s="9" t="n">
        <v>0</v>
      </c>
      <c r="AI69" s="9" t="n">
        <v>1</v>
      </c>
      <c r="AJ69" s="9" t="n">
        <v>1</v>
      </c>
      <c r="AK69" s="9" t="n">
        <v>0</v>
      </c>
      <c r="AL69" s="11" t="n">
        <f aca="false">(AH69+AI69+AJ69+AK69)/4</f>
        <v>0.5</v>
      </c>
      <c r="AM69" s="9" t="n">
        <v>0</v>
      </c>
      <c r="AN69" s="9" t="n">
        <v>3</v>
      </c>
      <c r="AO69" s="9" t="n">
        <v>0</v>
      </c>
      <c r="AP69" s="9" t="n">
        <v>0</v>
      </c>
      <c r="AQ69" s="11" t="n">
        <f aca="false">(AM69+AN69+AO69+AP69)/4</f>
        <v>0.75</v>
      </c>
      <c r="AR69" s="9" t="n">
        <v>36</v>
      </c>
      <c r="AS69" s="9" t="n">
        <v>12</v>
      </c>
      <c r="AT69" s="9" t="n">
        <v>11</v>
      </c>
      <c r="AU69" s="9" t="n">
        <v>25</v>
      </c>
      <c r="AV69" s="11" t="n">
        <f aca="false">(AR69+AS69+AT69+AU69)/4</f>
        <v>21</v>
      </c>
      <c r="AW69" s="9" t="n">
        <v>0</v>
      </c>
      <c r="AX69" s="9" t="n">
        <v>0</v>
      </c>
      <c r="AY69" s="9" t="n">
        <v>0</v>
      </c>
      <c r="AZ69" s="9" t="n">
        <v>0</v>
      </c>
      <c r="BA69" s="11" t="n">
        <f aca="false">(AW69+AX69+AY69+AZ69)/4</f>
        <v>0</v>
      </c>
      <c r="BB69" s="11" t="n">
        <f aca="false">(AW69/AR69)</f>
        <v>0</v>
      </c>
      <c r="BC69" s="11" t="n">
        <f aca="false">(AX69/AS69)</f>
        <v>0</v>
      </c>
      <c r="BD69" s="11" t="n">
        <f aca="false">(AY69/AT69)</f>
        <v>0</v>
      </c>
      <c r="BE69" s="11" t="n">
        <f aca="false">(AZ69/AU69)</f>
        <v>0</v>
      </c>
      <c r="BF69" s="11" t="n">
        <f aca="false">(BA69/AV69)</f>
        <v>0</v>
      </c>
      <c r="BG69" s="11" t="n">
        <f aca="false">(BF69*100)</f>
        <v>0</v>
      </c>
      <c r="BH69" s="9" t="n">
        <v>0</v>
      </c>
      <c r="BI69" s="9" t="n">
        <v>2</v>
      </c>
      <c r="BJ69" s="9" t="n">
        <v>0</v>
      </c>
      <c r="BK69" s="9" t="n">
        <v>0</v>
      </c>
      <c r="BL69" s="9" t="n">
        <v>2</v>
      </c>
      <c r="BM69" s="11" t="n">
        <f aca="false">(BI69+BJ69+BK69+BL69)/4</f>
        <v>1</v>
      </c>
      <c r="BN69" s="11" t="n">
        <f aca="false">(BI69/AR69)</f>
        <v>0.0555555555555556</v>
      </c>
      <c r="BO69" s="11" t="n">
        <f aca="false">(BJ69/AS69)</f>
        <v>0</v>
      </c>
      <c r="BP69" s="11" t="n">
        <f aca="false">(BK69/AT69)</f>
        <v>0</v>
      </c>
      <c r="BQ69" s="11" t="n">
        <f aca="false">(BL69/AU69)</f>
        <v>0.08</v>
      </c>
      <c r="BR69" s="11" t="n">
        <f aca="false">(BM69/AV69)</f>
        <v>0.0476190476190476</v>
      </c>
      <c r="BS69" s="11" t="n">
        <f aca="false">(100*BR69)</f>
        <v>4.76190476190476</v>
      </c>
      <c r="BT69" s="9" t="n">
        <v>1</v>
      </c>
      <c r="BU69" s="9" t="n">
        <v>0</v>
      </c>
      <c r="BV69" s="9" t="n">
        <v>1</v>
      </c>
      <c r="BW69" s="9" t="n">
        <v>1</v>
      </c>
      <c r="BX69" s="9" t="n">
        <v>0</v>
      </c>
      <c r="BY69" s="11" t="n">
        <f aca="false">(BU69+BV69+BW69+BX69)/4</f>
        <v>0.5</v>
      </c>
      <c r="BZ69" s="11" t="n">
        <f aca="false">(BU69/AR69)</f>
        <v>0</v>
      </c>
      <c r="CA69" s="11" t="n">
        <f aca="false">(BV69/AS69)</f>
        <v>0.0833333333333333</v>
      </c>
      <c r="CB69" s="11" t="n">
        <f aca="false">(BW69/AT69)</f>
        <v>0.0909090909090909</v>
      </c>
      <c r="CC69" s="11" t="n">
        <f aca="false">(BX69/AU69)</f>
        <v>0</v>
      </c>
      <c r="CD69" s="11" t="n">
        <f aca="false">(BY69/AV69)</f>
        <v>0.0238095238095238</v>
      </c>
      <c r="CE69" s="11" t="n">
        <f aca="false">(100*CD69)</f>
        <v>2.38095238095238</v>
      </c>
      <c r="CF69" s="9" t="n">
        <v>1</v>
      </c>
      <c r="CG69" s="9" t="n">
        <v>0</v>
      </c>
      <c r="CH69" s="9" t="n">
        <v>0</v>
      </c>
      <c r="CI69" s="9" t="n">
        <v>0</v>
      </c>
      <c r="CJ69" s="9" t="n">
        <v>0</v>
      </c>
      <c r="CK69" s="11" t="n">
        <f aca="false">(CG69+CH69+CI69+CJ69)/4</f>
        <v>0</v>
      </c>
      <c r="CL69" s="11" t="e">
        <f aca="false">(CG69/AM69)</f>
        <v>#DIV/0!</v>
      </c>
      <c r="CM69" s="11" t="n">
        <f aca="false">(CH69/AN69)</f>
        <v>0</v>
      </c>
      <c r="CN69" s="11" t="e">
        <f aca="false">(CI69/AO69)</f>
        <v>#DIV/0!</v>
      </c>
      <c r="CO69" s="9" t="e">
        <f aca="false">(CJ69/AP69)</f>
        <v>#DIV/0!</v>
      </c>
      <c r="CP69" s="9" t="n">
        <f aca="false">(CK69/AQ69)</f>
        <v>0</v>
      </c>
      <c r="CQ69" s="9" t="n">
        <f aca="false">(100*CP69)</f>
        <v>0</v>
      </c>
      <c r="CR69" s="18" t="n">
        <v>0</v>
      </c>
      <c r="CS69" s="9" t="n">
        <v>45</v>
      </c>
      <c r="CT69" s="9" t="n">
        <v>52.5</v>
      </c>
      <c r="CU69" s="9" t="n">
        <v>45.1</v>
      </c>
      <c r="CV69" s="9" t="n">
        <v>44.4</v>
      </c>
      <c r="CW69" s="11" t="n">
        <f aca="false">(CS69+CT69+CU69+CV69)/4</f>
        <v>46.75</v>
      </c>
      <c r="CX69" s="9" t="n">
        <v>0</v>
      </c>
      <c r="CY69" s="9" t="n">
        <v>0</v>
      </c>
      <c r="CZ69" s="9" t="n">
        <v>0</v>
      </c>
      <c r="DA69" s="9" t="n">
        <v>0</v>
      </c>
      <c r="DB69" s="11" t="n">
        <f aca="false">(CX69+CY69+CZ69+DA69)/4</f>
        <v>0</v>
      </c>
      <c r="DC69" s="9" t="n">
        <v>0</v>
      </c>
      <c r="DD69" s="9" t="n">
        <v>0</v>
      </c>
      <c r="DE69" s="9" t="n">
        <v>1</v>
      </c>
      <c r="DF69" s="9" t="n">
        <v>1</v>
      </c>
      <c r="DG69" s="11" t="n">
        <f aca="false">(DC69+DD69+DE69+DF69)/4</f>
        <v>0.5</v>
      </c>
      <c r="DH69" s="9" t="n">
        <v>0</v>
      </c>
      <c r="DI69" s="9" t="n">
        <v>0</v>
      </c>
      <c r="DJ69" s="9" t="n">
        <v>0</v>
      </c>
      <c r="DK69" s="9" t="n">
        <v>0</v>
      </c>
      <c r="DL69" s="11" t="n">
        <f aca="false">(DH69+DI69+DJ69+DK69)/4</f>
        <v>0</v>
      </c>
      <c r="DM69" s="9" t="n">
        <v>1</v>
      </c>
      <c r="DN69" s="9" t="n">
        <v>21</v>
      </c>
      <c r="DO69" s="9" t="n">
        <v>14</v>
      </c>
      <c r="DP69" s="9" t="n">
        <v>30</v>
      </c>
      <c r="DQ69" s="11" t="n">
        <f aca="false">(DM69+DN69+DO69+DP69)/4</f>
        <v>16.5</v>
      </c>
      <c r="DR69" s="9" t="n">
        <v>17</v>
      </c>
      <c r="DS69" s="9" t="n">
        <v>16</v>
      </c>
      <c r="DT69" s="9" t="n">
        <v>22</v>
      </c>
      <c r="DU69" s="9" t="n">
        <v>10</v>
      </c>
      <c r="DV69" s="11" t="n">
        <f aca="false">(DR69+DS69+DT69+DU69)/4</f>
        <v>16.25</v>
      </c>
      <c r="DW69" s="9" t="n">
        <v>0</v>
      </c>
      <c r="DX69" s="9" t="n">
        <v>0</v>
      </c>
      <c r="DY69" s="9" t="n">
        <v>0</v>
      </c>
      <c r="DZ69" s="9" t="n">
        <v>0</v>
      </c>
      <c r="EA69" s="11" t="n">
        <f aca="false">(DW69+DX69+DY69+DZ69)/4</f>
        <v>0</v>
      </c>
      <c r="EB69" s="11" t="n">
        <f aca="false">(DW69/DR69)</f>
        <v>0</v>
      </c>
      <c r="EC69" s="11" t="n">
        <f aca="false">(DX69/DS69)</f>
        <v>0</v>
      </c>
      <c r="ED69" s="11" t="n">
        <f aca="false">(DY69/DT69)</f>
        <v>0</v>
      </c>
      <c r="EE69" s="11" t="n">
        <f aca="false">(DZ69/DU69)</f>
        <v>0</v>
      </c>
      <c r="EF69" s="11" t="n">
        <f aca="false">(EA69/DV69)</f>
        <v>0</v>
      </c>
      <c r="EG69" s="11" t="n">
        <f aca="false">(100*EF69)</f>
        <v>0</v>
      </c>
      <c r="EH69" s="9" t="n">
        <v>0</v>
      </c>
      <c r="EI69" s="9" t="n">
        <v>0</v>
      </c>
      <c r="EJ69" s="9" t="n">
        <v>0</v>
      </c>
      <c r="EK69" s="19" t="n">
        <v>1</v>
      </c>
      <c r="EL69" s="9" t="n">
        <v>2</v>
      </c>
      <c r="EM69" s="9" t="n">
        <f aca="false">(EI69+EJ69+EK69+EL69)/4</f>
        <v>0.75</v>
      </c>
      <c r="EN69" s="9" t="n">
        <f aca="false">(EI69/DR69)</f>
        <v>0</v>
      </c>
      <c r="EO69" s="9" t="n">
        <f aca="false">(EJ69/DS69)</f>
        <v>0</v>
      </c>
      <c r="EP69" s="9" t="n">
        <f aca="false">(EK69/DT69)</f>
        <v>0.0454545454545455</v>
      </c>
      <c r="EQ69" s="9" t="n">
        <f aca="false">(EL69/DU69)</f>
        <v>0.2</v>
      </c>
      <c r="ER69" s="9" t="n">
        <f aca="false">EM69/DV69</f>
        <v>0.0461538461538462</v>
      </c>
      <c r="ES69" s="9" t="n">
        <f aca="false">(100*ER69)</f>
        <v>4.61538461538462</v>
      </c>
      <c r="ET69" s="9" t="n">
        <v>1</v>
      </c>
      <c r="EU69" s="18" t="n">
        <v>0</v>
      </c>
      <c r="EV69" s="9" t="n">
        <v>0</v>
      </c>
      <c r="EW69" s="9" t="n">
        <v>0</v>
      </c>
      <c r="EX69" s="9" t="n">
        <v>0</v>
      </c>
      <c r="EY69" s="11" t="n">
        <f aca="false">(EU69+EV69+EW69+EX69)/4</f>
        <v>0</v>
      </c>
      <c r="EZ69" s="11" t="n">
        <f aca="false">(EU69/DR69)</f>
        <v>0</v>
      </c>
      <c r="FA69" s="11" t="n">
        <f aca="false">(EV69/DS69)</f>
        <v>0</v>
      </c>
      <c r="FB69" s="11" t="n">
        <f aca="false">(EW69/DT69)</f>
        <v>0</v>
      </c>
      <c r="FC69" s="11" t="n">
        <f aca="false">(EX69/DU69)</f>
        <v>0</v>
      </c>
      <c r="FD69" s="11" t="n">
        <f aca="false">(EY69/DV69)</f>
        <v>0</v>
      </c>
      <c r="FE69" s="11" t="n">
        <f aca="false">(100*FD69)</f>
        <v>0</v>
      </c>
      <c r="FF69" s="9" t="n">
        <v>0</v>
      </c>
      <c r="FG69" s="9" t="n">
        <v>0</v>
      </c>
      <c r="FH69" s="9" t="n">
        <v>0</v>
      </c>
      <c r="FI69" s="9" t="n">
        <v>0</v>
      </c>
      <c r="FJ69" s="9" t="n">
        <v>0</v>
      </c>
      <c r="FK69" s="11" t="n">
        <f aca="false">(FG69+FH69+FI69+FJ69)/4</f>
        <v>0</v>
      </c>
      <c r="FL69" s="11" t="n">
        <f aca="false">(FG69/DR69)</f>
        <v>0</v>
      </c>
      <c r="FM69" s="11" t="n">
        <f aca="false">(FH69/DS69)</f>
        <v>0</v>
      </c>
      <c r="FN69" s="11" t="n">
        <f aca="false">(FI69/DT69)</f>
        <v>0</v>
      </c>
      <c r="FO69" s="11" t="n">
        <f aca="false">(FJ69/DU69)</f>
        <v>0</v>
      </c>
      <c r="FP69" s="11" t="n">
        <f aca="false">(FK69/DV69)</f>
        <v>0</v>
      </c>
      <c r="FQ69" s="11" t="n">
        <f aca="false">(100*FP69)</f>
        <v>0</v>
      </c>
      <c r="FR69" s="9" t="n">
        <v>0</v>
      </c>
      <c r="FS69" s="9" t="n">
        <v>49.4</v>
      </c>
      <c r="FT69" s="9" t="n">
        <v>48.2</v>
      </c>
      <c r="FU69" s="9" t="n">
        <v>46.3</v>
      </c>
      <c r="FV69" s="9" t="n">
        <v>54.9</v>
      </c>
      <c r="FW69" s="11" t="n">
        <f aca="false">(FS69+FT69+FU69+FV69)/4</f>
        <v>49.7</v>
      </c>
      <c r="FX69" s="9" t="n">
        <v>0</v>
      </c>
      <c r="FY69" s="9" t="n">
        <v>0</v>
      </c>
      <c r="FZ69" s="9" t="n">
        <v>0</v>
      </c>
      <c r="GA69" s="9" t="n">
        <v>0</v>
      </c>
      <c r="GB69" s="11" t="n">
        <f aca="false">(FX69+FY69+FZ69+GA69)/4</f>
        <v>0</v>
      </c>
      <c r="GC69" s="9" t="n">
        <v>1</v>
      </c>
      <c r="GD69" s="9" t="n">
        <v>0</v>
      </c>
      <c r="GE69" s="9" t="n">
        <v>0</v>
      </c>
      <c r="GF69" s="9" t="n">
        <v>1</v>
      </c>
      <c r="GG69" s="11" t="n">
        <f aca="false">(GC69+GD69+GE69+GF69)/4</f>
        <v>0.5</v>
      </c>
      <c r="GH69" s="9" t="n">
        <v>0</v>
      </c>
      <c r="GI69" s="9" t="n">
        <v>1</v>
      </c>
      <c r="GJ69" s="9" t="n">
        <v>0</v>
      </c>
      <c r="GK69" s="9" t="n">
        <v>0</v>
      </c>
      <c r="GL69" s="11" t="n">
        <f aca="false">(GH69+GI69+GJ69+GK69)/4</f>
        <v>0.25</v>
      </c>
      <c r="GM69" s="9" t="n">
        <v>88</v>
      </c>
      <c r="GN69" s="9" t="n">
        <v>10</v>
      </c>
      <c r="GO69" s="9" t="n">
        <v>27</v>
      </c>
      <c r="GP69" s="9" t="n">
        <v>26</v>
      </c>
      <c r="GQ69" s="11" t="n">
        <f aca="false">(GM69+GN69+GO69+GP69)/4</f>
        <v>37.75</v>
      </c>
      <c r="GR69" s="9" t="n">
        <v>10</v>
      </c>
      <c r="GS69" s="9" t="n">
        <v>7</v>
      </c>
      <c r="GT69" s="9" t="n">
        <v>13</v>
      </c>
      <c r="GU69" s="9" t="n">
        <v>17</v>
      </c>
      <c r="GV69" s="11" t="n">
        <f aca="false">(GR69+GS69+GT69+GU69)/4</f>
        <v>11.75</v>
      </c>
      <c r="GW69" s="9" t="n">
        <v>0</v>
      </c>
      <c r="GX69" s="9" t="n">
        <v>0</v>
      </c>
      <c r="GY69" s="9" t="n">
        <v>0</v>
      </c>
      <c r="GZ69" s="9" t="n">
        <v>0</v>
      </c>
      <c r="HA69" s="11" t="n">
        <f aca="false">(GW69+GX69+GY69+GZ69)/4</f>
        <v>0</v>
      </c>
      <c r="HB69" s="9" t="n">
        <f aca="false">(GW69/GR69)</f>
        <v>0</v>
      </c>
      <c r="HC69" s="9" t="n">
        <f aca="false">(GX69/GS69)</f>
        <v>0</v>
      </c>
      <c r="HD69" s="9" t="n">
        <f aca="false">(GY69/GT69)</f>
        <v>0</v>
      </c>
      <c r="HE69" s="9" t="n">
        <f aca="false">(GZ69/GU69)/4</f>
        <v>0</v>
      </c>
      <c r="HF69" s="9" t="n">
        <f aca="false">(HB69+HC69+HD69+HE69)/4</f>
        <v>0</v>
      </c>
      <c r="HG69" s="9" t="n">
        <f aca="false">(100*HF69)</f>
        <v>0</v>
      </c>
      <c r="HH69" s="18" t="n">
        <v>0</v>
      </c>
      <c r="HI69" s="9" t="n">
        <v>1</v>
      </c>
      <c r="HJ69" s="9" t="n">
        <v>0</v>
      </c>
      <c r="HK69" s="9" t="n">
        <v>0</v>
      </c>
      <c r="HL69" s="19" t="n">
        <v>3</v>
      </c>
      <c r="HM69" s="9" t="n">
        <f aca="false">(HI69+HJ69+HK69+HL69)/4</f>
        <v>1</v>
      </c>
      <c r="HN69" s="9" t="n">
        <f aca="false">(HI69/GR69)</f>
        <v>0.1</v>
      </c>
      <c r="HO69" s="9" t="n">
        <f aca="false">(HJ69/GS69)</f>
        <v>0</v>
      </c>
      <c r="HP69" s="9" t="n">
        <f aca="false">(HK69/GT69)</f>
        <v>0</v>
      </c>
      <c r="HQ69" s="9" t="n">
        <f aca="false">(HL69/GU69)</f>
        <v>0.176470588235294</v>
      </c>
      <c r="HR69" s="9" t="n">
        <f aca="false">(HM69/GV69)</f>
        <v>0.0851063829787234</v>
      </c>
      <c r="HS69" s="9" t="n">
        <f aca="false">(100*HR69)</f>
        <v>8.51063829787234</v>
      </c>
      <c r="HT69" s="18" t="n">
        <v>1</v>
      </c>
      <c r="HU69" s="9" t="n">
        <v>0</v>
      </c>
      <c r="HV69" s="9" t="n">
        <v>0</v>
      </c>
      <c r="HW69" s="9" t="n">
        <v>0</v>
      </c>
      <c r="HX69" s="19" t="n">
        <v>0</v>
      </c>
      <c r="HY69" s="9" t="n">
        <f aca="false">(HU69+HV69+HW69+HX69)/4</f>
        <v>0</v>
      </c>
      <c r="HZ69" s="9" t="n">
        <f aca="false">(HU69/GR69)</f>
        <v>0</v>
      </c>
      <c r="IA69" s="9" t="n">
        <f aca="false">HV69/GS69</f>
        <v>0</v>
      </c>
      <c r="IB69" s="9" t="n">
        <f aca="false">(HW69/GT69)</f>
        <v>0</v>
      </c>
      <c r="IC69" s="9" t="n">
        <f aca="false">(HX69/GU69)</f>
        <v>0</v>
      </c>
      <c r="ID69" s="9" t="n">
        <f aca="false">(HY69/GV69)</f>
        <v>0</v>
      </c>
      <c r="IE69" s="9" t="n">
        <f aca="false">(100*ID69)</f>
        <v>0</v>
      </c>
      <c r="IF69" s="18" t="n">
        <v>0</v>
      </c>
      <c r="IG69" s="9" t="n">
        <v>0</v>
      </c>
      <c r="IH69" s="9" t="n">
        <v>1</v>
      </c>
      <c r="II69" s="19" t="n">
        <v>0</v>
      </c>
      <c r="IJ69" s="9" t="n">
        <v>0</v>
      </c>
      <c r="IK69" s="9" t="n">
        <f aca="false">(IG69+IH69+II69+IJ69)/4</f>
        <v>0.25</v>
      </c>
      <c r="IL69" s="9" t="n">
        <f aca="false">(IG69/GM69)</f>
        <v>0</v>
      </c>
      <c r="IM69" s="9" t="n">
        <f aca="false">(IH69/GN69)</f>
        <v>0.1</v>
      </c>
      <c r="IN69" s="9" t="n">
        <f aca="false">(II69/GO69)</f>
        <v>0</v>
      </c>
      <c r="IO69" s="9" t="n">
        <f aca="false">(IJ69/GP69)</f>
        <v>0</v>
      </c>
      <c r="IP69" s="9" t="n">
        <f aca="false">(IK69/GQ69)</f>
        <v>0.00662251655629139</v>
      </c>
      <c r="IQ69" s="9" t="n">
        <f aca="false">(100*IP69)</f>
        <v>0.662251655629139</v>
      </c>
      <c r="IR69" s="18" t="n">
        <v>1</v>
      </c>
      <c r="IS69" s="9" t="n">
        <v>40.7</v>
      </c>
      <c r="IT69" s="9" t="n">
        <v>30.1</v>
      </c>
      <c r="IU69" s="19" t="n">
        <v>57.7</v>
      </c>
      <c r="IV69" s="9" t="n">
        <v>46.6</v>
      </c>
      <c r="IW69" s="9" t="n">
        <f aca="false">(IS69+IT69+IU69+IV69)/4</f>
        <v>43.775</v>
      </c>
      <c r="IX69" s="16" t="n">
        <v>45202</v>
      </c>
      <c r="IY69" s="10" t="s">
        <v>268</v>
      </c>
    </row>
    <row r="70" customFormat="false" ht="15.75" hidden="false" customHeight="true" outlineLevel="0" collapsed="false">
      <c r="A70" s="9" t="s">
        <v>299</v>
      </c>
      <c r="B70" s="10" t="s">
        <v>426</v>
      </c>
      <c r="C70" s="10" t="s">
        <v>400</v>
      </c>
      <c r="D70" s="9" t="n">
        <v>1</v>
      </c>
      <c r="E70" s="9" t="n">
        <v>23</v>
      </c>
      <c r="F70" s="10" t="s">
        <v>431</v>
      </c>
      <c r="G70" s="10" t="s">
        <v>291</v>
      </c>
      <c r="H70" s="9" t="n">
        <v>21</v>
      </c>
      <c r="I70" s="9" t="n">
        <v>20</v>
      </c>
      <c r="J70" s="10" t="s">
        <v>272</v>
      </c>
      <c r="K70" s="20"/>
      <c r="L70" s="20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 t="n">
        <v>0</v>
      </c>
      <c r="Y70" s="9" t="n">
        <v>0</v>
      </c>
      <c r="Z70" s="9" t="n">
        <v>0</v>
      </c>
      <c r="AA70" s="9" t="n">
        <v>0</v>
      </c>
      <c r="AB70" s="11" t="n">
        <f aca="false">(X70+Y70+Z70+AA70)/4</f>
        <v>0</v>
      </c>
      <c r="AC70" s="9" t="n">
        <v>1</v>
      </c>
      <c r="AD70" s="9" t="n">
        <v>1</v>
      </c>
      <c r="AE70" s="9" t="n">
        <v>1</v>
      </c>
      <c r="AF70" s="9" t="n">
        <v>1</v>
      </c>
      <c r="AG70" s="11" t="n">
        <f aca="false">(AC70+AD70+AE70+AF70)/4</f>
        <v>1</v>
      </c>
      <c r="AH70" s="9" t="n">
        <v>1</v>
      </c>
      <c r="AI70" s="9" t="n">
        <v>1</v>
      </c>
      <c r="AJ70" s="9" t="n">
        <v>1</v>
      </c>
      <c r="AK70" s="9" t="n">
        <v>1</v>
      </c>
      <c r="AL70" s="11" t="n">
        <f aca="false">(AH70+AI70+AJ70+AK70)/4</f>
        <v>1</v>
      </c>
      <c r="AM70" s="9" t="n">
        <v>95</v>
      </c>
      <c r="AN70" s="9" t="n">
        <v>67</v>
      </c>
      <c r="AO70" s="9" t="n">
        <v>153</v>
      </c>
      <c r="AP70" s="9" t="n">
        <v>69</v>
      </c>
      <c r="AQ70" s="11" t="n">
        <f aca="false">(AM70+AN70+AO70+AP70)/4</f>
        <v>96</v>
      </c>
      <c r="AR70" s="9" t="n">
        <v>56</v>
      </c>
      <c r="AS70" s="9" t="n">
        <v>9</v>
      </c>
      <c r="AT70" s="9" t="n">
        <v>40</v>
      </c>
      <c r="AU70" s="9" t="n">
        <v>36</v>
      </c>
      <c r="AV70" s="11" t="n">
        <f aca="false">(AR70+AS70+AT70+AU70)/4</f>
        <v>35.25</v>
      </c>
      <c r="AW70" s="9" t="n">
        <v>0</v>
      </c>
      <c r="AX70" s="9" t="n">
        <v>0</v>
      </c>
      <c r="AY70" s="9" t="n">
        <v>0</v>
      </c>
      <c r="AZ70" s="9" t="n">
        <v>0</v>
      </c>
      <c r="BA70" s="11" t="n">
        <f aca="false">(AW70+AX70+AY70+AZ70)/4</f>
        <v>0</v>
      </c>
      <c r="BB70" s="11" t="n">
        <f aca="false">(AW70/AR70)</f>
        <v>0</v>
      </c>
      <c r="BC70" s="11" t="n">
        <f aca="false">(AX70/AS70)</f>
        <v>0</v>
      </c>
      <c r="BD70" s="11" t="n">
        <f aca="false">(AY70/AT70)</f>
        <v>0</v>
      </c>
      <c r="BE70" s="11" t="n">
        <f aca="false">(AZ70/AU70)</f>
        <v>0</v>
      </c>
      <c r="BF70" s="11" t="n">
        <f aca="false">(BA70/AV70)</f>
        <v>0</v>
      </c>
      <c r="BG70" s="11" t="n">
        <f aca="false">(BF70*100)</f>
        <v>0</v>
      </c>
      <c r="BH70" s="9" t="n">
        <v>0</v>
      </c>
      <c r="BI70" s="9" t="n">
        <v>9</v>
      </c>
      <c r="BJ70" s="9" t="n">
        <v>1</v>
      </c>
      <c r="BK70" s="9" t="n">
        <v>18</v>
      </c>
      <c r="BL70" s="9" t="n">
        <v>14</v>
      </c>
      <c r="BM70" s="11" t="n">
        <f aca="false">(BI70+BJ70+BK70+BL70)/4</f>
        <v>10.5</v>
      </c>
      <c r="BN70" s="11" t="n">
        <f aca="false">(BI70/AR70)</f>
        <v>0.160714285714286</v>
      </c>
      <c r="BO70" s="11" t="n">
        <f aca="false">(BJ70/AS70)</f>
        <v>0.111111111111111</v>
      </c>
      <c r="BP70" s="11" t="n">
        <f aca="false">(BK70/AT70)</f>
        <v>0.45</v>
      </c>
      <c r="BQ70" s="11" t="n">
        <f aca="false">(BL70/AU70)</f>
        <v>0.388888888888889</v>
      </c>
      <c r="BR70" s="11" t="n">
        <f aca="false">(BM70/AV70)</f>
        <v>0.297872340425532</v>
      </c>
      <c r="BS70" s="11" t="n">
        <f aca="false">(100*BR70)</f>
        <v>29.7872340425532</v>
      </c>
      <c r="BT70" s="9" t="n">
        <v>2</v>
      </c>
      <c r="BU70" s="9" t="n">
        <v>1</v>
      </c>
      <c r="BV70" s="9" t="n">
        <v>0</v>
      </c>
      <c r="BW70" s="9" t="n">
        <v>0</v>
      </c>
      <c r="BX70" s="9" t="n">
        <v>0</v>
      </c>
      <c r="BY70" s="11" t="n">
        <f aca="false">(BU70+BV70+BW70+BX70)/4</f>
        <v>0.25</v>
      </c>
      <c r="BZ70" s="11" t="n">
        <f aca="false">(BU70/AR70)</f>
        <v>0.0178571428571429</v>
      </c>
      <c r="CA70" s="11" t="n">
        <f aca="false">(BV70/AS70)</f>
        <v>0</v>
      </c>
      <c r="CB70" s="11" t="n">
        <f aca="false">(BW70/AT70)</f>
        <v>0</v>
      </c>
      <c r="CC70" s="11" t="n">
        <f aca="false">(BX70/AU70)</f>
        <v>0</v>
      </c>
      <c r="CD70" s="11" t="n">
        <f aca="false">(BY70/AV70)</f>
        <v>0.00709219858156028</v>
      </c>
      <c r="CE70" s="11" t="n">
        <f aca="false">(100*CD70)</f>
        <v>0.709219858156028</v>
      </c>
      <c r="CF70" s="9" t="n">
        <v>1</v>
      </c>
      <c r="CG70" s="9" t="n">
        <v>26</v>
      </c>
      <c r="CH70" s="9" t="n">
        <v>15</v>
      </c>
      <c r="CI70" s="27" t="n">
        <v>22</v>
      </c>
      <c r="CJ70" s="9" t="n">
        <v>15</v>
      </c>
      <c r="CK70" s="11" t="n">
        <f aca="false">(CG70+CH70+CI70+CJ70)/4</f>
        <v>19.5</v>
      </c>
      <c r="CL70" s="11" t="n">
        <f aca="false">(CG70/AM70)</f>
        <v>0.273684210526316</v>
      </c>
      <c r="CM70" s="11" t="n">
        <f aca="false">(CH70/AN70)</f>
        <v>0.223880597014925</v>
      </c>
      <c r="CN70" s="11" t="n">
        <f aca="false">(CI70/AO70)</f>
        <v>0.143790849673203</v>
      </c>
      <c r="CO70" s="9" t="n">
        <f aca="false">(CJ70/AP70)</f>
        <v>0.217391304347826</v>
      </c>
      <c r="CP70" s="9" t="n">
        <f aca="false">(CK70/AQ70)</f>
        <v>0.203125</v>
      </c>
      <c r="CQ70" s="9" t="n">
        <f aca="false">(100*CP70)</f>
        <v>20.3125</v>
      </c>
      <c r="CR70" s="18" t="n">
        <v>2</v>
      </c>
      <c r="CS70" s="9" t="n">
        <v>52.3</v>
      </c>
      <c r="CT70" s="9" t="n">
        <v>33.7</v>
      </c>
      <c r="CU70" s="9" t="n">
        <v>57.5</v>
      </c>
      <c r="CV70" s="9" t="n">
        <v>50.3</v>
      </c>
      <c r="CW70" s="11" t="n">
        <f aca="false">(CS70+CT70+CU70+CV70)/4</f>
        <v>48.45</v>
      </c>
      <c r="CX70" s="9" t="n">
        <v>0</v>
      </c>
      <c r="CY70" s="9" t="n">
        <v>0</v>
      </c>
      <c r="CZ70" s="9" t="n">
        <v>0</v>
      </c>
      <c r="DA70" s="9" t="n">
        <v>0</v>
      </c>
      <c r="DB70" s="11" t="n">
        <f aca="false">(CX70+CY70+CZ70+DA70)/4</f>
        <v>0</v>
      </c>
      <c r="DC70" s="9" t="n">
        <v>1</v>
      </c>
      <c r="DD70" s="9" t="n">
        <v>1</v>
      </c>
      <c r="DE70" s="9" t="n">
        <v>1</v>
      </c>
      <c r="DF70" s="9" t="n">
        <v>0</v>
      </c>
      <c r="DG70" s="11" t="n">
        <f aca="false">(DC70+DD70+DE70+DF70)/4</f>
        <v>0.75</v>
      </c>
      <c r="DH70" s="9" t="n">
        <v>1</v>
      </c>
      <c r="DI70" s="9" t="n">
        <v>1</v>
      </c>
      <c r="DJ70" s="9" t="n">
        <v>1</v>
      </c>
      <c r="DK70" s="9" t="n">
        <v>1</v>
      </c>
      <c r="DL70" s="11" t="n">
        <f aca="false">(DH70+DI70+DJ70+DK70)/4</f>
        <v>1</v>
      </c>
      <c r="DM70" s="9" t="n">
        <v>58</v>
      </c>
      <c r="DN70" s="9" t="n">
        <v>16</v>
      </c>
      <c r="DO70" s="9" t="n">
        <v>30</v>
      </c>
      <c r="DP70" s="9" t="n">
        <v>45</v>
      </c>
      <c r="DQ70" s="11" t="n">
        <f aca="false">(DM70+DN70+DO70+DP70)/4</f>
        <v>37.25</v>
      </c>
      <c r="DR70" s="9" t="n">
        <v>37</v>
      </c>
      <c r="DS70" s="9" t="n">
        <v>35</v>
      </c>
      <c r="DT70" s="9" t="n">
        <v>26</v>
      </c>
      <c r="DU70" s="9" t="n">
        <v>27</v>
      </c>
      <c r="DV70" s="11" t="n">
        <f aca="false">(DR70+DS70+DT70+DU70)/4</f>
        <v>31.25</v>
      </c>
      <c r="DW70" s="9" t="n">
        <v>0</v>
      </c>
      <c r="DX70" s="9" t="n">
        <v>0</v>
      </c>
      <c r="DY70" s="9" t="n">
        <v>0</v>
      </c>
      <c r="DZ70" s="9" t="n">
        <v>0</v>
      </c>
      <c r="EA70" s="11" t="n">
        <f aca="false">(DW70+DX70+DY70+DZ70)/4</f>
        <v>0</v>
      </c>
      <c r="EB70" s="11" t="n">
        <f aca="false">(DW70/DR70)</f>
        <v>0</v>
      </c>
      <c r="EC70" s="11" t="n">
        <f aca="false">(DX70/DS70)</f>
        <v>0</v>
      </c>
      <c r="ED70" s="11" t="n">
        <f aca="false">(DY70/DT70)</f>
        <v>0</v>
      </c>
      <c r="EE70" s="11" t="n">
        <f aca="false">(DZ70/DU70)</f>
        <v>0</v>
      </c>
      <c r="EF70" s="11" t="n">
        <f aca="false">(EA70/DV70)</f>
        <v>0</v>
      </c>
      <c r="EG70" s="11" t="n">
        <f aca="false">(100*EF70)</f>
        <v>0</v>
      </c>
      <c r="EH70" s="9" t="n">
        <v>0</v>
      </c>
      <c r="EI70" s="9" t="n">
        <v>9</v>
      </c>
      <c r="EJ70" s="9" t="n">
        <v>4</v>
      </c>
      <c r="EK70" s="19" t="n">
        <v>5</v>
      </c>
      <c r="EL70" s="9" t="n">
        <v>0</v>
      </c>
      <c r="EM70" s="9" t="n">
        <f aca="false">(EI70+EJ70+EK70+EL70)/4</f>
        <v>4.5</v>
      </c>
      <c r="EN70" s="9" t="n">
        <f aca="false">(EI70/DR70)</f>
        <v>0.243243243243243</v>
      </c>
      <c r="EO70" s="9" t="n">
        <f aca="false">(EJ70/DS70)</f>
        <v>0.114285714285714</v>
      </c>
      <c r="EP70" s="9" t="n">
        <f aca="false">(EK70/DT70)</f>
        <v>0.192307692307692</v>
      </c>
      <c r="EQ70" s="9" t="n">
        <f aca="false">(EL70/DU70)</f>
        <v>0</v>
      </c>
      <c r="ER70" s="9" t="n">
        <f aca="false">EM70/DV70</f>
        <v>0.144</v>
      </c>
      <c r="ES70" s="9" t="n">
        <f aca="false">(100*ER70)</f>
        <v>14.4</v>
      </c>
      <c r="ET70" s="9" t="n">
        <v>2</v>
      </c>
      <c r="EU70" s="18" t="n">
        <v>0</v>
      </c>
      <c r="EV70" s="9" t="n">
        <v>4</v>
      </c>
      <c r="EW70" s="9" t="n">
        <v>0</v>
      </c>
      <c r="EX70" s="9" t="n">
        <v>0</v>
      </c>
      <c r="EY70" s="11" t="n">
        <f aca="false">(EU70+EV70+EW70+EX70)/4</f>
        <v>1</v>
      </c>
      <c r="EZ70" s="11" t="n">
        <f aca="false">(EU70/DR70)</f>
        <v>0</v>
      </c>
      <c r="FA70" s="11" t="n">
        <f aca="false">(EV70/DS70)</f>
        <v>0.114285714285714</v>
      </c>
      <c r="FB70" s="11" t="n">
        <f aca="false">(EW70/DT70)</f>
        <v>0</v>
      </c>
      <c r="FC70" s="11" t="n">
        <f aca="false">(EX70/DU70)</f>
        <v>0</v>
      </c>
      <c r="FD70" s="11" t="n">
        <f aca="false">(EY70/DV70)</f>
        <v>0.032</v>
      </c>
      <c r="FE70" s="11" t="n">
        <f aca="false">(100*FD70)</f>
        <v>3.2</v>
      </c>
      <c r="FF70" s="9" t="n">
        <v>1</v>
      </c>
      <c r="FG70" s="9" t="n">
        <v>25</v>
      </c>
      <c r="FH70" s="9" t="n">
        <v>7</v>
      </c>
      <c r="FI70" s="9" t="n">
        <v>16</v>
      </c>
      <c r="FJ70" s="9" t="n">
        <v>17</v>
      </c>
      <c r="FK70" s="11" t="n">
        <f aca="false">(FG70+FH70+FI70+FJ70)/4</f>
        <v>16.25</v>
      </c>
      <c r="FL70" s="11" t="n">
        <f aca="false">(FG70/DR70)</f>
        <v>0.675675675675676</v>
      </c>
      <c r="FM70" s="11" t="n">
        <f aca="false">(FH70/DS70)</f>
        <v>0.2</v>
      </c>
      <c r="FN70" s="11" t="n">
        <f aca="false">(FI70/DT70)</f>
        <v>0.615384615384615</v>
      </c>
      <c r="FO70" s="11" t="n">
        <f aca="false">(FJ70/DU70)</f>
        <v>0.62962962962963</v>
      </c>
      <c r="FP70" s="11" t="n">
        <f aca="false">(FK70/DV70)</f>
        <v>0.52</v>
      </c>
      <c r="FQ70" s="11" t="n">
        <f aca="false">(100*FP70)</f>
        <v>52</v>
      </c>
      <c r="FR70" s="9" t="n">
        <v>3</v>
      </c>
      <c r="FS70" s="9" t="n">
        <v>41.9</v>
      </c>
      <c r="FT70" s="9" t="n">
        <v>46.1</v>
      </c>
      <c r="FU70" s="9" t="n">
        <v>55.6</v>
      </c>
      <c r="FV70" s="9" t="n">
        <v>47.3</v>
      </c>
      <c r="FW70" s="11" t="n">
        <f aca="false">(FS70+FT70+FU70+FV70)/4</f>
        <v>47.725</v>
      </c>
      <c r="FX70" s="9" t="n">
        <v>0</v>
      </c>
      <c r="FY70" s="9" t="n">
        <v>0</v>
      </c>
      <c r="FZ70" s="9" t="n">
        <v>0</v>
      </c>
      <c r="GA70" s="9" t="n">
        <v>0</v>
      </c>
      <c r="GB70" s="11" t="n">
        <f aca="false">(FX70+FY70+FZ70+GA70)/4</f>
        <v>0</v>
      </c>
      <c r="GC70" s="9" t="n">
        <v>0</v>
      </c>
      <c r="GD70" s="9" t="n">
        <v>0</v>
      </c>
      <c r="GE70" s="9" t="n">
        <v>1</v>
      </c>
      <c r="GF70" s="9" t="n">
        <v>1</v>
      </c>
      <c r="GG70" s="11" t="n">
        <f aca="false">(GC70+GD70+GE70+GF70)/4</f>
        <v>0.5</v>
      </c>
      <c r="GH70" s="9" t="n">
        <v>1</v>
      </c>
      <c r="GI70" s="9" t="n">
        <v>1</v>
      </c>
      <c r="GJ70" s="9" t="n">
        <v>1</v>
      </c>
      <c r="GK70" s="9" t="n">
        <v>1</v>
      </c>
      <c r="GL70" s="11" t="n">
        <f aca="false">(GH70+GI70+GJ70+GK70)/4</f>
        <v>1</v>
      </c>
      <c r="GM70" s="9" t="n">
        <v>84</v>
      </c>
      <c r="GN70" s="9" t="n">
        <v>75</v>
      </c>
      <c r="GO70" s="9" t="n">
        <v>55</v>
      </c>
      <c r="GP70" s="9" t="n">
        <v>129</v>
      </c>
      <c r="GQ70" s="11" t="n">
        <f aca="false">(GM70+GN70+GO70+GP70)/4</f>
        <v>85.75</v>
      </c>
      <c r="GR70" s="9" t="n">
        <v>8</v>
      </c>
      <c r="GS70" s="9" t="n">
        <v>11</v>
      </c>
      <c r="GT70" s="9" t="n">
        <v>8</v>
      </c>
      <c r="GU70" s="9" t="n">
        <v>9</v>
      </c>
      <c r="GV70" s="11" t="n">
        <f aca="false">(GR70+GS70+GT70+GU70)/4</f>
        <v>9</v>
      </c>
      <c r="GW70" s="9" t="n">
        <v>0</v>
      </c>
      <c r="GX70" s="9" t="n">
        <v>0</v>
      </c>
      <c r="GY70" s="9" t="n">
        <v>0</v>
      </c>
      <c r="GZ70" s="9" t="n">
        <v>0</v>
      </c>
      <c r="HA70" s="11" t="n">
        <f aca="false">(GW70+GX70+GY70+GZ70)/4</f>
        <v>0</v>
      </c>
      <c r="HB70" s="9" t="n">
        <f aca="false">(GW70/GR70)</f>
        <v>0</v>
      </c>
      <c r="HC70" s="9" t="n">
        <f aca="false">(GX70/GS70)</f>
        <v>0</v>
      </c>
      <c r="HD70" s="9" t="n">
        <f aca="false">(GY70/GT70)</f>
        <v>0</v>
      </c>
      <c r="HE70" s="9" t="n">
        <f aca="false">(GZ70/GU70)/4</f>
        <v>0</v>
      </c>
      <c r="HF70" s="9" t="n">
        <f aca="false">(HB70+HC70+HD70+HE70)/4</f>
        <v>0</v>
      </c>
      <c r="HG70" s="9" t="n">
        <f aca="false">(100*HF70)</f>
        <v>0</v>
      </c>
      <c r="HH70" s="18" t="n">
        <v>0</v>
      </c>
      <c r="HI70" s="9" t="n">
        <v>0</v>
      </c>
      <c r="HJ70" s="9" t="n">
        <v>0</v>
      </c>
      <c r="HK70" s="9" t="n">
        <v>2</v>
      </c>
      <c r="HL70" s="19" t="n">
        <v>1</v>
      </c>
      <c r="HM70" s="9" t="n">
        <f aca="false">(HI70+HJ70+HK70+HL70)/4</f>
        <v>0.75</v>
      </c>
      <c r="HN70" s="9" t="n">
        <f aca="false">(HI70/GR70)</f>
        <v>0</v>
      </c>
      <c r="HO70" s="9" t="n">
        <f aca="false">(HJ70/GS70)</f>
        <v>0</v>
      </c>
      <c r="HP70" s="9" t="n">
        <f aca="false">(HK70/GT70)</f>
        <v>0.25</v>
      </c>
      <c r="HQ70" s="9" t="n">
        <f aca="false">(HL70/GU70)</f>
        <v>0.111111111111111</v>
      </c>
      <c r="HR70" s="9" t="n">
        <f aca="false">(HM70/GV70)</f>
        <v>0.0833333333333333</v>
      </c>
      <c r="HS70" s="9" t="n">
        <f aca="false">(100*HR70)</f>
        <v>8.33333333333333</v>
      </c>
      <c r="HT70" s="18" t="n">
        <v>1</v>
      </c>
      <c r="HU70" s="9" t="n">
        <v>0</v>
      </c>
      <c r="HV70" s="9" t="n">
        <v>0</v>
      </c>
      <c r="HW70" s="9" t="n">
        <v>0</v>
      </c>
      <c r="HX70" s="19" t="n">
        <v>0</v>
      </c>
      <c r="HY70" s="9" t="n">
        <f aca="false">(HU70+HV70+HW70+HX70)/4</f>
        <v>0</v>
      </c>
      <c r="HZ70" s="9" t="n">
        <f aca="false">(HU70/GR70)</f>
        <v>0</v>
      </c>
      <c r="IA70" s="9" t="n">
        <f aca="false">HV70/GS70</f>
        <v>0</v>
      </c>
      <c r="IB70" s="9" t="n">
        <f aca="false">(HW70/GT70)</f>
        <v>0</v>
      </c>
      <c r="IC70" s="9" t="n">
        <f aca="false">(HX70/GU70)</f>
        <v>0</v>
      </c>
      <c r="ID70" s="9" t="n">
        <f aca="false">(HY70/GV70)</f>
        <v>0</v>
      </c>
      <c r="IE70" s="9" t="n">
        <f aca="false">(100*ID70)</f>
        <v>0</v>
      </c>
      <c r="IF70" s="18" t="n">
        <v>0</v>
      </c>
      <c r="IG70" s="9" t="n">
        <v>7</v>
      </c>
      <c r="IH70" s="9" t="n">
        <v>34</v>
      </c>
      <c r="II70" s="19" t="n">
        <v>11</v>
      </c>
      <c r="IJ70" s="9" t="n">
        <v>13</v>
      </c>
      <c r="IK70" s="9" t="n">
        <f aca="false">(IG70+IH70+II70+IJ70)/4</f>
        <v>16.25</v>
      </c>
      <c r="IL70" s="9" t="n">
        <f aca="false">(IG70/GM70)</f>
        <v>0.0833333333333333</v>
      </c>
      <c r="IM70" s="9" t="n">
        <f aca="false">(IH70/GN70)</f>
        <v>0.453333333333333</v>
      </c>
      <c r="IN70" s="9" t="n">
        <f aca="false">(II70/GO70)</f>
        <v>0.2</v>
      </c>
      <c r="IO70" s="9" t="n">
        <f aca="false">(IJ70/GP70)</f>
        <v>0.10077519379845</v>
      </c>
      <c r="IP70" s="9" t="n">
        <f aca="false">(IK70/GQ70)</f>
        <v>0.189504373177843</v>
      </c>
      <c r="IQ70" s="9" t="n">
        <f aca="false">(100*IP70)</f>
        <v>18.9504373177843</v>
      </c>
      <c r="IR70" s="18" t="n">
        <v>2</v>
      </c>
      <c r="IS70" s="9" t="n">
        <v>48</v>
      </c>
      <c r="IT70" s="9" t="n">
        <v>47.9</v>
      </c>
      <c r="IU70" s="19" t="n">
        <v>45.8</v>
      </c>
      <c r="IV70" s="9" t="n">
        <v>47.9</v>
      </c>
      <c r="IW70" s="9" t="n">
        <f aca="false">(IS70+IT70+IU70+IV70)/4</f>
        <v>47.4</v>
      </c>
      <c r="IX70" s="16" t="n">
        <v>45202</v>
      </c>
      <c r="IY70" s="10" t="s">
        <v>268</v>
      </c>
    </row>
    <row r="71" customFormat="false" ht="15.75" hidden="false" customHeight="true" outlineLevel="0" collapsed="false">
      <c r="A71" s="9" t="s">
        <v>299</v>
      </c>
      <c r="B71" s="10" t="s">
        <v>432</v>
      </c>
      <c r="C71" s="10" t="s">
        <v>400</v>
      </c>
      <c r="D71" s="9" t="n">
        <v>2</v>
      </c>
      <c r="E71" s="9" t="n">
        <v>24</v>
      </c>
      <c r="F71" s="10" t="s">
        <v>433</v>
      </c>
      <c r="G71" s="10" t="s">
        <v>280</v>
      </c>
      <c r="H71" s="9" t="n">
        <v>21</v>
      </c>
      <c r="I71" s="9" t="n">
        <v>5</v>
      </c>
      <c r="J71" s="12" t="s">
        <v>264</v>
      </c>
      <c r="K71" s="13" t="s">
        <v>434</v>
      </c>
      <c r="L71" s="13" t="s">
        <v>435</v>
      </c>
      <c r="M71" s="9"/>
      <c r="N71" s="15" t="n">
        <v>45153</v>
      </c>
      <c r="O71" s="10" t="s">
        <v>294</v>
      </c>
      <c r="P71" s="9"/>
      <c r="Q71" s="9" t="n">
        <v>1.61</v>
      </c>
      <c r="R71" s="9" t="n">
        <v>18</v>
      </c>
      <c r="S71" s="9" t="n">
        <v>-10</v>
      </c>
      <c r="T71" s="9" t="n">
        <v>80</v>
      </c>
      <c r="U71" s="9"/>
      <c r="V71" s="9" t="n">
        <v>1.94</v>
      </c>
      <c r="W71" s="9" t="s">
        <v>436</v>
      </c>
      <c r="X71" s="9" t="n">
        <v>0</v>
      </c>
      <c r="Y71" s="9" t="n">
        <v>0</v>
      </c>
      <c r="Z71" s="9" t="n">
        <v>0</v>
      </c>
      <c r="AA71" s="9" t="n">
        <v>0</v>
      </c>
      <c r="AB71" s="11" t="n">
        <f aca="false">(X71+Y71+Z71+AA71)/4</f>
        <v>0</v>
      </c>
      <c r="AC71" s="9" t="n">
        <v>1</v>
      </c>
      <c r="AD71" s="9" t="n">
        <v>1</v>
      </c>
      <c r="AE71" s="9" t="n">
        <v>1</v>
      </c>
      <c r="AF71" s="9" t="n">
        <v>1</v>
      </c>
      <c r="AG71" s="11" t="n">
        <f aca="false">(AC71+AD71+AE71+AF71)/4</f>
        <v>1</v>
      </c>
      <c r="AH71" s="9" t="n">
        <v>1</v>
      </c>
      <c r="AI71" s="9" t="n">
        <v>1</v>
      </c>
      <c r="AJ71" s="9" t="n">
        <v>1</v>
      </c>
      <c r="AK71" s="9" t="n">
        <v>1</v>
      </c>
      <c r="AL71" s="11" t="n">
        <f aca="false">(AH71+AI71+AJ71+AK71)/4</f>
        <v>1</v>
      </c>
      <c r="AM71" s="9" t="n">
        <v>124</v>
      </c>
      <c r="AN71" s="9" t="n">
        <v>32</v>
      </c>
      <c r="AO71" s="9" t="n">
        <v>32</v>
      </c>
      <c r="AP71" s="9" t="n">
        <v>42</v>
      </c>
      <c r="AQ71" s="11" t="n">
        <f aca="false">(AM71+AN71+AO71+AP71)/4</f>
        <v>57.5</v>
      </c>
      <c r="AR71" s="9" t="n">
        <v>20</v>
      </c>
      <c r="AS71" s="9" t="n">
        <v>47</v>
      </c>
      <c r="AT71" s="9" t="n">
        <v>18</v>
      </c>
      <c r="AU71" s="9" t="n">
        <v>9</v>
      </c>
      <c r="AV71" s="11" t="n">
        <f aca="false">(AR71+AS71+AT71+AU71)/4</f>
        <v>23.5</v>
      </c>
      <c r="AW71" s="9" t="n">
        <v>0</v>
      </c>
      <c r="AX71" s="9" t="n">
        <v>0</v>
      </c>
      <c r="AY71" s="9" t="n">
        <v>0</v>
      </c>
      <c r="AZ71" s="9" t="n">
        <v>0</v>
      </c>
      <c r="BA71" s="11" t="n">
        <f aca="false">(AW71+AX71+AY71+AZ71)/4</f>
        <v>0</v>
      </c>
      <c r="BB71" s="11" t="n">
        <f aca="false">(AW71/AR71)</f>
        <v>0</v>
      </c>
      <c r="BC71" s="11" t="n">
        <f aca="false">(AX71/AS71)</f>
        <v>0</v>
      </c>
      <c r="BD71" s="11" t="n">
        <f aca="false">(AY71/AT71)</f>
        <v>0</v>
      </c>
      <c r="BE71" s="11" t="n">
        <f aca="false">(AZ71/AU71)</f>
        <v>0</v>
      </c>
      <c r="BF71" s="11" t="n">
        <f aca="false">(BA71/AV71)</f>
        <v>0</v>
      </c>
      <c r="BG71" s="11" t="n">
        <f aca="false">(BF71*100)</f>
        <v>0</v>
      </c>
      <c r="BH71" s="9" t="n">
        <v>0</v>
      </c>
      <c r="BI71" s="9" t="n">
        <v>4</v>
      </c>
      <c r="BJ71" s="9" t="n">
        <v>2</v>
      </c>
      <c r="BK71" s="9" t="n">
        <v>2</v>
      </c>
      <c r="BL71" s="9" t="n">
        <v>3</v>
      </c>
      <c r="BM71" s="11" t="n">
        <f aca="false">(BI71+BJ71+BK71+BL71)/4</f>
        <v>2.75</v>
      </c>
      <c r="BN71" s="11" t="n">
        <f aca="false">(BI71/AR71)</f>
        <v>0.2</v>
      </c>
      <c r="BO71" s="11" t="n">
        <f aca="false">(BJ71/AS71)</f>
        <v>0.0425531914893617</v>
      </c>
      <c r="BP71" s="11" t="n">
        <f aca="false">(BK71/AT71)</f>
        <v>0.111111111111111</v>
      </c>
      <c r="BQ71" s="11" t="n">
        <f aca="false">(BL71/AU71)</f>
        <v>0.333333333333333</v>
      </c>
      <c r="BR71" s="11" t="n">
        <f aca="false">(BM71/AV71)</f>
        <v>0.117021276595745</v>
      </c>
      <c r="BS71" s="11" t="n">
        <f aca="false">(100*BR71)</f>
        <v>11.7021276595745</v>
      </c>
      <c r="BT71" s="9" t="n">
        <v>2</v>
      </c>
      <c r="BU71" s="9" t="n">
        <v>0</v>
      </c>
      <c r="BV71" s="9" t="n">
        <v>0</v>
      </c>
      <c r="BW71" s="9" t="n">
        <v>0</v>
      </c>
      <c r="BX71" s="9" t="n">
        <v>0</v>
      </c>
      <c r="BY71" s="11" t="n">
        <f aca="false">(BU71+BV71+BW71+BX71)/4</f>
        <v>0</v>
      </c>
      <c r="BZ71" s="11" t="n">
        <f aca="false">(BU71/AR71)</f>
        <v>0</v>
      </c>
      <c r="CA71" s="11" t="n">
        <f aca="false">(BV71/AS71)</f>
        <v>0</v>
      </c>
      <c r="CB71" s="11" t="n">
        <f aca="false">(BW71/AT71)</f>
        <v>0</v>
      </c>
      <c r="CC71" s="11" t="n">
        <f aca="false">(BX71/AU71)</f>
        <v>0</v>
      </c>
      <c r="CD71" s="11" t="n">
        <f aca="false">(BY71/AV71)</f>
        <v>0</v>
      </c>
      <c r="CE71" s="11" t="n">
        <f aca="false">(100*CD71)</f>
        <v>0</v>
      </c>
      <c r="CF71" s="9" t="n">
        <v>0</v>
      </c>
      <c r="CG71" s="9" t="n">
        <v>27</v>
      </c>
      <c r="CH71" s="9" t="n">
        <v>2</v>
      </c>
      <c r="CI71" s="9" t="n">
        <v>2</v>
      </c>
      <c r="CJ71" s="9" t="n">
        <v>2</v>
      </c>
      <c r="CK71" s="11" t="n">
        <f aca="false">(CG71+CH71+CI71+CJ71)/4</f>
        <v>8.25</v>
      </c>
      <c r="CL71" s="11" t="n">
        <f aca="false">(CG71/AM71)</f>
        <v>0.217741935483871</v>
      </c>
      <c r="CM71" s="11" t="n">
        <f aca="false">(CH71/AN71)</f>
        <v>0.0625</v>
      </c>
      <c r="CN71" s="11" t="n">
        <f aca="false">(CI71/AO71)</f>
        <v>0.0625</v>
      </c>
      <c r="CO71" s="9" t="n">
        <f aca="false">(CJ71/AP71)</f>
        <v>0.0476190476190476</v>
      </c>
      <c r="CP71" s="9" t="n">
        <f aca="false">(CK71/AQ71)</f>
        <v>0.143478260869565</v>
      </c>
      <c r="CQ71" s="9" t="n">
        <f aca="false">(100*CP71)</f>
        <v>14.3478260869565</v>
      </c>
      <c r="CR71" s="18" t="n">
        <v>2</v>
      </c>
      <c r="CS71" s="9" t="n">
        <v>69.7</v>
      </c>
      <c r="CT71" s="9" t="n">
        <v>65.6</v>
      </c>
      <c r="CU71" s="9" t="n">
        <v>72.9</v>
      </c>
      <c r="CV71" s="9" t="n">
        <v>59.3</v>
      </c>
      <c r="CW71" s="11" t="n">
        <f aca="false">(CS71+CT71+CU71+CV71)/4</f>
        <v>66.875</v>
      </c>
      <c r="CX71" s="9" t="n">
        <v>0</v>
      </c>
      <c r="CY71" s="9" t="n">
        <v>0</v>
      </c>
      <c r="CZ71" s="9" t="n">
        <v>0</v>
      </c>
      <c r="DA71" s="9" t="n">
        <v>1</v>
      </c>
      <c r="DB71" s="11" t="n">
        <f aca="false">(CX71+CY71+CZ71+DA71)/4</f>
        <v>0.25</v>
      </c>
      <c r="DC71" s="9" t="n">
        <v>1</v>
      </c>
      <c r="DD71" s="9" t="n">
        <v>1</v>
      </c>
      <c r="DE71" s="9" t="n">
        <v>1</v>
      </c>
      <c r="DF71" s="9" t="n">
        <v>1</v>
      </c>
      <c r="DG71" s="11" t="n">
        <f aca="false">(DC71+DD71+DE71+DF71)/4</f>
        <v>1</v>
      </c>
      <c r="DH71" s="9" t="n">
        <v>1</v>
      </c>
      <c r="DI71" s="9" t="n">
        <v>1</v>
      </c>
      <c r="DJ71" s="9" t="n">
        <v>1</v>
      </c>
      <c r="DK71" s="9" t="n">
        <v>1</v>
      </c>
      <c r="DL71" s="11" t="n">
        <f aca="false">(DH71+DI71+DJ71+DK71)/4</f>
        <v>1</v>
      </c>
      <c r="DM71" s="9" t="n">
        <v>8</v>
      </c>
      <c r="DN71" s="9" t="n">
        <v>48</v>
      </c>
      <c r="DO71" s="9" t="n">
        <v>12</v>
      </c>
      <c r="DP71" s="9" t="n">
        <v>28</v>
      </c>
      <c r="DQ71" s="11" t="n">
        <f aca="false">(DM71+DN71+DO71+DP71)/4</f>
        <v>24</v>
      </c>
      <c r="DR71" s="9" t="n">
        <v>18</v>
      </c>
      <c r="DS71" s="9" t="n">
        <v>7</v>
      </c>
      <c r="DT71" s="9" t="n">
        <v>20</v>
      </c>
      <c r="DU71" s="9" t="n">
        <v>16</v>
      </c>
      <c r="DV71" s="11" t="n">
        <f aca="false">(DR71+DS71+DT71+DU71)/4</f>
        <v>15.25</v>
      </c>
      <c r="DW71" s="9" t="n">
        <v>0</v>
      </c>
      <c r="DX71" s="9" t="n">
        <v>0</v>
      </c>
      <c r="DY71" s="9" t="n">
        <v>0</v>
      </c>
      <c r="DZ71" s="9" t="n">
        <v>1</v>
      </c>
      <c r="EA71" s="11" t="n">
        <f aca="false">(DW71+DX71+DY71+DZ71)/4</f>
        <v>0.25</v>
      </c>
      <c r="EB71" s="11" t="n">
        <f aca="false">(DW71/DR71)</f>
        <v>0</v>
      </c>
      <c r="EC71" s="11" t="n">
        <f aca="false">(DX71/DS71)</f>
        <v>0</v>
      </c>
      <c r="ED71" s="11" t="n">
        <f aca="false">(DY71/DT71)</f>
        <v>0</v>
      </c>
      <c r="EE71" s="11" t="n">
        <f aca="false">(DZ71/DU71)</f>
        <v>0.0625</v>
      </c>
      <c r="EF71" s="11" t="n">
        <f aca="false">(EA71/DV71)</f>
        <v>0.0163934426229508</v>
      </c>
      <c r="EG71" s="11" t="n">
        <f aca="false">(100*EF71)</f>
        <v>1.63934426229508</v>
      </c>
      <c r="EH71" s="9" t="n">
        <v>1</v>
      </c>
      <c r="EI71" s="9" t="n">
        <v>3</v>
      </c>
      <c r="EJ71" s="9" t="n">
        <v>4</v>
      </c>
      <c r="EK71" s="19" t="n">
        <v>2</v>
      </c>
      <c r="EL71" s="9" t="n">
        <v>3</v>
      </c>
      <c r="EM71" s="9" t="n">
        <f aca="false">(EI71+EJ71+EK71+EL71)/4</f>
        <v>3</v>
      </c>
      <c r="EN71" s="9" t="n">
        <f aca="false">(EI71/DR71)</f>
        <v>0.166666666666667</v>
      </c>
      <c r="EO71" s="9" t="n">
        <f aca="false">(EJ71/DS71)</f>
        <v>0.571428571428571</v>
      </c>
      <c r="EP71" s="9" t="n">
        <f aca="false">(EK71/DT71)</f>
        <v>0.1</v>
      </c>
      <c r="EQ71" s="9" t="n">
        <f aca="false">(EL71/DU71)</f>
        <v>0.1875</v>
      </c>
      <c r="ER71" s="9" t="n">
        <f aca="false">EM71/DV71</f>
        <v>0.19672131147541</v>
      </c>
      <c r="ES71" s="9" t="n">
        <f aca="false">(100*ER71)</f>
        <v>19.672131147541</v>
      </c>
      <c r="ET71" s="9" t="n">
        <v>2</v>
      </c>
      <c r="EU71" s="18" t="n">
        <v>0</v>
      </c>
      <c r="EV71" s="9" t="n">
        <v>0</v>
      </c>
      <c r="EW71" s="9" t="n">
        <v>0</v>
      </c>
      <c r="EX71" s="9" t="n">
        <v>0</v>
      </c>
      <c r="EY71" s="11" t="n">
        <f aca="false">(EU71+EV71+EW71+EX71)/4</f>
        <v>0</v>
      </c>
      <c r="EZ71" s="11" t="n">
        <f aca="false">(EU71/DR71)</f>
        <v>0</v>
      </c>
      <c r="FA71" s="11" t="n">
        <f aca="false">(EV71/DS71)</f>
        <v>0</v>
      </c>
      <c r="FB71" s="11" t="n">
        <f aca="false">(EW71/DT71)</f>
        <v>0</v>
      </c>
      <c r="FC71" s="11" t="n">
        <f aca="false">(EX71/DU71)</f>
        <v>0</v>
      </c>
      <c r="FD71" s="11" t="n">
        <f aca="false">(EY71/DV71)</f>
        <v>0</v>
      </c>
      <c r="FE71" s="11" t="n">
        <f aca="false">(100*FD71)</f>
        <v>0</v>
      </c>
      <c r="FF71" s="9" t="n">
        <v>0</v>
      </c>
      <c r="FG71" s="9" t="n">
        <v>3</v>
      </c>
      <c r="FH71" s="9" t="n">
        <v>1</v>
      </c>
      <c r="FI71" s="9" t="n">
        <v>6</v>
      </c>
      <c r="FJ71" s="9" t="n">
        <v>2</v>
      </c>
      <c r="FK71" s="11" t="n">
        <f aca="false">(FG71+FH71+FI71+FJ71)/4</f>
        <v>3</v>
      </c>
      <c r="FL71" s="11" t="n">
        <f aca="false">(FG71/DR71)</f>
        <v>0.166666666666667</v>
      </c>
      <c r="FM71" s="11" t="n">
        <f aca="false">(FH71/DS71)</f>
        <v>0.142857142857143</v>
      </c>
      <c r="FN71" s="11" t="n">
        <f aca="false">(FI71/DT71)</f>
        <v>0.3</v>
      </c>
      <c r="FO71" s="11" t="n">
        <f aca="false">(FJ71/DU71)</f>
        <v>0.125</v>
      </c>
      <c r="FP71" s="11" t="n">
        <f aca="false">(FK71/DV71)</f>
        <v>0.19672131147541</v>
      </c>
      <c r="FQ71" s="11" t="n">
        <f aca="false">(100*FP71)</f>
        <v>19.672131147541</v>
      </c>
      <c r="FR71" s="9" t="n">
        <v>2</v>
      </c>
      <c r="FS71" s="9" t="n">
        <v>62.7</v>
      </c>
      <c r="FT71" s="9" t="n">
        <v>51.5</v>
      </c>
      <c r="FU71" s="9" t="n">
        <v>51</v>
      </c>
      <c r="FV71" s="9" t="n">
        <v>55.1</v>
      </c>
      <c r="FW71" s="11" t="n">
        <f aca="false">(FS71+FT71+FU71+FV71)/4</f>
        <v>55.075</v>
      </c>
      <c r="FX71" s="9" t="n">
        <v>0</v>
      </c>
      <c r="FY71" s="9" t="n">
        <v>0</v>
      </c>
      <c r="FZ71" s="9" t="n">
        <v>0</v>
      </c>
      <c r="GA71" s="9" t="n">
        <v>1</v>
      </c>
      <c r="GB71" s="11" t="n">
        <f aca="false">(FX71+FY71+FZ71+GA71)/4</f>
        <v>0.25</v>
      </c>
      <c r="GC71" s="9" t="n">
        <v>0</v>
      </c>
      <c r="GD71" s="9" t="n">
        <v>1</v>
      </c>
      <c r="GE71" s="9" t="n">
        <v>1</v>
      </c>
      <c r="GF71" s="9" t="n">
        <v>0</v>
      </c>
      <c r="GG71" s="11" t="n">
        <f aca="false">(GC71+GD71+GE71+GF71)/4</f>
        <v>0.5</v>
      </c>
      <c r="GH71" s="9" t="n">
        <v>1</v>
      </c>
      <c r="GI71" s="9" t="n">
        <v>0</v>
      </c>
      <c r="GJ71" s="9" t="n">
        <v>1</v>
      </c>
      <c r="GK71" s="9" t="n">
        <v>1</v>
      </c>
      <c r="GL71" s="11" t="n">
        <f aca="false">(GH71+GI71+GJ71+GK71)/4</f>
        <v>0.75</v>
      </c>
      <c r="GM71" s="9" t="n">
        <v>10</v>
      </c>
      <c r="GN71" s="9" t="n">
        <v>62</v>
      </c>
      <c r="GO71" s="9" t="n">
        <v>10</v>
      </c>
      <c r="GP71" s="9" t="n">
        <v>11</v>
      </c>
      <c r="GQ71" s="11" t="n">
        <f aca="false">(GM71+GN71+GO71+GP71)/4</f>
        <v>23.25</v>
      </c>
      <c r="GR71" s="9" t="n">
        <v>8</v>
      </c>
      <c r="GS71" s="9" t="n">
        <v>54</v>
      </c>
      <c r="GT71" s="9" t="n">
        <v>12</v>
      </c>
      <c r="GU71" s="9" t="n">
        <v>12</v>
      </c>
      <c r="GV71" s="11" t="n">
        <f aca="false">(GR71+GS71+GT71+GU71)/4</f>
        <v>21.5</v>
      </c>
      <c r="GW71" s="9" t="n">
        <v>0</v>
      </c>
      <c r="GX71" s="9" t="n">
        <v>0</v>
      </c>
      <c r="GY71" s="9" t="n">
        <v>0</v>
      </c>
      <c r="GZ71" s="9" t="n">
        <v>2</v>
      </c>
      <c r="HA71" s="11" t="n">
        <f aca="false">(GW71+GX71+GY71+GZ71)/4</f>
        <v>0.5</v>
      </c>
      <c r="HB71" s="9" t="n">
        <f aca="false">(GW71/GR71)</f>
        <v>0</v>
      </c>
      <c r="HC71" s="9" t="n">
        <f aca="false">(GX71/GS71)</f>
        <v>0</v>
      </c>
      <c r="HD71" s="9" t="n">
        <f aca="false">(GY71/GT71)</f>
        <v>0</v>
      </c>
      <c r="HE71" s="9" t="n">
        <f aca="false">(GZ71/GU71)/4</f>
        <v>0.0416666666666667</v>
      </c>
      <c r="HF71" s="9" t="n">
        <f aca="false">(HB71+HC71+HD71+HE71)/4</f>
        <v>0.0104166666666667</v>
      </c>
      <c r="HG71" s="9" t="n">
        <f aca="false">(100*HF71)</f>
        <v>1.04166666666667</v>
      </c>
      <c r="HH71" s="18" t="n">
        <v>1</v>
      </c>
      <c r="HI71" s="9" t="n">
        <v>0</v>
      </c>
      <c r="HJ71" s="9" t="n">
        <v>2</v>
      </c>
      <c r="HK71" s="9" t="n">
        <v>3</v>
      </c>
      <c r="HL71" s="19" t="n">
        <v>0</v>
      </c>
      <c r="HM71" s="9" t="n">
        <f aca="false">(HI71+HJ71+HK71+HL71)/4</f>
        <v>1.25</v>
      </c>
      <c r="HN71" s="9" t="n">
        <f aca="false">(HI71/GR71)</f>
        <v>0</v>
      </c>
      <c r="HO71" s="9" t="n">
        <f aca="false">(HJ71/GS71)</f>
        <v>0.037037037037037</v>
      </c>
      <c r="HP71" s="9" t="n">
        <f aca="false">(HK71/GT71)</f>
        <v>0.25</v>
      </c>
      <c r="HQ71" s="9" t="n">
        <f aca="false">(HL71/GU71)</f>
        <v>0</v>
      </c>
      <c r="HR71" s="9" t="n">
        <f aca="false">(HM71/GV71)</f>
        <v>0.0581395348837209</v>
      </c>
      <c r="HS71" s="9" t="n">
        <f aca="false">(100*HR71)</f>
        <v>5.81395348837209</v>
      </c>
      <c r="HT71" s="18" t="n">
        <v>1</v>
      </c>
      <c r="HU71" s="9" t="n">
        <v>0</v>
      </c>
      <c r="HV71" s="9" t="n">
        <v>0</v>
      </c>
      <c r="HW71" s="9" t="n">
        <v>0</v>
      </c>
      <c r="HX71" s="19" t="n">
        <v>2</v>
      </c>
      <c r="HY71" s="9" t="n">
        <f aca="false">(HU71+HV71+HW71+HX71)/4</f>
        <v>0.5</v>
      </c>
      <c r="HZ71" s="9" t="n">
        <f aca="false">(HU71/GR71)</f>
        <v>0</v>
      </c>
      <c r="IA71" s="9" t="n">
        <f aca="false">HV71/GS71</f>
        <v>0</v>
      </c>
      <c r="IB71" s="9" t="n">
        <f aca="false">(HW71/GT71)</f>
        <v>0</v>
      </c>
      <c r="IC71" s="9" t="n">
        <f aca="false">(HX71/GU71)</f>
        <v>0.166666666666667</v>
      </c>
      <c r="ID71" s="9" t="n">
        <f aca="false">(HY71/GV71)</f>
        <v>0.0232558139534884</v>
      </c>
      <c r="IE71" s="9" t="n">
        <f aca="false">(100*ID71)</f>
        <v>2.32558139534884</v>
      </c>
      <c r="IF71" s="18" t="n">
        <v>1</v>
      </c>
      <c r="IG71" s="9" t="n">
        <v>2</v>
      </c>
      <c r="IH71" s="9" t="n">
        <v>0</v>
      </c>
      <c r="II71" s="19" t="n">
        <v>3</v>
      </c>
      <c r="IJ71" s="9" t="n">
        <v>0</v>
      </c>
      <c r="IK71" s="9" t="n">
        <f aca="false">(IG71+IH71+II71+IJ71)/4</f>
        <v>1.25</v>
      </c>
      <c r="IL71" s="9" t="n">
        <f aca="false">(IG71/GM71)</f>
        <v>0.2</v>
      </c>
      <c r="IM71" s="9" t="n">
        <f aca="false">(IH71/GN71)</f>
        <v>0</v>
      </c>
      <c r="IN71" s="9" t="n">
        <f aca="false">(II71/GO71)</f>
        <v>0.3</v>
      </c>
      <c r="IO71" s="9" t="n">
        <f aca="false">(IJ71/GP71)</f>
        <v>0</v>
      </c>
      <c r="IP71" s="9" t="n">
        <f aca="false">(IK71/GQ71)</f>
        <v>0.0537634408602151</v>
      </c>
      <c r="IQ71" s="9" t="n">
        <f aca="false">(100*IP71)</f>
        <v>5.37634408602151</v>
      </c>
      <c r="IR71" s="18" t="n">
        <v>1</v>
      </c>
      <c r="IS71" s="9" t="n">
        <v>61.1</v>
      </c>
      <c r="IT71" s="9" t="n">
        <v>62.2</v>
      </c>
      <c r="IU71" s="19" t="n">
        <v>62</v>
      </c>
      <c r="IV71" s="9" t="n">
        <v>63.7</v>
      </c>
      <c r="IW71" s="9" t="n">
        <f aca="false">(IS71+IT71+IU71+IV71)/4</f>
        <v>62.25</v>
      </c>
      <c r="IX71" s="16" t="n">
        <v>45240</v>
      </c>
      <c r="IY71" s="10" t="s">
        <v>268</v>
      </c>
    </row>
    <row r="72" customFormat="false" ht="15.75" hidden="false" customHeight="true" outlineLevel="0" collapsed="false">
      <c r="A72" s="9" t="s">
        <v>299</v>
      </c>
      <c r="B72" s="10" t="s">
        <v>432</v>
      </c>
      <c r="C72" s="10" t="s">
        <v>400</v>
      </c>
      <c r="D72" s="9" t="n">
        <v>2</v>
      </c>
      <c r="E72" s="9" t="n">
        <v>24</v>
      </c>
      <c r="F72" s="10" t="s">
        <v>437</v>
      </c>
      <c r="G72" s="10" t="s">
        <v>320</v>
      </c>
      <c r="H72" s="9" t="n">
        <v>21</v>
      </c>
      <c r="I72" s="9" t="n">
        <v>11</v>
      </c>
      <c r="J72" s="12" t="s">
        <v>270</v>
      </c>
      <c r="K72" s="20"/>
      <c r="L72" s="20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 t="n">
        <v>0</v>
      </c>
      <c r="Y72" s="9" t="n">
        <v>1</v>
      </c>
      <c r="Z72" s="9" t="n">
        <v>0</v>
      </c>
      <c r="AA72" s="9" t="n">
        <v>0</v>
      </c>
      <c r="AB72" s="11" t="n">
        <f aca="false">(X72+Y72+Z72+AA72)/4</f>
        <v>0.25</v>
      </c>
      <c r="AC72" s="9" t="n">
        <v>1</v>
      </c>
      <c r="AD72" s="9" t="n">
        <v>1</v>
      </c>
      <c r="AE72" s="9" t="n">
        <v>1</v>
      </c>
      <c r="AF72" s="9" t="n">
        <v>1</v>
      </c>
      <c r="AG72" s="11" t="n">
        <f aca="false">(AC72+AD72+AE72+AF72)/4</f>
        <v>1</v>
      </c>
      <c r="AH72" s="9" t="n">
        <v>1</v>
      </c>
      <c r="AI72" s="9" t="n">
        <v>1</v>
      </c>
      <c r="AJ72" s="9" t="n">
        <v>1</v>
      </c>
      <c r="AK72" s="9" t="n">
        <v>1</v>
      </c>
      <c r="AL72" s="11" t="n">
        <f aca="false">(AH72+AI72+AJ72+AK72)/4</f>
        <v>1</v>
      </c>
      <c r="AM72" s="9" t="n">
        <v>71</v>
      </c>
      <c r="AN72" s="9" t="n">
        <v>133</v>
      </c>
      <c r="AO72" s="9" t="n">
        <v>85</v>
      </c>
      <c r="AP72" s="9" t="n">
        <v>9</v>
      </c>
      <c r="AQ72" s="11" t="n">
        <f aca="false">(AM72+AN72+AO72+AP72)/4</f>
        <v>74.5</v>
      </c>
      <c r="AR72" s="9" t="n">
        <v>122</v>
      </c>
      <c r="AS72" s="9" t="n">
        <v>9</v>
      </c>
      <c r="AT72" s="9" t="n">
        <v>67</v>
      </c>
      <c r="AU72" s="9" t="n">
        <v>12</v>
      </c>
      <c r="AV72" s="11" t="n">
        <f aca="false">(AR72+AS72+AT72+AU72)/4</f>
        <v>52.5</v>
      </c>
      <c r="AW72" s="9" t="n">
        <v>0</v>
      </c>
      <c r="AX72" s="9" t="n">
        <v>3</v>
      </c>
      <c r="AY72" s="9" t="n">
        <v>0</v>
      </c>
      <c r="AZ72" s="9" t="n">
        <v>0</v>
      </c>
      <c r="BA72" s="11" t="n">
        <f aca="false">(AW72+AX72+AY72+AZ72)/4</f>
        <v>0.75</v>
      </c>
      <c r="BB72" s="11" t="n">
        <f aca="false">(AW72/AR72)</f>
        <v>0</v>
      </c>
      <c r="BC72" s="11" t="n">
        <f aca="false">(AX72/AS72)</f>
        <v>0.333333333333333</v>
      </c>
      <c r="BD72" s="11" t="n">
        <f aca="false">(AY72/AT72)</f>
        <v>0</v>
      </c>
      <c r="BE72" s="11" t="n">
        <f aca="false">(AZ72/AU72)</f>
        <v>0</v>
      </c>
      <c r="BF72" s="11" t="n">
        <f aca="false">(BA72/AV72)</f>
        <v>0.0142857142857143</v>
      </c>
      <c r="BG72" s="11" t="n">
        <f aca="false">(BF72*100)</f>
        <v>1.42857142857143</v>
      </c>
      <c r="BH72" s="9" t="n">
        <v>1</v>
      </c>
      <c r="BI72" s="9" t="n">
        <v>1</v>
      </c>
      <c r="BJ72" s="9" t="n">
        <v>2</v>
      </c>
      <c r="BK72" s="9" t="n">
        <v>4</v>
      </c>
      <c r="BL72" s="9" t="n">
        <v>5</v>
      </c>
      <c r="BM72" s="11" t="n">
        <f aca="false">(BI72+BJ72+BK72+BL72)/4</f>
        <v>3</v>
      </c>
      <c r="BN72" s="11" t="n">
        <f aca="false">(BI72/AR72)</f>
        <v>0.00819672131147541</v>
      </c>
      <c r="BO72" s="11" t="n">
        <f aca="false">(BJ72/AS72)</f>
        <v>0.222222222222222</v>
      </c>
      <c r="BP72" s="11" t="n">
        <f aca="false">(BK72/AT72)</f>
        <v>0.0597014925373134</v>
      </c>
      <c r="BQ72" s="11" t="n">
        <f aca="false">(BL72/AU72)</f>
        <v>0.416666666666667</v>
      </c>
      <c r="BR72" s="11" t="n">
        <f aca="false">(BM72/AV72)</f>
        <v>0.0571428571428571</v>
      </c>
      <c r="BS72" s="11" t="n">
        <f aca="false">(100*BR72)</f>
        <v>5.71428571428571</v>
      </c>
      <c r="BT72" s="9" t="n">
        <v>1</v>
      </c>
      <c r="BU72" s="9" t="n">
        <v>0</v>
      </c>
      <c r="BV72" s="9" t="n">
        <v>0</v>
      </c>
      <c r="BW72" s="9" t="n">
        <v>0</v>
      </c>
      <c r="BX72" s="9" t="n">
        <v>0</v>
      </c>
      <c r="BY72" s="11" t="n">
        <f aca="false">(BU72+BV72+BW72+BX72)/4</f>
        <v>0</v>
      </c>
      <c r="BZ72" s="11" t="n">
        <f aca="false">(BU72/AR72)</f>
        <v>0</v>
      </c>
      <c r="CA72" s="11" t="n">
        <f aca="false">(BV72/AS72)</f>
        <v>0</v>
      </c>
      <c r="CB72" s="11" t="n">
        <f aca="false">(BW72/AT72)</f>
        <v>0</v>
      </c>
      <c r="CC72" s="11" t="n">
        <f aca="false">(BX72/AU72)</f>
        <v>0</v>
      </c>
      <c r="CD72" s="11" t="n">
        <f aca="false">(BY72/AV72)</f>
        <v>0</v>
      </c>
      <c r="CE72" s="11" t="n">
        <f aca="false">(100*CD72)</f>
        <v>0</v>
      </c>
      <c r="CF72" s="9" t="n">
        <v>0</v>
      </c>
      <c r="CG72" s="9" t="n">
        <v>7</v>
      </c>
      <c r="CH72" s="9" t="n">
        <v>2</v>
      </c>
      <c r="CI72" s="9" t="n">
        <v>3</v>
      </c>
      <c r="CJ72" s="9" t="n">
        <v>7</v>
      </c>
      <c r="CK72" s="11" t="n">
        <f aca="false">(CG72+CH72+CI72+CJ72)/4</f>
        <v>4.75</v>
      </c>
      <c r="CL72" s="11" t="n">
        <f aca="false">(CG72/AM72)</f>
        <v>0.0985915492957746</v>
      </c>
      <c r="CM72" s="11" t="n">
        <f aca="false">(CH72/AN72)</f>
        <v>0.0150375939849624</v>
      </c>
      <c r="CN72" s="11" t="n">
        <f aca="false">(CI72/AO72)</f>
        <v>0.0352941176470588</v>
      </c>
      <c r="CO72" s="9" t="n">
        <f aca="false">(CJ72/AP72)</f>
        <v>0.777777777777778</v>
      </c>
      <c r="CP72" s="9" t="n">
        <f aca="false">(CK72/AQ72)</f>
        <v>0.063758389261745</v>
      </c>
      <c r="CQ72" s="9" t="n">
        <f aca="false">(100*CP72)</f>
        <v>6.3758389261745</v>
      </c>
      <c r="CR72" s="18" t="n">
        <v>1</v>
      </c>
      <c r="CS72" s="9" t="n">
        <v>64.9</v>
      </c>
      <c r="CT72" s="9" t="n">
        <v>66.6</v>
      </c>
      <c r="CU72" s="9" t="n">
        <v>61.7</v>
      </c>
      <c r="CV72" s="9" t="n">
        <v>58.4</v>
      </c>
      <c r="CW72" s="11" t="n">
        <f aca="false">(CS72+CT72+CU72+CV72)/4</f>
        <v>62.9</v>
      </c>
      <c r="CX72" s="9" t="n">
        <v>0</v>
      </c>
      <c r="CY72" s="9" t="n">
        <v>0</v>
      </c>
      <c r="CZ72" s="9" t="n">
        <v>0</v>
      </c>
      <c r="DA72" s="9" t="n">
        <v>0</v>
      </c>
      <c r="DB72" s="11" t="n">
        <f aca="false">(CX72+CY72+CZ72+DA72)/4</f>
        <v>0</v>
      </c>
      <c r="DC72" s="9" t="n">
        <v>1</v>
      </c>
      <c r="DD72" s="9" t="n">
        <v>1</v>
      </c>
      <c r="DE72" s="9" t="n">
        <v>1</v>
      </c>
      <c r="DF72" s="9" t="n">
        <v>1</v>
      </c>
      <c r="DG72" s="11" t="n">
        <f aca="false">(DC72+DD72+DE72+DF72)/4</f>
        <v>1</v>
      </c>
      <c r="DH72" s="9" t="n">
        <v>0</v>
      </c>
      <c r="DI72" s="9" t="n">
        <v>1</v>
      </c>
      <c r="DJ72" s="9" t="n">
        <v>0</v>
      </c>
      <c r="DK72" s="9" t="n">
        <v>1</v>
      </c>
      <c r="DL72" s="11" t="n">
        <f aca="false">(DH72+DI72+DJ72+DK72)/4</f>
        <v>0.5</v>
      </c>
      <c r="DM72" s="9" t="n">
        <v>61</v>
      </c>
      <c r="DN72" s="9" t="n">
        <v>113</v>
      </c>
      <c r="DO72" s="9" t="n">
        <v>16</v>
      </c>
      <c r="DP72" s="9" t="n">
        <v>82</v>
      </c>
      <c r="DQ72" s="11" t="n">
        <f aca="false">(DM72+DN72+DO72+DP72)/4</f>
        <v>68</v>
      </c>
      <c r="DR72" s="9" t="n">
        <v>13</v>
      </c>
      <c r="DS72" s="9" t="n">
        <v>46</v>
      </c>
      <c r="DT72" s="9" t="n">
        <v>3</v>
      </c>
      <c r="DU72" s="9" t="n">
        <v>19</v>
      </c>
      <c r="DV72" s="11" t="n">
        <f aca="false">(DR72+DS72+DT72+DU72)/4</f>
        <v>20.25</v>
      </c>
      <c r="DW72" s="9" t="n">
        <v>0</v>
      </c>
      <c r="DX72" s="9" t="n">
        <v>0</v>
      </c>
      <c r="DY72" s="9" t="n">
        <v>0</v>
      </c>
      <c r="DZ72" s="9" t="n">
        <v>0</v>
      </c>
      <c r="EA72" s="11" t="n">
        <f aca="false">(DW72+DX72+DY72+DZ72)/4</f>
        <v>0</v>
      </c>
      <c r="EB72" s="11" t="n">
        <f aca="false">(DW72/DR72)</f>
        <v>0</v>
      </c>
      <c r="EC72" s="11" t="n">
        <f aca="false">(DX72/DS72)</f>
        <v>0</v>
      </c>
      <c r="ED72" s="11" t="n">
        <f aca="false">(DY72/DT72)</f>
        <v>0</v>
      </c>
      <c r="EE72" s="11" t="n">
        <f aca="false">(DZ72/DU72)</f>
        <v>0</v>
      </c>
      <c r="EF72" s="11" t="n">
        <f aca="false">(EA72/DV72)</f>
        <v>0</v>
      </c>
      <c r="EG72" s="11" t="n">
        <f aca="false">(100*EF72)</f>
        <v>0</v>
      </c>
      <c r="EH72" s="9" t="n">
        <v>0</v>
      </c>
      <c r="EI72" s="9" t="n">
        <v>4</v>
      </c>
      <c r="EJ72" s="9" t="n">
        <v>8</v>
      </c>
      <c r="EK72" s="19" t="n">
        <v>1</v>
      </c>
      <c r="EL72" s="9" t="n">
        <v>4</v>
      </c>
      <c r="EM72" s="9" t="n">
        <f aca="false">(EI72+EJ72+EK72+EL72)/4</f>
        <v>4.25</v>
      </c>
      <c r="EN72" s="9" t="n">
        <f aca="false">(EI72/DR72)</f>
        <v>0.307692307692308</v>
      </c>
      <c r="EO72" s="9" t="n">
        <f aca="false">(EJ72/DS72)</f>
        <v>0.173913043478261</v>
      </c>
      <c r="EP72" s="9" t="n">
        <f aca="false">(EK72/DT72)</f>
        <v>0.333333333333333</v>
      </c>
      <c r="EQ72" s="9" t="n">
        <f aca="false">(EL72/DU72)</f>
        <v>0.210526315789474</v>
      </c>
      <c r="ER72" s="9" t="n">
        <f aca="false">EM72/DV72</f>
        <v>0.209876543209877</v>
      </c>
      <c r="ES72" s="9" t="n">
        <f aca="false">(100*ER72)</f>
        <v>20.9876543209877</v>
      </c>
      <c r="ET72" s="9" t="n">
        <v>2</v>
      </c>
      <c r="EU72" s="18" t="n">
        <v>0</v>
      </c>
      <c r="EV72" s="9" t="n">
        <v>10</v>
      </c>
      <c r="EW72" s="9" t="n">
        <v>0</v>
      </c>
      <c r="EX72" s="9" t="n">
        <v>0</v>
      </c>
      <c r="EY72" s="11" t="n">
        <f aca="false">(EU72+EV72+EW72+EX72)/4</f>
        <v>2.5</v>
      </c>
      <c r="EZ72" s="11" t="n">
        <f aca="false">(EU72/DR72)</f>
        <v>0</v>
      </c>
      <c r="FA72" s="11" t="n">
        <f aca="false">(EV72/DS72)</f>
        <v>0.217391304347826</v>
      </c>
      <c r="FB72" s="11" t="n">
        <f aca="false">(EW72/DT72)</f>
        <v>0</v>
      </c>
      <c r="FC72" s="11" t="n">
        <f aca="false">(EX72/DU72)</f>
        <v>0</v>
      </c>
      <c r="FD72" s="11" t="n">
        <f aca="false">(EY72/DV72)</f>
        <v>0.123456790123457</v>
      </c>
      <c r="FE72" s="11" t="n">
        <f aca="false">(100*FD72)</f>
        <v>12.3456790123457</v>
      </c>
      <c r="FF72" s="9" t="n">
        <v>2</v>
      </c>
      <c r="FG72" s="9" t="n">
        <v>0</v>
      </c>
      <c r="FH72" s="9" t="n">
        <v>0</v>
      </c>
      <c r="FI72" s="9" t="n">
        <v>0</v>
      </c>
      <c r="FJ72" s="9" t="n">
        <v>2</v>
      </c>
      <c r="FK72" s="11" t="n">
        <f aca="false">(FG72+FH72+FI72+FJ72)/4</f>
        <v>0.5</v>
      </c>
      <c r="FL72" s="11" t="n">
        <f aca="false">(FG72/DR72)</f>
        <v>0</v>
      </c>
      <c r="FM72" s="11" t="n">
        <f aca="false">(FH72/DS72)</f>
        <v>0</v>
      </c>
      <c r="FN72" s="11" t="n">
        <f aca="false">(FI72/DT72)</f>
        <v>0</v>
      </c>
      <c r="FO72" s="11" t="n">
        <f aca="false">(FJ72/DU72)</f>
        <v>0.105263157894737</v>
      </c>
      <c r="FP72" s="11" t="n">
        <f aca="false">(FK72/DV72)</f>
        <v>0.0246913580246914</v>
      </c>
      <c r="FQ72" s="11" t="n">
        <f aca="false">(100*FP72)</f>
        <v>2.46913580246914</v>
      </c>
      <c r="FR72" s="9" t="n">
        <v>1</v>
      </c>
      <c r="FS72" s="9" t="n">
        <v>50.1</v>
      </c>
      <c r="FT72" s="9" t="n">
        <v>60</v>
      </c>
      <c r="FU72" s="9" t="n">
        <v>59</v>
      </c>
      <c r="FV72" s="9" t="n">
        <v>52</v>
      </c>
      <c r="FW72" s="11" t="n">
        <f aca="false">(FS72+FT72+FU72+FV72)/4</f>
        <v>55.275</v>
      </c>
      <c r="FX72" s="9" t="n">
        <v>0</v>
      </c>
      <c r="FY72" s="9" t="n">
        <v>1</v>
      </c>
      <c r="FZ72" s="9" t="n">
        <v>1</v>
      </c>
      <c r="GA72" s="9" t="n">
        <v>0</v>
      </c>
      <c r="GB72" s="11" t="n">
        <f aca="false">(FX72+FY72+FZ72+GA72)/4</f>
        <v>0.5</v>
      </c>
      <c r="GC72" s="9" t="n">
        <v>1</v>
      </c>
      <c r="GD72" s="9" t="n">
        <v>1</v>
      </c>
      <c r="GE72" s="9" t="n">
        <v>1</v>
      </c>
      <c r="GF72" s="9" t="n">
        <v>1</v>
      </c>
      <c r="GG72" s="11" t="n">
        <f aca="false">(GC72+GD72+GE72+GF72)/4</f>
        <v>1</v>
      </c>
      <c r="GH72" s="9" t="n">
        <v>0</v>
      </c>
      <c r="GI72" s="9" t="n">
        <v>1</v>
      </c>
      <c r="GJ72" s="9" t="n">
        <v>1</v>
      </c>
      <c r="GK72" s="9" t="n">
        <v>1</v>
      </c>
      <c r="GL72" s="11" t="n">
        <f aca="false">(GH72+GI72+GJ72+GK72)/4</f>
        <v>0.75</v>
      </c>
      <c r="GM72" s="9" t="n">
        <v>32</v>
      </c>
      <c r="GN72" s="9" t="n">
        <v>138</v>
      </c>
      <c r="GO72" s="9" t="n">
        <v>56</v>
      </c>
      <c r="GP72" s="9" t="n">
        <v>53</v>
      </c>
      <c r="GQ72" s="11" t="n">
        <f aca="false">(GM72+GN72+GO72+GP72)/4</f>
        <v>69.75</v>
      </c>
      <c r="GR72" s="9" t="n">
        <v>21</v>
      </c>
      <c r="GS72" s="9" t="n">
        <v>14</v>
      </c>
      <c r="GT72" s="9" t="n">
        <v>12</v>
      </c>
      <c r="GU72" s="9" t="n">
        <v>11</v>
      </c>
      <c r="GV72" s="11" t="n">
        <f aca="false">(GR72+GS72+GT72+GU72)/4</f>
        <v>14.5</v>
      </c>
      <c r="GW72" s="9" t="n">
        <v>0</v>
      </c>
      <c r="GX72" s="9" t="n">
        <v>3</v>
      </c>
      <c r="GY72" s="9" t="n">
        <v>2</v>
      </c>
      <c r="GZ72" s="9" t="n">
        <v>0</v>
      </c>
      <c r="HA72" s="11" t="n">
        <f aca="false">(GW72+GX72+GY72+GZ72)/4</f>
        <v>1.25</v>
      </c>
      <c r="HB72" s="9" t="n">
        <f aca="false">(GW72/GR72)</f>
        <v>0</v>
      </c>
      <c r="HC72" s="9" t="n">
        <f aca="false">(GX72/GS72)</f>
        <v>0.214285714285714</v>
      </c>
      <c r="HD72" s="9" t="n">
        <f aca="false">(GY72/GT72)</f>
        <v>0.166666666666667</v>
      </c>
      <c r="HE72" s="9" t="n">
        <f aca="false">(GZ72/GU72)/4</f>
        <v>0</v>
      </c>
      <c r="HF72" s="9" t="n">
        <f aca="false">(HB72+HC72+HD72+HE72)/4</f>
        <v>0.0952380952380952</v>
      </c>
      <c r="HG72" s="9" t="n">
        <f aca="false">(100*HF72)</f>
        <v>9.52380952380952</v>
      </c>
      <c r="HH72" s="18" t="n">
        <v>1</v>
      </c>
      <c r="HI72" s="9" t="n">
        <v>5</v>
      </c>
      <c r="HJ72" s="9" t="n">
        <v>2</v>
      </c>
      <c r="HK72" s="9" t="n">
        <v>6</v>
      </c>
      <c r="HL72" s="19" t="n">
        <v>2</v>
      </c>
      <c r="HM72" s="9" t="n">
        <f aca="false">(HI72+HJ72+HK72+HL72)/4</f>
        <v>3.75</v>
      </c>
      <c r="HN72" s="9" t="n">
        <f aca="false">(HI72/GR72)</f>
        <v>0.238095238095238</v>
      </c>
      <c r="HO72" s="9" t="n">
        <f aca="false">(HJ72/GS72)</f>
        <v>0.142857142857143</v>
      </c>
      <c r="HP72" s="9" t="n">
        <f aca="false">(HK72/GT72)</f>
        <v>0.5</v>
      </c>
      <c r="HQ72" s="9" t="n">
        <f aca="false">(HL72/GU72)</f>
        <v>0.181818181818182</v>
      </c>
      <c r="HR72" s="9" t="n">
        <f aca="false">(HM72/GV72)</f>
        <v>0.258620689655172</v>
      </c>
      <c r="HS72" s="9" t="n">
        <f aca="false">(100*HR72)</f>
        <v>25.8620689655172</v>
      </c>
      <c r="HT72" s="18" t="n">
        <v>2</v>
      </c>
      <c r="HU72" s="9" t="n">
        <v>0</v>
      </c>
      <c r="HV72" s="9" t="n">
        <v>3</v>
      </c>
      <c r="HW72" s="9" t="n">
        <v>1</v>
      </c>
      <c r="HX72" s="19" t="n">
        <v>6</v>
      </c>
      <c r="HY72" s="9" t="n">
        <f aca="false">(HU72+HV72+HW72+HX72)/4</f>
        <v>2.5</v>
      </c>
      <c r="HZ72" s="9" t="n">
        <f aca="false">(HU72/GR72)</f>
        <v>0</v>
      </c>
      <c r="IA72" s="9" t="n">
        <f aca="false">HV72/GS72</f>
        <v>0.214285714285714</v>
      </c>
      <c r="IB72" s="9" t="n">
        <f aca="false">(HW72/GT72)</f>
        <v>0.0833333333333333</v>
      </c>
      <c r="IC72" s="9" t="n">
        <f aca="false">(HX72/GU72)</f>
        <v>0.545454545454545</v>
      </c>
      <c r="ID72" s="9" t="n">
        <f aca="false">(HY72/GV72)</f>
        <v>0.172413793103448</v>
      </c>
      <c r="IE72" s="9" t="n">
        <f aca="false">(100*ID72)</f>
        <v>17.2413793103448</v>
      </c>
      <c r="IF72" s="18" t="n">
        <v>2</v>
      </c>
      <c r="IG72" s="9" t="n">
        <v>0</v>
      </c>
      <c r="IH72" s="9" t="n">
        <v>17</v>
      </c>
      <c r="II72" s="19" t="n">
        <v>3</v>
      </c>
      <c r="IJ72" s="9" t="n">
        <v>2</v>
      </c>
      <c r="IK72" s="9" t="n">
        <f aca="false">(IG72+IH72+II72+IJ72)/4</f>
        <v>5.5</v>
      </c>
      <c r="IL72" s="9" t="n">
        <f aca="false">(IG72/GM72)</f>
        <v>0</v>
      </c>
      <c r="IM72" s="9" t="n">
        <f aca="false">(IH72/GN72)</f>
        <v>0.123188405797101</v>
      </c>
      <c r="IN72" s="9" t="n">
        <f aca="false">(II72/GO72)</f>
        <v>0.0535714285714286</v>
      </c>
      <c r="IO72" s="9" t="n">
        <f aca="false">(IJ72/GP72)</f>
        <v>0.0377358490566038</v>
      </c>
      <c r="IP72" s="9" t="n">
        <f aca="false">(IK72/GQ72)</f>
        <v>0.0788530465949821</v>
      </c>
      <c r="IQ72" s="9" t="n">
        <f aca="false">(100*IP72)</f>
        <v>7.88530465949821</v>
      </c>
      <c r="IR72" s="18" t="n">
        <v>1</v>
      </c>
      <c r="IS72" s="9" t="n">
        <v>53.2</v>
      </c>
      <c r="IT72" s="9" t="n">
        <v>71.1</v>
      </c>
      <c r="IU72" s="19" t="n">
        <v>54.8</v>
      </c>
      <c r="IV72" s="9" t="n">
        <v>56.7</v>
      </c>
      <c r="IW72" s="9" t="n">
        <f aca="false">(IS72+IT72+IU72+IV72)/4</f>
        <v>58.95</v>
      </c>
      <c r="IX72" s="16" t="n">
        <v>45240</v>
      </c>
      <c r="IY72" s="10" t="s">
        <v>268</v>
      </c>
    </row>
    <row r="73" customFormat="false" ht="15.75" hidden="false" customHeight="true" outlineLevel="0" collapsed="false">
      <c r="A73" s="9" t="s">
        <v>299</v>
      </c>
      <c r="B73" s="10" t="s">
        <v>432</v>
      </c>
      <c r="C73" s="10" t="s">
        <v>400</v>
      </c>
      <c r="D73" s="9" t="n">
        <v>2</v>
      </c>
      <c r="E73" s="9" t="n">
        <v>24</v>
      </c>
      <c r="F73" s="10" t="s">
        <v>438</v>
      </c>
      <c r="G73" s="10" t="s">
        <v>320</v>
      </c>
      <c r="H73" s="9" t="n">
        <v>21</v>
      </c>
      <c r="I73" s="9" t="n">
        <v>20</v>
      </c>
      <c r="J73" s="10" t="s">
        <v>272</v>
      </c>
      <c r="K73" s="20"/>
      <c r="L73" s="20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 t="n">
        <v>0</v>
      </c>
      <c r="Y73" s="9" t="n">
        <v>0</v>
      </c>
      <c r="Z73" s="9" t="n">
        <v>0</v>
      </c>
      <c r="AA73" s="9" t="n">
        <v>0</v>
      </c>
      <c r="AB73" s="11" t="n">
        <f aca="false">(X73+Y73+Z73+AA73)/4</f>
        <v>0</v>
      </c>
      <c r="AC73" s="9" t="n">
        <v>1</v>
      </c>
      <c r="AD73" s="9" t="n">
        <v>1</v>
      </c>
      <c r="AE73" s="9" t="n">
        <v>1</v>
      </c>
      <c r="AF73" s="9" t="n">
        <v>1</v>
      </c>
      <c r="AG73" s="11" t="n">
        <f aca="false">(AC73+AD73+AE73+AF73)/4</f>
        <v>1</v>
      </c>
      <c r="AH73" s="9" t="n">
        <v>1</v>
      </c>
      <c r="AI73" s="9" t="n">
        <v>1</v>
      </c>
      <c r="AJ73" s="9" t="n">
        <v>1</v>
      </c>
      <c r="AK73" s="9" t="n">
        <v>1</v>
      </c>
      <c r="AL73" s="11" t="n">
        <f aca="false">(AH73+AI73+AJ73+AK73)/4</f>
        <v>1</v>
      </c>
      <c r="AM73" s="9" t="n">
        <v>22</v>
      </c>
      <c r="AN73" s="9" t="n">
        <v>85</v>
      </c>
      <c r="AO73" s="9" t="n">
        <v>87</v>
      </c>
      <c r="AP73" s="9" t="n">
        <v>18</v>
      </c>
      <c r="AQ73" s="11" t="n">
        <f aca="false">(AM73+AN73+AO73+AP73)/4</f>
        <v>53</v>
      </c>
      <c r="AR73" s="9" t="n">
        <v>25</v>
      </c>
      <c r="AS73" s="9" t="n">
        <v>14</v>
      </c>
      <c r="AT73" s="9" t="n">
        <v>27</v>
      </c>
      <c r="AU73" s="9" t="n">
        <v>27</v>
      </c>
      <c r="AV73" s="11" t="n">
        <f aca="false">(AR73+AS73+AT73+AU73)/4</f>
        <v>23.25</v>
      </c>
      <c r="AW73" s="9" t="n">
        <v>0</v>
      </c>
      <c r="AX73" s="9" t="n">
        <v>0</v>
      </c>
      <c r="AY73" s="9" t="n">
        <v>0</v>
      </c>
      <c r="AZ73" s="9" t="n">
        <v>0</v>
      </c>
      <c r="BA73" s="11" t="n">
        <f aca="false">(AW73+AX73+AY73+AZ73)/4</f>
        <v>0</v>
      </c>
      <c r="BB73" s="11" t="n">
        <f aca="false">(AW73/AR73)</f>
        <v>0</v>
      </c>
      <c r="BC73" s="11" t="n">
        <f aca="false">(AX73/AS73)</f>
        <v>0</v>
      </c>
      <c r="BD73" s="11" t="n">
        <f aca="false">(AY73/AT73)</f>
        <v>0</v>
      </c>
      <c r="BE73" s="11" t="n">
        <f aca="false">(AZ73/AU73)</f>
        <v>0</v>
      </c>
      <c r="BF73" s="11" t="n">
        <f aca="false">(BA73/AV73)</f>
        <v>0</v>
      </c>
      <c r="BG73" s="11" t="n">
        <f aca="false">(BF73*100)</f>
        <v>0</v>
      </c>
      <c r="BH73" s="9" t="n">
        <v>0</v>
      </c>
      <c r="BI73" s="9" t="n">
        <v>4</v>
      </c>
      <c r="BJ73" s="9" t="n">
        <v>4</v>
      </c>
      <c r="BK73" s="9" t="n">
        <v>2</v>
      </c>
      <c r="BL73" s="9" t="n">
        <v>3</v>
      </c>
      <c r="BM73" s="11" t="n">
        <f aca="false">(BI73+BJ73+BK73+BL73)/4</f>
        <v>3.25</v>
      </c>
      <c r="BN73" s="11" t="n">
        <f aca="false">(BI73/AR73)</f>
        <v>0.16</v>
      </c>
      <c r="BO73" s="11" t="n">
        <f aca="false">(BJ73/AS73)</f>
        <v>0.285714285714286</v>
      </c>
      <c r="BP73" s="11" t="n">
        <f aca="false">(BK73/AT73)</f>
        <v>0.0740740740740741</v>
      </c>
      <c r="BQ73" s="11" t="n">
        <f aca="false">(BL73/AU73)</f>
        <v>0.111111111111111</v>
      </c>
      <c r="BR73" s="11" t="n">
        <f aca="false">(BM73/AV73)</f>
        <v>0.139784946236559</v>
      </c>
      <c r="BS73" s="11" t="n">
        <f aca="false">(100*BR73)</f>
        <v>13.9784946236559</v>
      </c>
      <c r="BT73" s="9" t="n">
        <v>2</v>
      </c>
      <c r="BU73" s="9" t="n">
        <v>5</v>
      </c>
      <c r="BV73" s="9" t="n">
        <v>3</v>
      </c>
      <c r="BW73" s="9" t="n">
        <v>0</v>
      </c>
      <c r="BX73" s="9" t="n">
        <v>0</v>
      </c>
      <c r="BY73" s="11" t="n">
        <f aca="false">(BU73+BV73+BW73+BX73)/4</f>
        <v>2</v>
      </c>
      <c r="BZ73" s="11" t="n">
        <f aca="false">(BU73/AR73)</f>
        <v>0.2</v>
      </c>
      <c r="CA73" s="11" t="n">
        <f aca="false">(BV73/AS73)</f>
        <v>0.214285714285714</v>
      </c>
      <c r="CB73" s="11" t="n">
        <f aca="false">(BW73/AT73)</f>
        <v>0</v>
      </c>
      <c r="CC73" s="11" t="n">
        <f aca="false">(BX73/AU73)</f>
        <v>0</v>
      </c>
      <c r="CD73" s="11" t="n">
        <f aca="false">(BY73/AV73)</f>
        <v>0.0860215053763441</v>
      </c>
      <c r="CE73" s="11" t="n">
        <f aca="false">(100*CD73)</f>
        <v>8.60215053763441</v>
      </c>
      <c r="CF73" s="9" t="n">
        <v>1</v>
      </c>
      <c r="CG73" s="9" t="n">
        <v>2</v>
      </c>
      <c r="CH73" s="9" t="n">
        <v>2</v>
      </c>
      <c r="CI73" s="9" t="n">
        <v>2</v>
      </c>
      <c r="CJ73" s="9" t="n">
        <v>2</v>
      </c>
      <c r="CK73" s="11" t="n">
        <f aca="false">(CG73+CH73+CI73+CJ73)/4</f>
        <v>2</v>
      </c>
      <c r="CL73" s="11" t="n">
        <f aca="false">(CG73/AM73)</f>
        <v>0.0909090909090909</v>
      </c>
      <c r="CM73" s="11" t="n">
        <f aca="false">(CH73/AN73)</f>
        <v>0.0235294117647059</v>
      </c>
      <c r="CN73" s="11" t="n">
        <f aca="false">(CI73/AO73)</f>
        <v>0.0229885057471264</v>
      </c>
      <c r="CO73" s="9" t="n">
        <f aca="false">(CJ73/AP73)</f>
        <v>0.111111111111111</v>
      </c>
      <c r="CP73" s="9" t="n">
        <f aca="false">(CK73/AQ73)</f>
        <v>0.0377358490566038</v>
      </c>
      <c r="CQ73" s="9" t="n">
        <f aca="false">(100*CP73)</f>
        <v>3.77358490566038</v>
      </c>
      <c r="CR73" s="18" t="n">
        <v>1</v>
      </c>
      <c r="CS73" s="9" t="n">
        <v>74.2</v>
      </c>
      <c r="CT73" s="9" t="n">
        <v>74</v>
      </c>
      <c r="CU73" s="9" t="n">
        <v>65.5</v>
      </c>
      <c r="CV73" s="9" t="n">
        <v>69.7</v>
      </c>
      <c r="CW73" s="11" t="n">
        <f aca="false">(CS73+CT73+CU73+CV73)/4</f>
        <v>70.85</v>
      </c>
      <c r="CX73" s="9" t="n">
        <v>0</v>
      </c>
      <c r="CY73" s="9" t="n">
        <v>0</v>
      </c>
      <c r="CZ73" s="9" t="n">
        <v>0</v>
      </c>
      <c r="DA73" s="9" t="n">
        <v>0</v>
      </c>
      <c r="DB73" s="11" t="n">
        <f aca="false">(CX73+CY73+CZ73+DA73)/4</f>
        <v>0</v>
      </c>
      <c r="DC73" s="9" t="n">
        <v>1</v>
      </c>
      <c r="DD73" s="9" t="n">
        <v>1</v>
      </c>
      <c r="DE73" s="9" t="n">
        <v>1</v>
      </c>
      <c r="DF73" s="9" t="n">
        <v>0</v>
      </c>
      <c r="DG73" s="11" t="n">
        <f aca="false">(DC73+DD73+DE73+DF73)/4</f>
        <v>0.75</v>
      </c>
      <c r="DH73" s="9" t="n">
        <v>1</v>
      </c>
      <c r="DI73" s="9" t="n">
        <v>1</v>
      </c>
      <c r="DJ73" s="9" t="n">
        <v>1</v>
      </c>
      <c r="DK73" s="9" t="n">
        <v>1</v>
      </c>
      <c r="DL73" s="11" t="n">
        <f aca="false">(DH73+DI73+DJ73+DK73)/4</f>
        <v>1</v>
      </c>
      <c r="DM73" s="9" t="n">
        <v>186</v>
      </c>
      <c r="DN73" s="9" t="n">
        <v>93</v>
      </c>
      <c r="DO73" s="9" t="n">
        <v>46</v>
      </c>
      <c r="DP73" s="9" t="n">
        <v>17</v>
      </c>
      <c r="DQ73" s="11" t="n">
        <f aca="false">(DM73+DN73+DO73+DP73)/4</f>
        <v>85.5</v>
      </c>
      <c r="DR73" s="9" t="n">
        <v>51</v>
      </c>
      <c r="DS73" s="9" t="n">
        <v>6</v>
      </c>
      <c r="DT73" s="9" t="n">
        <v>11</v>
      </c>
      <c r="DU73" s="9" t="n">
        <v>19</v>
      </c>
      <c r="DV73" s="11" t="n">
        <f aca="false">(DR73+DS73+DT73+DU73)/4</f>
        <v>21.75</v>
      </c>
      <c r="DW73" s="9" t="n">
        <v>0</v>
      </c>
      <c r="DX73" s="9" t="n">
        <v>0</v>
      </c>
      <c r="DY73" s="9" t="n">
        <v>0</v>
      </c>
      <c r="DZ73" s="9" t="n">
        <v>0</v>
      </c>
      <c r="EA73" s="11" t="n">
        <f aca="false">(DW73+DX73+DY73+DZ73)/4</f>
        <v>0</v>
      </c>
      <c r="EB73" s="11" t="n">
        <f aca="false">(DW73/DR73)</f>
        <v>0</v>
      </c>
      <c r="EC73" s="11" t="n">
        <f aca="false">(DX73/DS73)</f>
        <v>0</v>
      </c>
      <c r="ED73" s="11" t="n">
        <f aca="false">(DY73/DT73)</f>
        <v>0</v>
      </c>
      <c r="EE73" s="11" t="n">
        <f aca="false">(DZ73/DU73)</f>
        <v>0</v>
      </c>
      <c r="EF73" s="11" t="n">
        <f aca="false">(EA73/DV73)</f>
        <v>0</v>
      </c>
      <c r="EG73" s="11" t="n">
        <f aca="false">(100*EF73)</f>
        <v>0</v>
      </c>
      <c r="EH73" s="9" t="n">
        <v>0</v>
      </c>
      <c r="EI73" s="9" t="n">
        <v>16</v>
      </c>
      <c r="EJ73" s="9" t="n">
        <v>3</v>
      </c>
      <c r="EK73" s="19" t="n">
        <v>2</v>
      </c>
      <c r="EL73" s="9" t="n">
        <v>0</v>
      </c>
      <c r="EM73" s="9" t="n">
        <f aca="false">(EI73+EJ73+EK73+EL73)/4</f>
        <v>5.25</v>
      </c>
      <c r="EN73" s="9" t="n">
        <f aca="false">(EI73/DR73)</f>
        <v>0.313725490196078</v>
      </c>
      <c r="EO73" s="9" t="n">
        <f aca="false">(EJ73/DS73)</f>
        <v>0.5</v>
      </c>
      <c r="EP73" s="9" t="n">
        <f aca="false">(EK73/DT73)</f>
        <v>0.181818181818182</v>
      </c>
      <c r="EQ73" s="9" t="n">
        <f aca="false">(EL73/DU73)</f>
        <v>0</v>
      </c>
      <c r="ER73" s="9" t="n">
        <f aca="false">EM73/DV73</f>
        <v>0.241379310344828</v>
      </c>
      <c r="ES73" s="9" t="n">
        <f aca="false">(100*ER73)</f>
        <v>24.1379310344828</v>
      </c>
      <c r="ET73" s="9" t="n">
        <v>2</v>
      </c>
      <c r="EU73" s="18" t="n">
        <v>2</v>
      </c>
      <c r="EV73" s="9" t="n">
        <v>2</v>
      </c>
      <c r="EW73" s="9" t="n">
        <v>2</v>
      </c>
      <c r="EX73" s="9" t="n">
        <v>3</v>
      </c>
      <c r="EY73" s="11" t="n">
        <f aca="false">(EU73+EV73+EW73+EX73)/4</f>
        <v>2.25</v>
      </c>
      <c r="EZ73" s="11" t="n">
        <f aca="false">(EU73/DR73)</f>
        <v>0.0392156862745098</v>
      </c>
      <c r="FA73" s="11" t="n">
        <f aca="false">(EV73/DS73)</f>
        <v>0.333333333333333</v>
      </c>
      <c r="FB73" s="11" t="n">
        <f aca="false">(EW73/DT73)</f>
        <v>0.181818181818182</v>
      </c>
      <c r="FC73" s="11" t="n">
        <f aca="false">(EX73/DU73)</f>
        <v>0.157894736842105</v>
      </c>
      <c r="FD73" s="11" t="n">
        <f aca="false">(EY73/DV73)</f>
        <v>0.103448275862069</v>
      </c>
      <c r="FE73" s="11" t="n">
        <f aca="false">(100*FD73)</f>
        <v>10.3448275862069</v>
      </c>
      <c r="FF73" s="9" t="n">
        <v>2</v>
      </c>
      <c r="FG73" s="9" t="n">
        <v>4</v>
      </c>
      <c r="FH73" s="9" t="n">
        <v>4</v>
      </c>
      <c r="FI73" s="9" t="n">
        <v>0</v>
      </c>
      <c r="FJ73" s="9" t="n">
        <v>3</v>
      </c>
      <c r="FK73" s="11" t="n">
        <f aca="false">(FG73+FH73+FI73+FJ73)/4</f>
        <v>2.75</v>
      </c>
      <c r="FL73" s="11" t="n">
        <f aca="false">(FG73/DR73)</f>
        <v>0.0784313725490196</v>
      </c>
      <c r="FM73" s="11" t="n">
        <f aca="false">(FH73/DS73)</f>
        <v>0.666666666666667</v>
      </c>
      <c r="FN73" s="11" t="n">
        <f aca="false">(FI73/DT73)</f>
        <v>0</v>
      </c>
      <c r="FO73" s="11" t="n">
        <f aca="false">(FJ73/DU73)</f>
        <v>0.157894736842105</v>
      </c>
      <c r="FP73" s="11" t="n">
        <f aca="false">(FK73/DV73)</f>
        <v>0.126436781609195</v>
      </c>
      <c r="FQ73" s="11" t="n">
        <f aca="false">(100*FP73)</f>
        <v>12.6436781609195</v>
      </c>
      <c r="FR73" s="9" t="n">
        <v>2</v>
      </c>
      <c r="FS73" s="9" t="n">
        <v>51.3</v>
      </c>
      <c r="FT73" s="9" t="n">
        <v>63.1</v>
      </c>
      <c r="FU73" s="9" t="n">
        <v>54.1</v>
      </c>
      <c r="FV73" s="9" t="n">
        <v>51.1</v>
      </c>
      <c r="FW73" s="11" t="n">
        <f aca="false">(FS73+FT73+FU73+FV73)/4</f>
        <v>54.9</v>
      </c>
      <c r="FX73" s="9" t="n">
        <v>0</v>
      </c>
      <c r="FY73" s="9" t="n">
        <v>0</v>
      </c>
      <c r="FZ73" s="9" t="n">
        <v>0</v>
      </c>
      <c r="GA73" s="9" t="n">
        <v>0</v>
      </c>
      <c r="GB73" s="11" t="n">
        <f aca="false">(FX73+FY73+FZ73+GA73)/4</f>
        <v>0</v>
      </c>
      <c r="GC73" s="9" t="n">
        <v>1</v>
      </c>
      <c r="GD73" s="9" t="n">
        <v>1</v>
      </c>
      <c r="GE73" s="9" t="n">
        <v>1</v>
      </c>
      <c r="GF73" s="9" t="n">
        <v>0</v>
      </c>
      <c r="GG73" s="11" t="n">
        <f aca="false">(GC73+GD73+GE73+GF73)/4</f>
        <v>0.75</v>
      </c>
      <c r="GH73" s="9" t="n">
        <v>1</v>
      </c>
      <c r="GI73" s="9" t="n">
        <v>1</v>
      </c>
      <c r="GJ73" s="9" t="n">
        <v>1</v>
      </c>
      <c r="GK73" s="9" t="n">
        <v>1</v>
      </c>
      <c r="GL73" s="11" t="n">
        <f aca="false">(GH73+GI73+GJ73+GK73)/4</f>
        <v>1</v>
      </c>
      <c r="GM73" s="9" t="n">
        <v>85</v>
      </c>
      <c r="GN73" s="9" t="n">
        <v>34</v>
      </c>
      <c r="GO73" s="9" t="n">
        <v>20</v>
      </c>
      <c r="GP73" s="9" t="n">
        <v>24</v>
      </c>
      <c r="GQ73" s="11" t="n">
        <f aca="false">(GM73+GN73+GO73+GP73)/4</f>
        <v>40.75</v>
      </c>
      <c r="GR73" s="9" t="n">
        <v>23</v>
      </c>
      <c r="GS73" s="9" t="n">
        <v>22</v>
      </c>
      <c r="GT73" s="9" t="n">
        <v>10</v>
      </c>
      <c r="GU73" s="9" t="n">
        <v>6</v>
      </c>
      <c r="GV73" s="11" t="n">
        <f aca="false">(GR73+GS73+GT73+GU73)/4</f>
        <v>15.25</v>
      </c>
      <c r="GW73" s="9" t="n">
        <v>0</v>
      </c>
      <c r="GX73" s="9" t="n">
        <v>0</v>
      </c>
      <c r="GY73" s="9" t="n">
        <v>0</v>
      </c>
      <c r="GZ73" s="9" t="n">
        <v>0</v>
      </c>
      <c r="HA73" s="11" t="n">
        <f aca="false">(GW73+GX73+GY73+GZ73)/4</f>
        <v>0</v>
      </c>
      <c r="HB73" s="9" t="n">
        <f aca="false">(GW73/GR73)</f>
        <v>0</v>
      </c>
      <c r="HC73" s="9" t="n">
        <f aca="false">(GX73/GS73)</f>
        <v>0</v>
      </c>
      <c r="HD73" s="9" t="n">
        <f aca="false">(GY73/GT73)</f>
        <v>0</v>
      </c>
      <c r="HE73" s="9" t="n">
        <f aca="false">(GZ73/GU73)/4</f>
        <v>0</v>
      </c>
      <c r="HF73" s="9" t="n">
        <f aca="false">(HB73+HC73+HD73+HE73)/4</f>
        <v>0</v>
      </c>
      <c r="HG73" s="9" t="n">
        <f aca="false">(100*HF73)</f>
        <v>0</v>
      </c>
      <c r="HH73" s="18" t="n">
        <v>0</v>
      </c>
      <c r="HI73" s="9" t="n">
        <v>9</v>
      </c>
      <c r="HJ73" s="9" t="n">
        <v>2</v>
      </c>
      <c r="HK73" s="9" t="n">
        <v>1</v>
      </c>
      <c r="HL73" s="19" t="n">
        <v>1</v>
      </c>
      <c r="HM73" s="9" t="n">
        <f aca="false">(HI73+HJ73+HK73+HL73)/4</f>
        <v>3.25</v>
      </c>
      <c r="HN73" s="9" t="n">
        <f aca="false">(HI73/GR73)</f>
        <v>0.391304347826087</v>
      </c>
      <c r="HO73" s="9" t="n">
        <f aca="false">(HJ73/GS73)</f>
        <v>0.0909090909090909</v>
      </c>
      <c r="HP73" s="9" t="n">
        <f aca="false">(HK73/GT73)</f>
        <v>0.1</v>
      </c>
      <c r="HQ73" s="9" t="n">
        <f aca="false">(HL73/GU73)</f>
        <v>0.166666666666667</v>
      </c>
      <c r="HR73" s="9" t="n">
        <f aca="false">(HM73/GV73)</f>
        <v>0.213114754098361</v>
      </c>
      <c r="HS73" s="9" t="n">
        <f aca="false">(100*HR73)</f>
        <v>21.3114754098361</v>
      </c>
      <c r="HT73" s="18" t="n">
        <v>2</v>
      </c>
      <c r="HU73" s="9" t="n">
        <v>0</v>
      </c>
      <c r="HV73" s="9" t="n">
        <v>7</v>
      </c>
      <c r="HW73" s="9" t="n">
        <v>3</v>
      </c>
      <c r="HX73" s="19" t="n">
        <v>0</v>
      </c>
      <c r="HY73" s="9" t="n">
        <f aca="false">(HU73+HV73+HW73+HX73)/4</f>
        <v>2.5</v>
      </c>
      <c r="HZ73" s="9" t="n">
        <f aca="false">(HU73/GR73)</f>
        <v>0</v>
      </c>
      <c r="IA73" s="9" t="n">
        <f aca="false">HV73/GS73</f>
        <v>0.318181818181818</v>
      </c>
      <c r="IB73" s="9" t="n">
        <f aca="false">(HW73/GT73)</f>
        <v>0.3</v>
      </c>
      <c r="IC73" s="9" t="n">
        <f aca="false">(HX73/GU73)</f>
        <v>0</v>
      </c>
      <c r="ID73" s="9" t="n">
        <f aca="false">(HY73/GV73)</f>
        <v>0.163934426229508</v>
      </c>
      <c r="IE73" s="9" t="n">
        <f aca="false">(100*ID73)</f>
        <v>16.3934426229508</v>
      </c>
      <c r="IF73" s="18" t="n">
        <v>2</v>
      </c>
      <c r="IG73" s="9" t="n">
        <v>7</v>
      </c>
      <c r="IH73" s="9" t="n">
        <v>22</v>
      </c>
      <c r="II73" s="19" t="n">
        <v>0</v>
      </c>
      <c r="IJ73" s="9" t="n">
        <v>2</v>
      </c>
      <c r="IK73" s="9" t="n">
        <f aca="false">(IG73+IH73+II73+IJ73)/4</f>
        <v>7.75</v>
      </c>
      <c r="IL73" s="9" t="n">
        <f aca="false">(IG73/GM73)</f>
        <v>0.0823529411764706</v>
      </c>
      <c r="IM73" s="9" t="n">
        <f aca="false">(IH73/GN73)</f>
        <v>0.647058823529412</v>
      </c>
      <c r="IN73" s="9" t="n">
        <f aca="false">(II73/GO73)</f>
        <v>0</v>
      </c>
      <c r="IO73" s="9" t="n">
        <f aca="false">(IJ73/GP73)</f>
        <v>0.0833333333333333</v>
      </c>
      <c r="IP73" s="9" t="n">
        <f aca="false">(IK73/GQ73)</f>
        <v>0.190184049079755</v>
      </c>
      <c r="IQ73" s="9" t="n">
        <f aca="false">(100*IP73)</f>
        <v>19.0184049079755</v>
      </c>
      <c r="IR73" s="18" t="n">
        <v>2</v>
      </c>
      <c r="IS73" s="9" t="n">
        <v>69.7</v>
      </c>
      <c r="IT73" s="9" t="n">
        <v>50.8</v>
      </c>
      <c r="IU73" s="19" t="n">
        <v>54.3</v>
      </c>
      <c r="IV73" s="9" t="n">
        <v>44.5</v>
      </c>
      <c r="IW73" s="9" t="n">
        <f aca="false">(IS73+IT73+IU73+IV73)/4</f>
        <v>54.825</v>
      </c>
      <c r="IX73" s="16" t="n">
        <v>45240</v>
      </c>
      <c r="IY73" s="10" t="s">
        <v>268</v>
      </c>
    </row>
    <row r="74" customFormat="false" ht="15.75" hidden="false" customHeight="true" outlineLevel="0" collapsed="false">
      <c r="A74" s="9" t="s">
        <v>299</v>
      </c>
      <c r="B74" s="10" t="s">
        <v>439</v>
      </c>
      <c r="C74" s="10" t="s">
        <v>400</v>
      </c>
      <c r="D74" s="9" t="n">
        <v>3</v>
      </c>
      <c r="E74" s="9" t="n">
        <v>25</v>
      </c>
      <c r="F74" s="10" t="s">
        <v>440</v>
      </c>
      <c r="G74" s="10" t="s">
        <v>275</v>
      </c>
      <c r="H74" s="9" t="n">
        <v>21</v>
      </c>
      <c r="I74" s="9" t="n">
        <v>5</v>
      </c>
      <c r="J74" s="12" t="s">
        <v>264</v>
      </c>
      <c r="K74" s="13" t="s">
        <v>441</v>
      </c>
      <c r="L74" s="13" t="s">
        <v>442</v>
      </c>
      <c r="M74" s="14" t="n">
        <v>1303</v>
      </c>
      <c r="N74" s="15" t="n">
        <v>45153</v>
      </c>
      <c r="O74" s="10" t="s">
        <v>294</v>
      </c>
      <c r="P74" s="9"/>
      <c r="Q74" s="9" t="n">
        <v>0.85</v>
      </c>
      <c r="R74" s="9"/>
      <c r="S74" s="9"/>
      <c r="T74" s="9"/>
      <c r="U74" s="9"/>
      <c r="V74" s="9"/>
      <c r="W74" s="9"/>
      <c r="X74" s="9"/>
      <c r="Y74" s="9"/>
      <c r="Z74" s="9"/>
      <c r="AA74" s="9"/>
      <c r="AB74" s="11" t="n">
        <f aca="false">(X74+Y74+Z74+AA74)/4</f>
        <v>0</v>
      </c>
      <c r="AC74" s="9"/>
      <c r="AD74" s="9"/>
      <c r="AE74" s="9"/>
      <c r="AF74" s="9"/>
      <c r="AG74" s="11" t="n">
        <f aca="false">(AC74+AD74+AE74+AF74)/4</f>
        <v>0</v>
      </c>
      <c r="AH74" s="9"/>
      <c r="AI74" s="9"/>
      <c r="AJ74" s="9"/>
      <c r="AK74" s="9"/>
      <c r="AL74" s="11" t="n">
        <f aca="false">(AH74+AI74+AJ74+AK74)/4</f>
        <v>0</v>
      </c>
      <c r="AM74" s="9"/>
      <c r="AN74" s="9"/>
      <c r="AO74" s="9"/>
      <c r="AP74" s="9"/>
      <c r="AQ74" s="11" t="n">
        <f aca="false">(AM74+AN74+AO74+AP74)/4</f>
        <v>0</v>
      </c>
      <c r="AR74" s="9"/>
      <c r="AS74" s="9"/>
      <c r="AT74" s="9"/>
      <c r="AU74" s="9"/>
      <c r="AV74" s="11" t="n">
        <f aca="false">(AR74+AS74+AT74+AU74)/4</f>
        <v>0</v>
      </c>
      <c r="AW74" s="9"/>
      <c r="AX74" s="9"/>
      <c r="AY74" s="9"/>
      <c r="AZ74" s="9"/>
      <c r="BA74" s="11" t="n">
        <f aca="false">(AW74+AX74+AY74+AZ74)/4</f>
        <v>0</v>
      </c>
      <c r="BB74" s="11" t="e">
        <f aca="false">(AW74/AR74)</f>
        <v>#DIV/0!</v>
      </c>
      <c r="BC74" s="11" t="e">
        <f aca="false">(AX74/AS74)</f>
        <v>#DIV/0!</v>
      </c>
      <c r="BD74" s="11" t="e">
        <f aca="false">(AY74/AT74)</f>
        <v>#DIV/0!</v>
      </c>
      <c r="BE74" s="11" t="e">
        <f aca="false">(AZ74/AU74)</f>
        <v>#DIV/0!</v>
      </c>
      <c r="BF74" s="11" t="e">
        <f aca="false">(BA74/AV74)</f>
        <v>#DIV/0!</v>
      </c>
      <c r="BG74" s="11" t="e">
        <f aca="false">(BF74*100)</f>
        <v>#DIV/0!</v>
      </c>
      <c r="BH74" s="9"/>
      <c r="BI74" s="9"/>
      <c r="BJ74" s="9"/>
      <c r="BK74" s="9"/>
      <c r="BL74" s="9"/>
      <c r="BM74" s="11" t="n">
        <f aca="false">(BI74+BJ74+BK74+BL74)/4</f>
        <v>0</v>
      </c>
      <c r="BN74" s="11" t="e">
        <f aca="false">(BI74/AR74)</f>
        <v>#DIV/0!</v>
      </c>
      <c r="BO74" s="11" t="e">
        <f aca="false">(BJ74/AS74)</f>
        <v>#DIV/0!</v>
      </c>
      <c r="BP74" s="11" t="e">
        <f aca="false">(BK74/AT74)</f>
        <v>#DIV/0!</v>
      </c>
      <c r="BQ74" s="11" t="e">
        <f aca="false">(BL74/AU74)</f>
        <v>#DIV/0!</v>
      </c>
      <c r="BR74" s="11" t="e">
        <f aca="false">(BM74/AV74)</f>
        <v>#DIV/0!</v>
      </c>
      <c r="BS74" s="11" t="e">
        <f aca="false">(100*BR74)</f>
        <v>#DIV/0!</v>
      </c>
      <c r="BT74" s="9"/>
      <c r="BU74" s="9"/>
      <c r="BV74" s="9"/>
      <c r="BW74" s="9"/>
      <c r="BX74" s="9"/>
      <c r="BY74" s="11" t="n">
        <f aca="false">(BU74+BV74+BW74+BX74)/4</f>
        <v>0</v>
      </c>
      <c r="BZ74" s="11" t="e">
        <f aca="false">(BU74/AR74)</f>
        <v>#DIV/0!</v>
      </c>
      <c r="CA74" s="11" t="e">
        <f aca="false">(BV74/AS74)</f>
        <v>#DIV/0!</v>
      </c>
      <c r="CB74" s="11" t="e">
        <f aca="false">(BW74/AT74)</f>
        <v>#DIV/0!</v>
      </c>
      <c r="CC74" s="11" t="e">
        <f aca="false">(BX74/AU74)</f>
        <v>#DIV/0!</v>
      </c>
      <c r="CD74" s="11" t="e">
        <f aca="false">(BY74/AV74)</f>
        <v>#DIV/0!</v>
      </c>
      <c r="CE74" s="11" t="e">
        <f aca="false">(100*CD74)</f>
        <v>#DIV/0!</v>
      </c>
      <c r="CF74" s="9"/>
      <c r="CG74" s="9"/>
      <c r="CH74" s="9"/>
      <c r="CI74" s="9"/>
      <c r="CJ74" s="9"/>
      <c r="CK74" s="11" t="n">
        <f aca="false">(CG74+CH74+CI74+CJ74)/4</f>
        <v>0</v>
      </c>
      <c r="CL74" s="11" t="e">
        <f aca="false">(CG74/AM74)</f>
        <v>#DIV/0!</v>
      </c>
      <c r="CM74" s="11" t="e">
        <f aca="false">(CH74/AN74)</f>
        <v>#DIV/0!</v>
      </c>
      <c r="CN74" s="11" t="e">
        <f aca="false">(CI74/AO74)</f>
        <v>#DIV/0!</v>
      </c>
      <c r="CO74" s="9" t="e">
        <f aca="false">(CJ74/AP74)</f>
        <v>#DIV/0!</v>
      </c>
      <c r="CP74" s="9" t="e">
        <f aca="false">(CK74/AQ74)</f>
        <v>#DIV/0!</v>
      </c>
      <c r="CQ74" s="9" t="e">
        <f aca="false">(100*CP74)</f>
        <v>#DIV/0!</v>
      </c>
      <c r="CR74" s="18"/>
      <c r="CS74" s="9"/>
      <c r="CT74" s="9"/>
      <c r="CU74" s="9"/>
      <c r="CV74" s="9"/>
      <c r="CW74" s="11" t="n">
        <f aca="false">(CS74+CT74+CU74+CV74)/4</f>
        <v>0</v>
      </c>
      <c r="CX74" s="9"/>
      <c r="CY74" s="9"/>
      <c r="CZ74" s="9"/>
      <c r="DA74" s="9"/>
      <c r="DB74" s="11" t="n">
        <f aca="false">(CX74+CY74+CZ74+DA74)/4</f>
        <v>0</v>
      </c>
      <c r="DC74" s="9"/>
      <c r="DD74" s="9"/>
      <c r="DE74" s="9"/>
      <c r="DF74" s="9"/>
      <c r="DG74" s="11" t="n">
        <f aca="false">(DC74+DD74+DE74+DF74)/4</f>
        <v>0</v>
      </c>
      <c r="DH74" s="9"/>
      <c r="DI74" s="9"/>
      <c r="DJ74" s="9"/>
      <c r="DK74" s="9"/>
      <c r="DL74" s="11" t="n">
        <f aca="false">(DH74+DI74+DJ74+DK74)/4</f>
        <v>0</v>
      </c>
      <c r="DM74" s="9"/>
      <c r="DN74" s="9"/>
      <c r="DO74" s="9"/>
      <c r="DP74" s="9"/>
      <c r="DQ74" s="11" t="n">
        <f aca="false">(DM74+DN74+DO74+DP74)/4</f>
        <v>0</v>
      </c>
      <c r="DR74" s="9"/>
      <c r="DS74" s="9"/>
      <c r="DT74" s="9"/>
      <c r="DU74" s="9"/>
      <c r="DV74" s="11" t="n">
        <f aca="false">(DR74+DS74+DT74+DU74)/4</f>
        <v>0</v>
      </c>
      <c r="DW74" s="9"/>
      <c r="DX74" s="9"/>
      <c r="DY74" s="9"/>
      <c r="DZ74" s="9"/>
      <c r="EA74" s="11" t="n">
        <f aca="false">(DW74+DX74+DY74+DZ74)/4</f>
        <v>0</v>
      </c>
      <c r="EB74" s="11" t="e">
        <f aca="false">(DW74/DR74)</f>
        <v>#DIV/0!</v>
      </c>
      <c r="EC74" s="11" t="e">
        <f aca="false">(DX74/DS74)</f>
        <v>#DIV/0!</v>
      </c>
      <c r="ED74" s="11" t="e">
        <f aca="false">(DY74/DT74)</f>
        <v>#DIV/0!</v>
      </c>
      <c r="EE74" s="11" t="e">
        <f aca="false">(DZ74/DU74)</f>
        <v>#DIV/0!</v>
      </c>
      <c r="EF74" s="11" t="e">
        <f aca="false">(EA74/DV74)</f>
        <v>#DIV/0!</v>
      </c>
      <c r="EG74" s="11" t="e">
        <f aca="false">(100*EF74)</f>
        <v>#DIV/0!</v>
      </c>
      <c r="EH74" s="9"/>
      <c r="EI74" s="9"/>
      <c r="EJ74" s="9"/>
      <c r="EK74" s="19"/>
      <c r="EL74" s="9"/>
      <c r="EM74" s="9" t="n">
        <f aca="false">(EI74+EJ74+EK74+EL74)/4</f>
        <v>0</v>
      </c>
      <c r="EN74" s="9" t="e">
        <f aca="false">(EI74/DR74)</f>
        <v>#DIV/0!</v>
      </c>
      <c r="EO74" s="9" t="e">
        <f aca="false">(EJ74/DS74)</f>
        <v>#DIV/0!</v>
      </c>
      <c r="EP74" s="9" t="e">
        <f aca="false">(EK74/DT74)</f>
        <v>#DIV/0!</v>
      </c>
      <c r="EQ74" s="9" t="e">
        <f aca="false">(EL74/DU74)</f>
        <v>#DIV/0!</v>
      </c>
      <c r="ER74" s="9" t="e">
        <f aca="false">EM74/DV74</f>
        <v>#DIV/0!</v>
      </c>
      <c r="ES74" s="9" t="e">
        <f aca="false">(100*ER74)</f>
        <v>#DIV/0!</v>
      </c>
      <c r="ET74" s="9"/>
      <c r="EU74" s="18"/>
      <c r="EV74" s="9"/>
      <c r="EW74" s="9"/>
      <c r="EX74" s="9"/>
      <c r="EY74" s="11" t="n">
        <f aca="false">(EU74+EV74+EW74+EX74)/4</f>
        <v>0</v>
      </c>
      <c r="EZ74" s="11" t="e">
        <f aca="false">(EU74/DR74)</f>
        <v>#DIV/0!</v>
      </c>
      <c r="FA74" s="11" t="e">
        <f aca="false">(EV74/DS74)</f>
        <v>#DIV/0!</v>
      </c>
      <c r="FB74" s="11" t="e">
        <f aca="false">(EW74/DT74)</f>
        <v>#DIV/0!</v>
      </c>
      <c r="FC74" s="11" t="e">
        <f aca="false">(EX74/DU74)</f>
        <v>#DIV/0!</v>
      </c>
      <c r="FD74" s="11" t="e">
        <f aca="false">(EY74/DV74)</f>
        <v>#DIV/0!</v>
      </c>
      <c r="FE74" s="11" t="e">
        <f aca="false">(100*FD74)</f>
        <v>#DIV/0!</v>
      </c>
      <c r="FF74" s="9"/>
      <c r="FG74" s="9"/>
      <c r="FH74" s="9"/>
      <c r="FI74" s="9"/>
      <c r="FJ74" s="9"/>
      <c r="FK74" s="11" t="n">
        <f aca="false">(FG74+FH74+FI74+FJ74)/4</f>
        <v>0</v>
      </c>
      <c r="FL74" s="11" t="e">
        <f aca="false">(FG74/DR74)</f>
        <v>#DIV/0!</v>
      </c>
      <c r="FM74" s="11" t="e">
        <f aca="false">(FH74/DS74)</f>
        <v>#DIV/0!</v>
      </c>
      <c r="FN74" s="11" t="e">
        <f aca="false">(FI74/DT74)</f>
        <v>#DIV/0!</v>
      </c>
      <c r="FO74" s="11" t="e">
        <f aca="false">(FJ74/DU74)</f>
        <v>#DIV/0!</v>
      </c>
      <c r="FP74" s="11" t="e">
        <f aca="false">(FK74/DV74)</f>
        <v>#DIV/0!</v>
      </c>
      <c r="FQ74" s="11" t="e">
        <f aca="false">(100*FP74)</f>
        <v>#DIV/0!</v>
      </c>
      <c r="FR74" s="9"/>
      <c r="FS74" s="9"/>
      <c r="FT74" s="9"/>
      <c r="FU74" s="9"/>
      <c r="FV74" s="9"/>
      <c r="FW74" s="11" t="n">
        <f aca="false">(FS74+FT74+FU74+FV74)/4</f>
        <v>0</v>
      </c>
      <c r="FX74" s="9"/>
      <c r="FY74" s="9"/>
      <c r="FZ74" s="9"/>
      <c r="GA74" s="9"/>
      <c r="GB74" s="11" t="n">
        <f aca="false">(FX74+FY74+FZ74+GA74)/4</f>
        <v>0</v>
      </c>
      <c r="GC74" s="9"/>
      <c r="GD74" s="9"/>
      <c r="GE74" s="9"/>
      <c r="GF74" s="9"/>
      <c r="GG74" s="11" t="n">
        <f aca="false">(GC74+GD74+GE74+GF74)/4</f>
        <v>0</v>
      </c>
      <c r="GH74" s="9"/>
      <c r="GI74" s="9"/>
      <c r="GJ74" s="9"/>
      <c r="GK74" s="9"/>
      <c r="GL74" s="11" t="n">
        <f aca="false">(GH74+GI74+GJ74+GK74)/4</f>
        <v>0</v>
      </c>
      <c r="GM74" s="9"/>
      <c r="GN74" s="9"/>
      <c r="GO74" s="9"/>
      <c r="GP74" s="9"/>
      <c r="GQ74" s="11" t="n">
        <f aca="false">(GM74+GN74+GO74+GP74)/4</f>
        <v>0</v>
      </c>
      <c r="GR74" s="9"/>
      <c r="GS74" s="9"/>
      <c r="GT74" s="9"/>
      <c r="GU74" s="9"/>
      <c r="GV74" s="11" t="n">
        <f aca="false">(GR74+GS74+GT74+GU74)/4</f>
        <v>0</v>
      </c>
      <c r="GW74" s="9"/>
      <c r="GX74" s="9"/>
      <c r="GY74" s="9"/>
      <c r="GZ74" s="9"/>
      <c r="HA74" s="11" t="n">
        <f aca="false">(GW74+GX74+GY74+GZ74)/4</f>
        <v>0</v>
      </c>
      <c r="HB74" s="9" t="e">
        <f aca="false">(GW74/GR74)</f>
        <v>#DIV/0!</v>
      </c>
      <c r="HC74" s="9" t="e">
        <f aca="false">(GX74/GS74)</f>
        <v>#DIV/0!</v>
      </c>
      <c r="HD74" s="9" t="e">
        <f aca="false">(GY74/GT74)</f>
        <v>#DIV/0!</v>
      </c>
      <c r="HE74" s="9" t="e">
        <f aca="false">(GZ74/GU74)/4</f>
        <v>#DIV/0!</v>
      </c>
      <c r="HF74" s="9" t="e">
        <f aca="false">(HB74+HC74+HD74+HE74)/4</f>
        <v>#DIV/0!</v>
      </c>
      <c r="HG74" s="9" t="e">
        <f aca="false">(100*HF74)</f>
        <v>#DIV/0!</v>
      </c>
      <c r="HH74" s="18"/>
      <c r="HI74" s="9"/>
      <c r="HJ74" s="9"/>
      <c r="HK74" s="9"/>
      <c r="HL74" s="19"/>
      <c r="HM74" s="9" t="n">
        <f aca="false">(HI74+HJ74+HK74+HL74)/4</f>
        <v>0</v>
      </c>
      <c r="HN74" s="9" t="e">
        <f aca="false">(HI74/GR74)</f>
        <v>#DIV/0!</v>
      </c>
      <c r="HO74" s="9" t="e">
        <f aca="false">(HJ74/GS74)</f>
        <v>#DIV/0!</v>
      </c>
      <c r="HP74" s="9" t="e">
        <f aca="false">(HK74/GT74)</f>
        <v>#DIV/0!</v>
      </c>
      <c r="HQ74" s="9" t="e">
        <f aca="false">(HL74/GU74)</f>
        <v>#DIV/0!</v>
      </c>
      <c r="HR74" s="9" t="e">
        <f aca="false">(HM74/GV74)</f>
        <v>#DIV/0!</v>
      </c>
      <c r="HS74" s="9" t="e">
        <f aca="false">(100*HR74)</f>
        <v>#DIV/0!</v>
      </c>
      <c r="HT74" s="18"/>
      <c r="HU74" s="9"/>
      <c r="HV74" s="9"/>
      <c r="HW74" s="9"/>
      <c r="HX74" s="19"/>
      <c r="HY74" s="9" t="n">
        <f aca="false">(HU74+HV74+HW74+HX74)/4</f>
        <v>0</v>
      </c>
      <c r="HZ74" s="9" t="e">
        <f aca="false">(HU74/GR74)</f>
        <v>#DIV/0!</v>
      </c>
      <c r="IA74" s="9" t="e">
        <f aca="false">HV74/GS74</f>
        <v>#DIV/0!</v>
      </c>
      <c r="IB74" s="9" t="e">
        <f aca="false">(HW74/GT74)</f>
        <v>#DIV/0!</v>
      </c>
      <c r="IC74" s="9" t="e">
        <f aca="false">(HX74/GU74)</f>
        <v>#DIV/0!</v>
      </c>
      <c r="ID74" s="9" t="e">
        <f aca="false">(HY74/GV74)</f>
        <v>#DIV/0!</v>
      </c>
      <c r="IE74" s="9" t="e">
        <f aca="false">(100*ID74)</f>
        <v>#DIV/0!</v>
      </c>
      <c r="IF74" s="18"/>
      <c r="IG74" s="9"/>
      <c r="IH74" s="9"/>
      <c r="II74" s="19"/>
      <c r="IJ74" s="9"/>
      <c r="IK74" s="9" t="n">
        <f aca="false">(IG74+IH74+II74+IJ74)/4</f>
        <v>0</v>
      </c>
      <c r="IL74" s="9" t="e">
        <f aca="false">(IG74/GM74)</f>
        <v>#DIV/0!</v>
      </c>
      <c r="IM74" s="9" t="e">
        <f aca="false">(IH74/GN74)</f>
        <v>#DIV/0!</v>
      </c>
      <c r="IN74" s="9" t="e">
        <f aca="false">(II74/GO74)</f>
        <v>#DIV/0!</v>
      </c>
      <c r="IO74" s="9" t="e">
        <f aca="false">(IJ74/GP74)</f>
        <v>#DIV/0!</v>
      </c>
      <c r="IP74" s="9" t="e">
        <f aca="false">(IK74/GQ74)</f>
        <v>#DIV/0!</v>
      </c>
      <c r="IQ74" s="9" t="e">
        <f aca="false">(100*IP74)</f>
        <v>#DIV/0!</v>
      </c>
      <c r="IR74" s="18"/>
      <c r="IS74" s="9"/>
      <c r="IT74" s="9"/>
      <c r="IU74" s="19"/>
      <c r="IV74" s="9"/>
      <c r="IW74" s="9" t="n">
        <f aca="false">(IS74+IT74+IU74+IV74)/4</f>
        <v>0</v>
      </c>
      <c r="IX74" s="9"/>
      <c r="IY74" s="9"/>
    </row>
    <row r="75" customFormat="false" ht="15.75" hidden="false" customHeight="true" outlineLevel="0" collapsed="false">
      <c r="A75" s="9" t="s">
        <v>299</v>
      </c>
      <c r="B75" s="10" t="s">
        <v>439</v>
      </c>
      <c r="C75" s="10" t="s">
        <v>400</v>
      </c>
      <c r="D75" s="9" t="n">
        <v>3</v>
      </c>
      <c r="E75" s="9" t="n">
        <v>25</v>
      </c>
      <c r="F75" s="10" t="s">
        <v>443</v>
      </c>
      <c r="G75" s="10" t="s">
        <v>320</v>
      </c>
      <c r="H75" s="9" t="n">
        <v>21</v>
      </c>
      <c r="I75" s="9" t="n">
        <v>10</v>
      </c>
      <c r="J75" s="12" t="s">
        <v>270</v>
      </c>
      <c r="K75" s="20"/>
      <c r="L75" s="20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11" t="n">
        <f aca="false">(X75+Y75+Z75+AA75)/4</f>
        <v>0</v>
      </c>
      <c r="AC75" s="9"/>
      <c r="AD75" s="9"/>
      <c r="AE75" s="9"/>
      <c r="AF75" s="9"/>
      <c r="AG75" s="11" t="n">
        <f aca="false">(AC75+AD75+AE75+AF75)/4</f>
        <v>0</v>
      </c>
      <c r="AH75" s="9"/>
      <c r="AI75" s="9"/>
      <c r="AJ75" s="9"/>
      <c r="AK75" s="9"/>
      <c r="AL75" s="11" t="n">
        <f aca="false">(AH75+AI75+AJ75+AK75)/4</f>
        <v>0</v>
      </c>
      <c r="AM75" s="9"/>
      <c r="AN75" s="9"/>
      <c r="AO75" s="9"/>
      <c r="AP75" s="9"/>
      <c r="AQ75" s="11" t="n">
        <f aca="false">(AM75+AN75+AO75+AP75)/4</f>
        <v>0</v>
      </c>
      <c r="AR75" s="9"/>
      <c r="AS75" s="9"/>
      <c r="AT75" s="9"/>
      <c r="AU75" s="9"/>
      <c r="AV75" s="11" t="n">
        <f aca="false">(AR75+AS75+AT75+AU75)/4</f>
        <v>0</v>
      </c>
      <c r="AW75" s="9"/>
      <c r="AX75" s="9"/>
      <c r="AY75" s="9"/>
      <c r="AZ75" s="9"/>
      <c r="BA75" s="11" t="n">
        <f aca="false">(AW75+AX75+AY75+AZ75)/4</f>
        <v>0</v>
      </c>
      <c r="BB75" s="11" t="e">
        <f aca="false">(AW75/AR75)</f>
        <v>#DIV/0!</v>
      </c>
      <c r="BC75" s="11" t="e">
        <f aca="false">(AX75/AS75)</f>
        <v>#DIV/0!</v>
      </c>
      <c r="BD75" s="11" t="e">
        <f aca="false">(AY75/AT75)</f>
        <v>#DIV/0!</v>
      </c>
      <c r="BE75" s="11" t="e">
        <f aca="false">(AZ75/AU75)</f>
        <v>#DIV/0!</v>
      </c>
      <c r="BF75" s="11" t="e">
        <f aca="false">(BA75/AV75)</f>
        <v>#DIV/0!</v>
      </c>
      <c r="BG75" s="11" t="e">
        <f aca="false">(BF75*100)</f>
        <v>#DIV/0!</v>
      </c>
      <c r="BH75" s="9"/>
      <c r="BI75" s="9"/>
      <c r="BJ75" s="9"/>
      <c r="BK75" s="9"/>
      <c r="BL75" s="9"/>
      <c r="BM75" s="11" t="n">
        <f aca="false">(BI75+BJ75+BK75+BL75)/4</f>
        <v>0</v>
      </c>
      <c r="BN75" s="11" t="e">
        <f aca="false">(BI75/AR75)</f>
        <v>#DIV/0!</v>
      </c>
      <c r="BO75" s="11" t="e">
        <f aca="false">(BJ75/AS75)</f>
        <v>#DIV/0!</v>
      </c>
      <c r="BP75" s="11" t="e">
        <f aca="false">(BK75/AT75)</f>
        <v>#DIV/0!</v>
      </c>
      <c r="BQ75" s="11" t="e">
        <f aca="false">(BL75/AU75)</f>
        <v>#DIV/0!</v>
      </c>
      <c r="BR75" s="11" t="e">
        <f aca="false">(BM75/AV75)</f>
        <v>#DIV/0!</v>
      </c>
      <c r="BS75" s="11" t="e">
        <f aca="false">(100*BR75)</f>
        <v>#DIV/0!</v>
      </c>
      <c r="BT75" s="9"/>
      <c r="BU75" s="9"/>
      <c r="BV75" s="9"/>
      <c r="BW75" s="9"/>
      <c r="BX75" s="9"/>
      <c r="BY75" s="11" t="n">
        <f aca="false">(BU75+BV75+BW75+BX75)/4</f>
        <v>0</v>
      </c>
      <c r="BZ75" s="11" t="e">
        <f aca="false">(BU75/AR75)</f>
        <v>#DIV/0!</v>
      </c>
      <c r="CA75" s="11" t="e">
        <f aca="false">(BV75/AS75)</f>
        <v>#DIV/0!</v>
      </c>
      <c r="CB75" s="11" t="e">
        <f aca="false">(BW75/AT75)</f>
        <v>#DIV/0!</v>
      </c>
      <c r="CC75" s="11" t="e">
        <f aca="false">(BX75/AU75)</f>
        <v>#DIV/0!</v>
      </c>
      <c r="CD75" s="11" t="e">
        <f aca="false">(BY75/AV75)</f>
        <v>#DIV/0!</v>
      </c>
      <c r="CE75" s="11" t="e">
        <f aca="false">(100*CD75)</f>
        <v>#DIV/0!</v>
      </c>
      <c r="CF75" s="9"/>
      <c r="CG75" s="9"/>
      <c r="CH75" s="9"/>
      <c r="CI75" s="9"/>
      <c r="CJ75" s="9"/>
      <c r="CK75" s="11" t="n">
        <f aca="false">(CG75+CH75+CI75+CJ75)/4</f>
        <v>0</v>
      </c>
      <c r="CL75" s="11" t="e">
        <f aca="false">(CG75/AM75)</f>
        <v>#DIV/0!</v>
      </c>
      <c r="CM75" s="11" t="e">
        <f aca="false">(CH75/AN75)</f>
        <v>#DIV/0!</v>
      </c>
      <c r="CN75" s="11" t="e">
        <f aca="false">(CI75/AO75)</f>
        <v>#DIV/0!</v>
      </c>
      <c r="CO75" s="9" t="e">
        <f aca="false">(CJ75/AP75)</f>
        <v>#DIV/0!</v>
      </c>
      <c r="CP75" s="9" t="e">
        <f aca="false">(CK75/AQ75)</f>
        <v>#DIV/0!</v>
      </c>
      <c r="CQ75" s="9" t="e">
        <f aca="false">(100*CP75)</f>
        <v>#DIV/0!</v>
      </c>
      <c r="CR75" s="18"/>
      <c r="CS75" s="9"/>
      <c r="CT75" s="9"/>
      <c r="CU75" s="9"/>
      <c r="CV75" s="9"/>
      <c r="CW75" s="11" t="n">
        <f aca="false">(CS75+CT75+CU75+CV75)/4</f>
        <v>0</v>
      </c>
      <c r="CX75" s="9"/>
      <c r="CY75" s="9"/>
      <c r="CZ75" s="9"/>
      <c r="DA75" s="9"/>
      <c r="DB75" s="11" t="n">
        <f aca="false">(CX75+CY75+CZ75+DA75)/4</f>
        <v>0</v>
      </c>
      <c r="DC75" s="9"/>
      <c r="DD75" s="9"/>
      <c r="DE75" s="9"/>
      <c r="DF75" s="9"/>
      <c r="DG75" s="11" t="n">
        <f aca="false">(DC75+DD75+DE75+DF75)/4</f>
        <v>0</v>
      </c>
      <c r="DH75" s="9"/>
      <c r="DI75" s="9"/>
      <c r="DJ75" s="9"/>
      <c r="DK75" s="9"/>
      <c r="DL75" s="11" t="n">
        <f aca="false">(DH75+DI75+DJ75+DK75)/4</f>
        <v>0</v>
      </c>
      <c r="DM75" s="9"/>
      <c r="DN75" s="9"/>
      <c r="DO75" s="9"/>
      <c r="DP75" s="9"/>
      <c r="DQ75" s="11" t="n">
        <f aca="false">(DM75+DN75+DO75+DP75)/4</f>
        <v>0</v>
      </c>
      <c r="DR75" s="9"/>
      <c r="DS75" s="9"/>
      <c r="DT75" s="9"/>
      <c r="DU75" s="9"/>
      <c r="DV75" s="11" t="n">
        <f aca="false">(DR75+DS75+DT75+DU75)/4</f>
        <v>0</v>
      </c>
      <c r="DW75" s="9"/>
      <c r="DX75" s="9"/>
      <c r="DY75" s="9"/>
      <c r="DZ75" s="9"/>
      <c r="EA75" s="11" t="n">
        <f aca="false">(DW75+DX75+DY75+DZ75)/4</f>
        <v>0</v>
      </c>
      <c r="EB75" s="11" t="e">
        <f aca="false">(DW75/DR75)</f>
        <v>#DIV/0!</v>
      </c>
      <c r="EC75" s="11" t="e">
        <f aca="false">(DX75/DS75)</f>
        <v>#DIV/0!</v>
      </c>
      <c r="ED75" s="11" t="e">
        <f aca="false">(DY75/DT75)</f>
        <v>#DIV/0!</v>
      </c>
      <c r="EE75" s="11" t="e">
        <f aca="false">(DZ75/DU75)</f>
        <v>#DIV/0!</v>
      </c>
      <c r="EF75" s="11" t="e">
        <f aca="false">(EA75/DV75)</f>
        <v>#DIV/0!</v>
      </c>
      <c r="EG75" s="11" t="e">
        <f aca="false">(100*EF75)</f>
        <v>#DIV/0!</v>
      </c>
      <c r="EH75" s="9"/>
      <c r="EI75" s="9"/>
      <c r="EJ75" s="9"/>
      <c r="EK75" s="19"/>
      <c r="EL75" s="9"/>
      <c r="EM75" s="9" t="n">
        <f aca="false">(EI75+EJ75+EK75+EL75)/4</f>
        <v>0</v>
      </c>
      <c r="EN75" s="9" t="e">
        <f aca="false">(EI75/DR75)</f>
        <v>#DIV/0!</v>
      </c>
      <c r="EO75" s="9" t="e">
        <f aca="false">(EJ75/DS75)</f>
        <v>#DIV/0!</v>
      </c>
      <c r="EP75" s="9" t="e">
        <f aca="false">(EK75/DT75)</f>
        <v>#DIV/0!</v>
      </c>
      <c r="EQ75" s="9" t="e">
        <f aca="false">(EL75/DU75)</f>
        <v>#DIV/0!</v>
      </c>
      <c r="ER75" s="9" t="e">
        <f aca="false">EM75/DV75</f>
        <v>#DIV/0!</v>
      </c>
      <c r="ES75" s="9" t="e">
        <f aca="false">(100*ER75)</f>
        <v>#DIV/0!</v>
      </c>
      <c r="ET75" s="9"/>
      <c r="EU75" s="18"/>
      <c r="EV75" s="9"/>
      <c r="EW75" s="9"/>
      <c r="EX75" s="9"/>
      <c r="EY75" s="11" t="n">
        <f aca="false">(EU75+EV75+EW75+EX75)/4</f>
        <v>0</v>
      </c>
      <c r="EZ75" s="11" t="e">
        <f aca="false">(EU75/DR75)</f>
        <v>#DIV/0!</v>
      </c>
      <c r="FA75" s="11" t="e">
        <f aca="false">(EV75/DS75)</f>
        <v>#DIV/0!</v>
      </c>
      <c r="FB75" s="11" t="e">
        <f aca="false">(EW75/DT75)</f>
        <v>#DIV/0!</v>
      </c>
      <c r="FC75" s="11" t="e">
        <f aca="false">(EX75/DU75)</f>
        <v>#DIV/0!</v>
      </c>
      <c r="FD75" s="11" t="e">
        <f aca="false">(EY75/DV75)</f>
        <v>#DIV/0!</v>
      </c>
      <c r="FE75" s="11" t="e">
        <f aca="false">(100*FD75)</f>
        <v>#DIV/0!</v>
      </c>
      <c r="FF75" s="9"/>
      <c r="FG75" s="9"/>
      <c r="FH75" s="9"/>
      <c r="FI75" s="9"/>
      <c r="FJ75" s="9"/>
      <c r="FK75" s="11" t="n">
        <f aca="false">(FG75+FH75+FI75+FJ75)/4</f>
        <v>0</v>
      </c>
      <c r="FL75" s="11" t="e">
        <f aca="false">(FG75/DR75)</f>
        <v>#DIV/0!</v>
      </c>
      <c r="FM75" s="11" t="e">
        <f aca="false">(FH75/DS75)</f>
        <v>#DIV/0!</v>
      </c>
      <c r="FN75" s="11" t="e">
        <f aca="false">(FI75/DT75)</f>
        <v>#DIV/0!</v>
      </c>
      <c r="FO75" s="11" t="e">
        <f aca="false">(FJ75/DU75)</f>
        <v>#DIV/0!</v>
      </c>
      <c r="FP75" s="11" t="e">
        <f aca="false">(FK75/DV75)</f>
        <v>#DIV/0!</v>
      </c>
      <c r="FQ75" s="11" t="e">
        <f aca="false">(100*FP75)</f>
        <v>#DIV/0!</v>
      </c>
      <c r="FR75" s="9"/>
      <c r="FS75" s="9"/>
      <c r="FT75" s="9"/>
      <c r="FU75" s="9"/>
      <c r="FV75" s="9"/>
      <c r="FW75" s="11" t="n">
        <f aca="false">(FS75+FT75+FU75+FV75)/4</f>
        <v>0</v>
      </c>
      <c r="FX75" s="9"/>
      <c r="FY75" s="9"/>
      <c r="FZ75" s="9"/>
      <c r="GA75" s="9"/>
      <c r="GB75" s="11" t="n">
        <f aca="false">(FX75+FY75+FZ75+GA75)/4</f>
        <v>0</v>
      </c>
      <c r="GC75" s="9"/>
      <c r="GD75" s="9"/>
      <c r="GE75" s="9"/>
      <c r="GF75" s="9"/>
      <c r="GG75" s="11" t="n">
        <f aca="false">(GC75+GD75+GE75+GF75)/4</f>
        <v>0</v>
      </c>
      <c r="GH75" s="9"/>
      <c r="GI75" s="9"/>
      <c r="GJ75" s="9"/>
      <c r="GK75" s="9"/>
      <c r="GL75" s="11" t="n">
        <f aca="false">(GH75+GI75+GJ75+GK75)/4</f>
        <v>0</v>
      </c>
      <c r="GM75" s="9"/>
      <c r="GN75" s="9"/>
      <c r="GO75" s="9"/>
      <c r="GP75" s="9"/>
      <c r="GQ75" s="11" t="n">
        <f aca="false">(GM75+GN75+GO75+GP75)/4</f>
        <v>0</v>
      </c>
      <c r="GR75" s="9"/>
      <c r="GS75" s="9"/>
      <c r="GT75" s="9"/>
      <c r="GU75" s="9"/>
      <c r="GV75" s="11" t="n">
        <f aca="false">(GR75+GS75+GT75+GU75)/4</f>
        <v>0</v>
      </c>
      <c r="GW75" s="9"/>
      <c r="GX75" s="9"/>
      <c r="GY75" s="9"/>
      <c r="GZ75" s="9"/>
      <c r="HA75" s="11" t="n">
        <f aca="false">(GW75+GX75+GY75+GZ75)/4</f>
        <v>0</v>
      </c>
      <c r="HB75" s="9" t="e">
        <f aca="false">(GW75/GR75)</f>
        <v>#DIV/0!</v>
      </c>
      <c r="HC75" s="9" t="e">
        <f aca="false">(GX75/GS75)</f>
        <v>#DIV/0!</v>
      </c>
      <c r="HD75" s="9" t="e">
        <f aca="false">(GY75/GT75)</f>
        <v>#DIV/0!</v>
      </c>
      <c r="HE75" s="9" t="e">
        <f aca="false">(GZ75/GU75)/4</f>
        <v>#DIV/0!</v>
      </c>
      <c r="HF75" s="9" t="e">
        <f aca="false">(HB75+HC75+HD75+HE75)/4</f>
        <v>#DIV/0!</v>
      </c>
      <c r="HG75" s="9" t="e">
        <f aca="false">(100*HF75)</f>
        <v>#DIV/0!</v>
      </c>
      <c r="HH75" s="18"/>
      <c r="HI75" s="9"/>
      <c r="HJ75" s="9"/>
      <c r="HK75" s="9"/>
      <c r="HL75" s="19"/>
      <c r="HM75" s="9" t="n">
        <f aca="false">(HI75+HJ75+HK75+HL75)/4</f>
        <v>0</v>
      </c>
      <c r="HN75" s="9" t="e">
        <f aca="false">(HI75/GR75)</f>
        <v>#DIV/0!</v>
      </c>
      <c r="HO75" s="9" t="e">
        <f aca="false">(HJ75/GS75)</f>
        <v>#DIV/0!</v>
      </c>
      <c r="HP75" s="9" t="e">
        <f aca="false">(HK75/GT75)</f>
        <v>#DIV/0!</v>
      </c>
      <c r="HQ75" s="9" t="e">
        <f aca="false">(HL75/GU75)</f>
        <v>#DIV/0!</v>
      </c>
      <c r="HR75" s="9" t="e">
        <f aca="false">(HM75/GV75)</f>
        <v>#DIV/0!</v>
      </c>
      <c r="HS75" s="9" t="e">
        <f aca="false">(100*HR75)</f>
        <v>#DIV/0!</v>
      </c>
      <c r="HT75" s="18"/>
      <c r="HU75" s="9"/>
      <c r="HV75" s="9"/>
      <c r="HW75" s="9"/>
      <c r="HX75" s="19"/>
      <c r="HY75" s="9" t="n">
        <f aca="false">(HU75+HV75+HW75+HX75)/4</f>
        <v>0</v>
      </c>
      <c r="HZ75" s="9" t="e">
        <f aca="false">(HU75/GR75)</f>
        <v>#DIV/0!</v>
      </c>
      <c r="IA75" s="9" t="e">
        <f aca="false">HV75/GS75</f>
        <v>#DIV/0!</v>
      </c>
      <c r="IB75" s="9" t="e">
        <f aca="false">(HW75/GT75)</f>
        <v>#DIV/0!</v>
      </c>
      <c r="IC75" s="9" t="e">
        <f aca="false">(HX75/GU75)</f>
        <v>#DIV/0!</v>
      </c>
      <c r="ID75" s="9" t="e">
        <f aca="false">(HY75/GV75)</f>
        <v>#DIV/0!</v>
      </c>
      <c r="IE75" s="9" t="e">
        <f aca="false">(100*ID75)</f>
        <v>#DIV/0!</v>
      </c>
      <c r="IF75" s="18"/>
      <c r="IG75" s="9"/>
      <c r="IH75" s="9"/>
      <c r="II75" s="19"/>
      <c r="IJ75" s="9"/>
      <c r="IK75" s="9" t="n">
        <f aca="false">(IG75+IH75+II75+IJ75)/4</f>
        <v>0</v>
      </c>
      <c r="IL75" s="9" t="e">
        <f aca="false">(IG75/GM75)</f>
        <v>#DIV/0!</v>
      </c>
      <c r="IM75" s="9" t="e">
        <f aca="false">(IH75/GN75)</f>
        <v>#DIV/0!</v>
      </c>
      <c r="IN75" s="9" t="e">
        <f aca="false">(II75/GO75)</f>
        <v>#DIV/0!</v>
      </c>
      <c r="IO75" s="9" t="e">
        <f aca="false">(IJ75/GP75)</f>
        <v>#DIV/0!</v>
      </c>
      <c r="IP75" s="9" t="e">
        <f aca="false">(IK75/GQ75)</f>
        <v>#DIV/0!</v>
      </c>
      <c r="IQ75" s="9" t="e">
        <f aca="false">(100*IP75)</f>
        <v>#DIV/0!</v>
      </c>
      <c r="IR75" s="18"/>
      <c r="IS75" s="9"/>
      <c r="IT75" s="9"/>
      <c r="IU75" s="19"/>
      <c r="IV75" s="9"/>
      <c r="IW75" s="9" t="n">
        <f aca="false">(IS75+IT75+IU75+IV75)/4</f>
        <v>0</v>
      </c>
      <c r="IX75" s="9"/>
      <c r="IY75" s="9"/>
    </row>
    <row r="76" customFormat="false" ht="15.75" hidden="false" customHeight="true" outlineLevel="0" collapsed="false">
      <c r="A76" s="9" t="s">
        <v>299</v>
      </c>
      <c r="B76" s="10" t="s">
        <v>439</v>
      </c>
      <c r="C76" s="10" t="s">
        <v>400</v>
      </c>
      <c r="D76" s="9" t="n">
        <v>3</v>
      </c>
      <c r="E76" s="9" t="n">
        <v>25</v>
      </c>
      <c r="F76" s="10" t="s">
        <v>444</v>
      </c>
      <c r="G76" s="10" t="s">
        <v>297</v>
      </c>
      <c r="H76" s="9" t="n">
        <v>21</v>
      </c>
      <c r="I76" s="9" t="n">
        <v>22</v>
      </c>
      <c r="J76" s="10" t="s">
        <v>272</v>
      </c>
      <c r="K76" s="20"/>
      <c r="L76" s="20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11" t="n">
        <f aca="false">(X76+Y76+Z76+AA76)/4</f>
        <v>0</v>
      </c>
      <c r="AC76" s="9"/>
      <c r="AD76" s="9"/>
      <c r="AE76" s="9"/>
      <c r="AF76" s="9"/>
      <c r="AG76" s="11" t="n">
        <f aca="false">(AC76+AD76+AE76+AF76)/4</f>
        <v>0</v>
      </c>
      <c r="AH76" s="9"/>
      <c r="AI76" s="9"/>
      <c r="AJ76" s="9"/>
      <c r="AK76" s="9"/>
      <c r="AL76" s="11" t="n">
        <f aca="false">(AH76+AI76+AJ76+AK76)/4</f>
        <v>0</v>
      </c>
      <c r="AM76" s="9"/>
      <c r="AN76" s="9"/>
      <c r="AO76" s="9"/>
      <c r="AP76" s="9"/>
      <c r="AQ76" s="11" t="n">
        <f aca="false">(AM76+AN76+AO76+AP76)/4</f>
        <v>0</v>
      </c>
      <c r="AR76" s="9"/>
      <c r="AS76" s="9"/>
      <c r="AT76" s="9"/>
      <c r="AU76" s="9"/>
      <c r="AV76" s="11" t="n">
        <f aca="false">(AR76+AS76+AT76+AU76)/4</f>
        <v>0</v>
      </c>
      <c r="AW76" s="9"/>
      <c r="AX76" s="9"/>
      <c r="AY76" s="9"/>
      <c r="AZ76" s="9"/>
      <c r="BA76" s="11" t="n">
        <f aca="false">(AW76+AX76+AY76+AZ76)/4</f>
        <v>0</v>
      </c>
      <c r="BB76" s="11" t="e">
        <f aca="false">(AW76/AR76)</f>
        <v>#DIV/0!</v>
      </c>
      <c r="BC76" s="11" t="e">
        <f aca="false">(AX76/AS76)</f>
        <v>#DIV/0!</v>
      </c>
      <c r="BD76" s="11" t="e">
        <f aca="false">(AY76/AT76)</f>
        <v>#DIV/0!</v>
      </c>
      <c r="BE76" s="11" t="e">
        <f aca="false">(AZ76/AU76)</f>
        <v>#DIV/0!</v>
      </c>
      <c r="BF76" s="11" t="e">
        <f aca="false">(BA76/AV76)</f>
        <v>#DIV/0!</v>
      </c>
      <c r="BG76" s="11" t="e">
        <f aca="false">(BF76*100)</f>
        <v>#DIV/0!</v>
      </c>
      <c r="BH76" s="9"/>
      <c r="BI76" s="9"/>
      <c r="BJ76" s="9"/>
      <c r="BK76" s="9"/>
      <c r="BL76" s="9"/>
      <c r="BM76" s="11" t="n">
        <f aca="false">(BI76+BJ76+BK76+BL76)/4</f>
        <v>0</v>
      </c>
      <c r="BN76" s="11" t="e">
        <f aca="false">(BI76/AR76)</f>
        <v>#DIV/0!</v>
      </c>
      <c r="BO76" s="11" t="e">
        <f aca="false">(BJ76/AS76)</f>
        <v>#DIV/0!</v>
      </c>
      <c r="BP76" s="11" t="e">
        <f aca="false">(BK76/AT76)</f>
        <v>#DIV/0!</v>
      </c>
      <c r="BQ76" s="11" t="e">
        <f aca="false">(BL76/AU76)</f>
        <v>#DIV/0!</v>
      </c>
      <c r="BR76" s="11" t="e">
        <f aca="false">(BM76/AV76)</f>
        <v>#DIV/0!</v>
      </c>
      <c r="BS76" s="11" t="e">
        <f aca="false">(100*BR76)</f>
        <v>#DIV/0!</v>
      </c>
      <c r="BT76" s="9"/>
      <c r="BU76" s="9"/>
      <c r="BV76" s="9"/>
      <c r="BW76" s="9"/>
      <c r="BX76" s="9"/>
      <c r="BY76" s="11" t="n">
        <f aca="false">(BU76+BV76+BW76+BX76)/4</f>
        <v>0</v>
      </c>
      <c r="BZ76" s="11" t="e">
        <f aca="false">(BU76/AR76)</f>
        <v>#DIV/0!</v>
      </c>
      <c r="CA76" s="11" t="e">
        <f aca="false">(BV76/AS76)</f>
        <v>#DIV/0!</v>
      </c>
      <c r="CB76" s="11" t="e">
        <f aca="false">(BW76/AT76)</f>
        <v>#DIV/0!</v>
      </c>
      <c r="CC76" s="11" t="e">
        <f aca="false">(BX76/AU76)</f>
        <v>#DIV/0!</v>
      </c>
      <c r="CD76" s="11" t="e">
        <f aca="false">(BY76/AV76)</f>
        <v>#DIV/0!</v>
      </c>
      <c r="CE76" s="11" t="e">
        <f aca="false">(100*CD76)</f>
        <v>#DIV/0!</v>
      </c>
      <c r="CF76" s="9"/>
      <c r="CG76" s="9"/>
      <c r="CH76" s="9"/>
      <c r="CI76" s="9"/>
      <c r="CJ76" s="9"/>
      <c r="CK76" s="11" t="n">
        <f aca="false">(CG76+CH76+CI76+CJ76)/4</f>
        <v>0</v>
      </c>
      <c r="CL76" s="11" t="e">
        <f aca="false">(CG76/AM76)</f>
        <v>#DIV/0!</v>
      </c>
      <c r="CM76" s="11" t="e">
        <f aca="false">(CH76/AN76)</f>
        <v>#DIV/0!</v>
      </c>
      <c r="CN76" s="11" t="e">
        <f aca="false">(CI76/AO76)</f>
        <v>#DIV/0!</v>
      </c>
      <c r="CO76" s="9" t="e">
        <f aca="false">(CJ76/AP76)</f>
        <v>#DIV/0!</v>
      </c>
      <c r="CP76" s="9" t="e">
        <f aca="false">(CK76/AQ76)</f>
        <v>#DIV/0!</v>
      </c>
      <c r="CQ76" s="9" t="e">
        <f aca="false">(100*CP76)</f>
        <v>#DIV/0!</v>
      </c>
      <c r="CR76" s="18"/>
      <c r="CS76" s="9"/>
      <c r="CT76" s="9"/>
      <c r="CU76" s="9"/>
      <c r="CV76" s="9"/>
      <c r="CW76" s="11" t="n">
        <f aca="false">(CS76+CT76+CU76+CV76)/4</f>
        <v>0</v>
      </c>
      <c r="CX76" s="9"/>
      <c r="CY76" s="9"/>
      <c r="CZ76" s="9"/>
      <c r="DA76" s="9"/>
      <c r="DB76" s="11" t="n">
        <f aca="false">(CX76+CY76+CZ76+DA76)/4</f>
        <v>0</v>
      </c>
      <c r="DC76" s="9"/>
      <c r="DD76" s="9"/>
      <c r="DE76" s="9"/>
      <c r="DF76" s="9"/>
      <c r="DG76" s="11" t="n">
        <f aca="false">(DC76+DD76+DE76+DF76)/4</f>
        <v>0</v>
      </c>
      <c r="DH76" s="9"/>
      <c r="DI76" s="9"/>
      <c r="DJ76" s="9"/>
      <c r="DK76" s="9"/>
      <c r="DL76" s="11" t="n">
        <f aca="false">(DH76+DI76+DJ76+DK76)/4</f>
        <v>0</v>
      </c>
      <c r="DM76" s="9"/>
      <c r="DN76" s="9"/>
      <c r="DO76" s="9"/>
      <c r="DP76" s="9"/>
      <c r="DQ76" s="11" t="n">
        <f aca="false">(DM76+DN76+DO76+DP76)/4</f>
        <v>0</v>
      </c>
      <c r="DR76" s="9"/>
      <c r="DS76" s="9"/>
      <c r="DT76" s="9"/>
      <c r="DU76" s="9"/>
      <c r="DV76" s="11" t="n">
        <f aca="false">(DR76+DS76+DT76+DU76)/4</f>
        <v>0</v>
      </c>
      <c r="DW76" s="9"/>
      <c r="DX76" s="9"/>
      <c r="DY76" s="9"/>
      <c r="DZ76" s="9"/>
      <c r="EA76" s="11" t="n">
        <f aca="false">(DW76+DX76+DY76+DZ76)/4</f>
        <v>0</v>
      </c>
      <c r="EB76" s="11" t="e">
        <f aca="false">(DW76/DR76)</f>
        <v>#DIV/0!</v>
      </c>
      <c r="EC76" s="11" t="e">
        <f aca="false">(DX76/DS76)</f>
        <v>#DIV/0!</v>
      </c>
      <c r="ED76" s="11" t="e">
        <f aca="false">(DY76/DT76)</f>
        <v>#DIV/0!</v>
      </c>
      <c r="EE76" s="11" t="e">
        <f aca="false">(DZ76/DU76)</f>
        <v>#DIV/0!</v>
      </c>
      <c r="EF76" s="11" t="e">
        <f aca="false">(EA76/DV76)</f>
        <v>#DIV/0!</v>
      </c>
      <c r="EG76" s="11" t="e">
        <f aca="false">(100*EF76)</f>
        <v>#DIV/0!</v>
      </c>
      <c r="EH76" s="9"/>
      <c r="EI76" s="9"/>
      <c r="EJ76" s="9"/>
      <c r="EK76" s="19"/>
      <c r="EL76" s="9"/>
      <c r="EM76" s="9" t="n">
        <f aca="false">(EI76+EJ76+EK76+EL76)/4</f>
        <v>0</v>
      </c>
      <c r="EN76" s="9" t="e">
        <f aca="false">(EI76/DR76)</f>
        <v>#DIV/0!</v>
      </c>
      <c r="EO76" s="9" t="e">
        <f aca="false">(EJ76/DS76)</f>
        <v>#DIV/0!</v>
      </c>
      <c r="EP76" s="9" t="e">
        <f aca="false">(EK76/DT76)</f>
        <v>#DIV/0!</v>
      </c>
      <c r="EQ76" s="9" t="e">
        <f aca="false">(EL76/DU76)</f>
        <v>#DIV/0!</v>
      </c>
      <c r="ER76" s="9" t="e">
        <f aca="false">EM76/DV76</f>
        <v>#DIV/0!</v>
      </c>
      <c r="ES76" s="9" t="e">
        <f aca="false">(100*ER76)</f>
        <v>#DIV/0!</v>
      </c>
      <c r="ET76" s="9"/>
      <c r="EU76" s="18"/>
      <c r="EV76" s="9"/>
      <c r="EW76" s="9"/>
      <c r="EX76" s="9"/>
      <c r="EY76" s="11" t="n">
        <f aca="false">(EU76+EV76+EW76+EX76)/4</f>
        <v>0</v>
      </c>
      <c r="EZ76" s="11" t="e">
        <f aca="false">(EU76/DR76)</f>
        <v>#DIV/0!</v>
      </c>
      <c r="FA76" s="11" t="e">
        <f aca="false">(EV76/DS76)</f>
        <v>#DIV/0!</v>
      </c>
      <c r="FB76" s="11" t="e">
        <f aca="false">(EW76/DT76)</f>
        <v>#DIV/0!</v>
      </c>
      <c r="FC76" s="11" t="e">
        <f aca="false">(EX76/DU76)</f>
        <v>#DIV/0!</v>
      </c>
      <c r="FD76" s="11" t="e">
        <f aca="false">(EY76/DV76)</f>
        <v>#DIV/0!</v>
      </c>
      <c r="FE76" s="11" t="e">
        <f aca="false">(100*FD76)</f>
        <v>#DIV/0!</v>
      </c>
      <c r="FF76" s="9"/>
      <c r="FG76" s="9"/>
      <c r="FH76" s="9"/>
      <c r="FI76" s="9"/>
      <c r="FJ76" s="9"/>
      <c r="FK76" s="11" t="n">
        <f aca="false">(FG76+FH76+FI76+FJ76)/4</f>
        <v>0</v>
      </c>
      <c r="FL76" s="11" t="e">
        <f aca="false">(FG76/DR76)</f>
        <v>#DIV/0!</v>
      </c>
      <c r="FM76" s="11" t="e">
        <f aca="false">(FH76/DS76)</f>
        <v>#DIV/0!</v>
      </c>
      <c r="FN76" s="11" t="e">
        <f aca="false">(FI76/DT76)</f>
        <v>#DIV/0!</v>
      </c>
      <c r="FO76" s="11" t="e">
        <f aca="false">(FJ76/DU76)</f>
        <v>#DIV/0!</v>
      </c>
      <c r="FP76" s="11" t="e">
        <f aca="false">(FK76/DV76)</f>
        <v>#DIV/0!</v>
      </c>
      <c r="FQ76" s="11" t="e">
        <f aca="false">(100*FP76)</f>
        <v>#DIV/0!</v>
      </c>
      <c r="FR76" s="9"/>
      <c r="FS76" s="9"/>
      <c r="FT76" s="9"/>
      <c r="FU76" s="9"/>
      <c r="FV76" s="9"/>
      <c r="FW76" s="11" t="n">
        <f aca="false">(FS76+FT76+FU76+FV76)/4</f>
        <v>0</v>
      </c>
      <c r="FX76" s="9"/>
      <c r="FY76" s="9"/>
      <c r="FZ76" s="9"/>
      <c r="GA76" s="9"/>
      <c r="GB76" s="11" t="n">
        <f aca="false">(FX76+FY76+FZ76+GA76)/4</f>
        <v>0</v>
      </c>
      <c r="GC76" s="9"/>
      <c r="GD76" s="9"/>
      <c r="GE76" s="9"/>
      <c r="GF76" s="9"/>
      <c r="GG76" s="11" t="n">
        <f aca="false">(GC76+GD76+GE76+GF76)/4</f>
        <v>0</v>
      </c>
      <c r="GH76" s="9"/>
      <c r="GI76" s="9"/>
      <c r="GJ76" s="9"/>
      <c r="GK76" s="9"/>
      <c r="GL76" s="11" t="n">
        <f aca="false">(GH76+GI76+GJ76+GK76)/4</f>
        <v>0</v>
      </c>
      <c r="GM76" s="9"/>
      <c r="GN76" s="9"/>
      <c r="GO76" s="9"/>
      <c r="GP76" s="9"/>
      <c r="GQ76" s="11" t="n">
        <f aca="false">(GM76+GN76+GO76+GP76)/4</f>
        <v>0</v>
      </c>
      <c r="GR76" s="9"/>
      <c r="GS76" s="9"/>
      <c r="GT76" s="9"/>
      <c r="GU76" s="9"/>
      <c r="GV76" s="11" t="n">
        <f aca="false">(GR76+GS76+GT76+GU76)/4</f>
        <v>0</v>
      </c>
      <c r="GW76" s="9"/>
      <c r="GX76" s="9"/>
      <c r="GY76" s="9"/>
      <c r="GZ76" s="9"/>
      <c r="HA76" s="11" t="n">
        <f aca="false">(GW76+GX76+GY76+GZ76)/4</f>
        <v>0</v>
      </c>
      <c r="HB76" s="9" t="e">
        <f aca="false">(GW76/GR76)</f>
        <v>#DIV/0!</v>
      </c>
      <c r="HC76" s="9" t="e">
        <f aca="false">(GX76/GS76)</f>
        <v>#DIV/0!</v>
      </c>
      <c r="HD76" s="9" t="e">
        <f aca="false">(GY76/GT76)</f>
        <v>#DIV/0!</v>
      </c>
      <c r="HE76" s="9" t="e">
        <f aca="false">(GZ76/GU76)/4</f>
        <v>#DIV/0!</v>
      </c>
      <c r="HF76" s="9" t="e">
        <f aca="false">(HB76+HC76+HD76+HE76)/4</f>
        <v>#DIV/0!</v>
      </c>
      <c r="HG76" s="9" t="e">
        <f aca="false">(100*HF76)</f>
        <v>#DIV/0!</v>
      </c>
      <c r="HH76" s="18"/>
      <c r="HI76" s="9"/>
      <c r="HJ76" s="9"/>
      <c r="HK76" s="9"/>
      <c r="HL76" s="19"/>
      <c r="HM76" s="9" t="n">
        <f aca="false">(HI76+HJ76+HK76+HL76)/4</f>
        <v>0</v>
      </c>
      <c r="HN76" s="9" t="e">
        <f aca="false">(HI76/GR76)</f>
        <v>#DIV/0!</v>
      </c>
      <c r="HO76" s="9" t="e">
        <f aca="false">(HJ76/GS76)</f>
        <v>#DIV/0!</v>
      </c>
      <c r="HP76" s="9" t="e">
        <f aca="false">(HK76/GT76)</f>
        <v>#DIV/0!</v>
      </c>
      <c r="HQ76" s="9" t="e">
        <f aca="false">(HL76/GU76)</f>
        <v>#DIV/0!</v>
      </c>
      <c r="HR76" s="9" t="e">
        <f aca="false">(HM76/GV76)</f>
        <v>#DIV/0!</v>
      </c>
      <c r="HS76" s="9" t="e">
        <f aca="false">(100*HR76)</f>
        <v>#DIV/0!</v>
      </c>
      <c r="HT76" s="18"/>
      <c r="HU76" s="9"/>
      <c r="HV76" s="9"/>
      <c r="HW76" s="9"/>
      <c r="HX76" s="19"/>
      <c r="HY76" s="9" t="n">
        <f aca="false">(HU76+HV76+HW76+HX76)/4</f>
        <v>0</v>
      </c>
      <c r="HZ76" s="9" t="e">
        <f aca="false">(HU76/GR76)</f>
        <v>#DIV/0!</v>
      </c>
      <c r="IA76" s="9" t="e">
        <f aca="false">HV76/GS76</f>
        <v>#DIV/0!</v>
      </c>
      <c r="IB76" s="9" t="e">
        <f aca="false">(HW76/GT76)</f>
        <v>#DIV/0!</v>
      </c>
      <c r="IC76" s="9" t="e">
        <f aca="false">(HX76/GU76)</f>
        <v>#DIV/0!</v>
      </c>
      <c r="ID76" s="9" t="e">
        <f aca="false">(HY76/GV76)</f>
        <v>#DIV/0!</v>
      </c>
      <c r="IE76" s="9" t="e">
        <f aca="false">(100*ID76)</f>
        <v>#DIV/0!</v>
      </c>
      <c r="IF76" s="18"/>
      <c r="IG76" s="9"/>
      <c r="IH76" s="9"/>
      <c r="II76" s="19"/>
      <c r="IJ76" s="9"/>
      <c r="IK76" s="9" t="n">
        <f aca="false">(IG76+IH76+II76+IJ76)/4</f>
        <v>0</v>
      </c>
      <c r="IL76" s="9" t="e">
        <f aca="false">(IG76/GM76)</f>
        <v>#DIV/0!</v>
      </c>
      <c r="IM76" s="9" t="e">
        <f aca="false">(IH76/GN76)</f>
        <v>#DIV/0!</v>
      </c>
      <c r="IN76" s="9" t="e">
        <f aca="false">(II76/GO76)</f>
        <v>#DIV/0!</v>
      </c>
      <c r="IO76" s="9" t="e">
        <f aca="false">(IJ76/GP76)</f>
        <v>#DIV/0!</v>
      </c>
      <c r="IP76" s="9" t="e">
        <f aca="false">(IK76/GQ76)</f>
        <v>#DIV/0!</v>
      </c>
      <c r="IQ76" s="9" t="e">
        <f aca="false">(100*IP76)</f>
        <v>#DIV/0!</v>
      </c>
      <c r="IR76" s="18"/>
      <c r="IS76" s="9"/>
      <c r="IT76" s="9"/>
      <c r="IU76" s="19"/>
      <c r="IV76" s="9"/>
      <c r="IW76" s="9" t="n">
        <f aca="false">(IS76+IT76+IU76+IV76)/4</f>
        <v>0</v>
      </c>
      <c r="IX76" s="9"/>
      <c r="IY76" s="9"/>
    </row>
    <row r="77" customFormat="false" ht="15.75" hidden="false" customHeight="true" outlineLevel="0" collapsed="false">
      <c r="A77" s="9" t="s">
        <v>299</v>
      </c>
      <c r="B77" s="10" t="s">
        <v>445</v>
      </c>
      <c r="C77" s="10" t="s">
        <v>400</v>
      </c>
      <c r="D77" s="9" t="n">
        <v>4</v>
      </c>
      <c r="E77" s="9" t="n">
        <v>26</v>
      </c>
      <c r="F77" s="10" t="s">
        <v>446</v>
      </c>
      <c r="G77" s="10" t="s">
        <v>280</v>
      </c>
      <c r="H77" s="9" t="n">
        <v>21</v>
      </c>
      <c r="I77" s="9" t="n">
        <v>5</v>
      </c>
      <c r="J77" s="12" t="s">
        <v>264</v>
      </c>
      <c r="K77" s="28" t="s">
        <v>447</v>
      </c>
      <c r="L77" s="28" t="s">
        <v>448</v>
      </c>
      <c r="M77" s="9" t="n">
        <v>1307</v>
      </c>
      <c r="N77" s="15" t="n">
        <v>45153</v>
      </c>
      <c r="O77" s="10" t="s">
        <v>294</v>
      </c>
      <c r="P77" s="9"/>
      <c r="Q77" s="9" t="n">
        <v>11.59</v>
      </c>
      <c r="R77" s="9" t="n">
        <v>15</v>
      </c>
      <c r="S77" s="9" t="n">
        <v>-5</v>
      </c>
      <c r="T77" s="9" t="n">
        <v>80</v>
      </c>
      <c r="U77" s="9"/>
      <c r="V77" s="9" t="n">
        <v>2.23</v>
      </c>
      <c r="W77" s="9"/>
      <c r="X77" s="9" t="n">
        <v>0</v>
      </c>
      <c r="Y77" s="9" t="n">
        <v>0</v>
      </c>
      <c r="Z77" s="9" t="n">
        <v>0</v>
      </c>
      <c r="AA77" s="9" t="n">
        <v>0</v>
      </c>
      <c r="AB77" s="11" t="n">
        <f aca="false">(X77+Y77+Z77+AA77)/4</f>
        <v>0</v>
      </c>
      <c r="AC77" s="9" t="n">
        <v>1</v>
      </c>
      <c r="AD77" s="9" t="n">
        <v>1</v>
      </c>
      <c r="AE77" s="9" t="n">
        <v>1</v>
      </c>
      <c r="AF77" s="9" t="n">
        <v>1</v>
      </c>
      <c r="AG77" s="11" t="n">
        <f aca="false">(AC77+AD77+AE77+AF77)/4</f>
        <v>1</v>
      </c>
      <c r="AH77" s="9" t="n">
        <v>0</v>
      </c>
      <c r="AI77" s="9" t="n">
        <v>1</v>
      </c>
      <c r="AJ77" s="9" t="n">
        <v>1</v>
      </c>
      <c r="AK77" s="9" t="n">
        <v>1</v>
      </c>
      <c r="AL77" s="11" t="n">
        <f aca="false">(AH77+AI77+AJ77+AK77)/4</f>
        <v>0.75</v>
      </c>
      <c r="AM77" s="9" t="n">
        <v>20</v>
      </c>
      <c r="AN77" s="9" t="n">
        <v>11</v>
      </c>
      <c r="AO77" s="9" t="n">
        <v>43</v>
      </c>
      <c r="AP77" s="9" t="n">
        <v>17</v>
      </c>
      <c r="AQ77" s="11" t="n">
        <f aca="false">(AM77+AN77+AO77+AP77)/4</f>
        <v>22.75</v>
      </c>
      <c r="AR77" s="9" t="n">
        <v>10</v>
      </c>
      <c r="AS77" s="9" t="n">
        <v>17</v>
      </c>
      <c r="AT77" s="9" t="n">
        <v>12</v>
      </c>
      <c r="AU77" s="9" t="n">
        <v>21</v>
      </c>
      <c r="AV77" s="11" t="n">
        <f aca="false">(AR77+AS77+AT77+AU77)/4</f>
        <v>15</v>
      </c>
      <c r="AW77" s="9" t="n">
        <v>0</v>
      </c>
      <c r="AX77" s="9" t="n">
        <v>0</v>
      </c>
      <c r="AY77" s="9" t="n">
        <v>0</v>
      </c>
      <c r="AZ77" s="9" t="n">
        <v>0</v>
      </c>
      <c r="BA77" s="11" t="n">
        <f aca="false">(AW77+AX77+AY77+AZ77)/4</f>
        <v>0</v>
      </c>
      <c r="BB77" s="11" t="n">
        <f aca="false">(AW77/AR77)</f>
        <v>0</v>
      </c>
      <c r="BC77" s="11" t="n">
        <f aca="false">(AX77/AS77)</f>
        <v>0</v>
      </c>
      <c r="BD77" s="11" t="n">
        <f aca="false">(AY77/AT77)</f>
        <v>0</v>
      </c>
      <c r="BE77" s="11" t="n">
        <f aca="false">(AZ77/AU77)</f>
        <v>0</v>
      </c>
      <c r="BF77" s="11" t="n">
        <f aca="false">(BA77/AV77)</f>
        <v>0</v>
      </c>
      <c r="BG77" s="11" t="n">
        <f aca="false">(BF77*100)</f>
        <v>0</v>
      </c>
      <c r="BH77" s="9" t="n">
        <v>0</v>
      </c>
      <c r="BI77" s="9" t="n">
        <v>4</v>
      </c>
      <c r="BJ77" s="9" t="n">
        <v>4</v>
      </c>
      <c r="BK77" s="9" t="n">
        <v>2</v>
      </c>
      <c r="BL77" s="9" t="n">
        <v>4</v>
      </c>
      <c r="BM77" s="11" t="n">
        <f aca="false">(BI77+BJ77+BK77+BL77)/4</f>
        <v>3.5</v>
      </c>
      <c r="BN77" s="11" t="n">
        <f aca="false">(BI77/AR77)</f>
        <v>0.4</v>
      </c>
      <c r="BO77" s="11" t="n">
        <f aca="false">(BJ77/AS77)</f>
        <v>0.235294117647059</v>
      </c>
      <c r="BP77" s="11" t="n">
        <f aca="false">(BK77/AT77)</f>
        <v>0.166666666666667</v>
      </c>
      <c r="BQ77" s="11" t="n">
        <f aca="false">(BL77/AU77)</f>
        <v>0.19047619047619</v>
      </c>
      <c r="BR77" s="11" t="n">
        <f aca="false">(BM77/AV77)</f>
        <v>0.233333333333333</v>
      </c>
      <c r="BS77" s="11" t="n">
        <f aca="false">(100*BR77)</f>
        <v>23.3333333333333</v>
      </c>
      <c r="BT77" s="9" t="n">
        <v>2</v>
      </c>
      <c r="BU77" s="9" t="n">
        <v>0</v>
      </c>
      <c r="BV77" s="9" t="n">
        <v>0</v>
      </c>
      <c r="BW77" s="9" t="n">
        <v>1</v>
      </c>
      <c r="BX77" s="9" t="n">
        <v>3</v>
      </c>
      <c r="BY77" s="11" t="n">
        <f aca="false">(BU77+BV77+BW77+BX77)/4</f>
        <v>1</v>
      </c>
      <c r="BZ77" s="11" t="n">
        <f aca="false">(BU77/AR77)</f>
        <v>0</v>
      </c>
      <c r="CA77" s="11" t="n">
        <f aca="false">(BV77/AS77)</f>
        <v>0</v>
      </c>
      <c r="CB77" s="11" t="n">
        <f aca="false">(BW77/AT77)</f>
        <v>0.0833333333333333</v>
      </c>
      <c r="CC77" s="11" t="n">
        <f aca="false">(BX77/AU77)</f>
        <v>0.142857142857143</v>
      </c>
      <c r="CD77" s="11" t="n">
        <f aca="false">(BY77/AV77)</f>
        <v>0.0666666666666667</v>
      </c>
      <c r="CE77" s="11" t="n">
        <f aca="false">(100*CD77)</f>
        <v>6.66666666666667</v>
      </c>
      <c r="CF77" s="9" t="n">
        <v>1</v>
      </c>
      <c r="CG77" s="9" t="n">
        <v>0</v>
      </c>
      <c r="CH77" s="9" t="n">
        <v>2</v>
      </c>
      <c r="CI77" s="9" t="n">
        <v>2</v>
      </c>
      <c r="CJ77" s="9" t="n">
        <v>2</v>
      </c>
      <c r="CK77" s="11" t="n">
        <f aca="false">(CG77+CH77+CI77+CJ77)/4</f>
        <v>1.5</v>
      </c>
      <c r="CL77" s="11" t="n">
        <f aca="false">(CG77/AM77)</f>
        <v>0</v>
      </c>
      <c r="CM77" s="11" t="n">
        <f aca="false">(CH77/AN77)</f>
        <v>0.181818181818182</v>
      </c>
      <c r="CN77" s="11" t="n">
        <f aca="false">(CI77/AO77)</f>
        <v>0.0465116279069767</v>
      </c>
      <c r="CO77" s="9" t="n">
        <f aca="false">(CJ77/AP77)</f>
        <v>0.117647058823529</v>
      </c>
      <c r="CP77" s="9" t="n">
        <f aca="false">(CK77/AQ77)</f>
        <v>0.0659340659340659</v>
      </c>
      <c r="CQ77" s="9" t="n">
        <f aca="false">(100*CP77)</f>
        <v>6.59340659340659</v>
      </c>
      <c r="CR77" s="18" t="n">
        <v>1</v>
      </c>
      <c r="CS77" s="9" t="n">
        <v>68.5</v>
      </c>
      <c r="CT77" s="9" t="n">
        <v>55.1</v>
      </c>
      <c r="CU77" s="9" t="n">
        <v>71.2</v>
      </c>
      <c r="CV77" s="9" t="n">
        <v>60.9</v>
      </c>
      <c r="CW77" s="11" t="n">
        <f aca="false">(CS77+CT77+CU77+CV77)/4</f>
        <v>63.925</v>
      </c>
      <c r="CX77" s="9" t="n">
        <v>0</v>
      </c>
      <c r="CY77" s="9" t="n">
        <v>0</v>
      </c>
      <c r="CZ77" s="9" t="n">
        <v>0</v>
      </c>
      <c r="DA77" s="9" t="n">
        <v>0</v>
      </c>
      <c r="DB77" s="11" t="n">
        <f aca="false">(CX77+CY77+CZ77+DA77)/4</f>
        <v>0</v>
      </c>
      <c r="DC77" s="9" t="n">
        <v>1</v>
      </c>
      <c r="DD77" s="9" t="n">
        <v>1</v>
      </c>
      <c r="DE77" s="9" t="n">
        <v>1</v>
      </c>
      <c r="DF77" s="9" t="n">
        <v>1</v>
      </c>
      <c r="DG77" s="11" t="n">
        <f aca="false">(DC77+DD77+DE77+DF77)/4</f>
        <v>1</v>
      </c>
      <c r="DH77" s="9" t="n">
        <v>1</v>
      </c>
      <c r="DI77" s="9" t="n">
        <v>1</v>
      </c>
      <c r="DJ77" s="9" t="n">
        <v>1</v>
      </c>
      <c r="DK77" s="9" t="n">
        <v>1</v>
      </c>
      <c r="DL77" s="11" t="n">
        <f aca="false">(DH77+DI77+DJ77+DK77)/4</f>
        <v>1</v>
      </c>
      <c r="DM77" s="9" t="n">
        <v>54</v>
      </c>
      <c r="DN77" s="9" t="n">
        <v>16</v>
      </c>
      <c r="DO77" s="9" t="n">
        <v>3</v>
      </c>
      <c r="DP77" s="9" t="n">
        <v>28</v>
      </c>
      <c r="DQ77" s="11" t="n">
        <f aca="false">(DM77+DN77+DO77+DP77)/4</f>
        <v>25.25</v>
      </c>
      <c r="DR77" s="9" t="n">
        <v>11</v>
      </c>
      <c r="DS77" s="9" t="n">
        <v>10</v>
      </c>
      <c r="DT77" s="9" t="n">
        <v>20</v>
      </c>
      <c r="DU77" s="9" t="n">
        <v>20</v>
      </c>
      <c r="DV77" s="11" t="n">
        <f aca="false">(DR77+DS77+DT77+DU77)/4</f>
        <v>15.25</v>
      </c>
      <c r="DW77" s="9" t="n">
        <v>0</v>
      </c>
      <c r="DX77" s="9" t="n">
        <v>0</v>
      </c>
      <c r="DY77" s="9" t="n">
        <v>0</v>
      </c>
      <c r="DZ77" s="9" t="n">
        <v>0</v>
      </c>
      <c r="EA77" s="11" t="n">
        <f aca="false">(DW77+DX77+DY77+DZ77)/4</f>
        <v>0</v>
      </c>
      <c r="EB77" s="11" t="n">
        <f aca="false">(DW77/DR77)</f>
        <v>0</v>
      </c>
      <c r="EC77" s="11" t="n">
        <f aca="false">(DX77/DS77)</f>
        <v>0</v>
      </c>
      <c r="ED77" s="11" t="n">
        <f aca="false">(DY77/DT77)</f>
        <v>0</v>
      </c>
      <c r="EE77" s="11" t="n">
        <f aca="false">(DZ77/DU77)</f>
        <v>0</v>
      </c>
      <c r="EF77" s="11" t="n">
        <f aca="false">(EA77/DV77)</f>
        <v>0</v>
      </c>
      <c r="EG77" s="11" t="n">
        <f aca="false">(100*EF77)</f>
        <v>0</v>
      </c>
      <c r="EH77" s="9" t="n">
        <v>0</v>
      </c>
      <c r="EI77" s="9" t="n">
        <v>6</v>
      </c>
      <c r="EJ77" s="9" t="n">
        <v>2</v>
      </c>
      <c r="EK77" s="19" t="n">
        <v>5</v>
      </c>
      <c r="EL77" s="9" t="n">
        <v>1</v>
      </c>
      <c r="EM77" s="9" t="n">
        <f aca="false">(EI77+EJ77+EK77+EL77)/4</f>
        <v>3.5</v>
      </c>
      <c r="EN77" s="9" t="n">
        <f aca="false">(EI77/DR77)</f>
        <v>0.545454545454545</v>
      </c>
      <c r="EO77" s="9" t="n">
        <f aca="false">(EJ77/DS77)</f>
        <v>0.2</v>
      </c>
      <c r="EP77" s="9" t="n">
        <f aca="false">(EK77/DT77)</f>
        <v>0.25</v>
      </c>
      <c r="EQ77" s="9" t="n">
        <f aca="false">(EL77/DU77)</f>
        <v>0.05</v>
      </c>
      <c r="ER77" s="9" t="n">
        <f aca="false">EM77/DV77</f>
        <v>0.229508196721311</v>
      </c>
      <c r="ES77" s="9" t="n">
        <f aca="false">(100*ER77)</f>
        <v>22.9508196721311</v>
      </c>
      <c r="ET77" s="9" t="n">
        <v>2</v>
      </c>
      <c r="EU77" s="18" t="n">
        <v>0</v>
      </c>
      <c r="EV77" s="9" t="n">
        <v>0</v>
      </c>
      <c r="EW77" s="9" t="n">
        <v>1</v>
      </c>
      <c r="EX77" s="9" t="n">
        <v>1</v>
      </c>
      <c r="EY77" s="11" t="n">
        <f aca="false">(EU77+EV77+EW77+EX77)/4</f>
        <v>0.5</v>
      </c>
      <c r="EZ77" s="11" t="n">
        <f aca="false">(EU77/DR77)</f>
        <v>0</v>
      </c>
      <c r="FA77" s="11" t="n">
        <f aca="false">(EV77/DS77)</f>
        <v>0</v>
      </c>
      <c r="FB77" s="11" t="n">
        <f aca="false">(EW77/DT77)</f>
        <v>0.05</v>
      </c>
      <c r="FC77" s="11" t="n">
        <f aca="false">(EX77/DU77)</f>
        <v>0.05</v>
      </c>
      <c r="FD77" s="11" t="n">
        <f aca="false">(EY77/DV77)</f>
        <v>0.0327868852459016</v>
      </c>
      <c r="FE77" s="11" t="n">
        <f aca="false">(100*FD77)</f>
        <v>3.27868852459016</v>
      </c>
      <c r="FF77" s="9" t="n">
        <v>1</v>
      </c>
      <c r="FG77" s="9" t="n">
        <v>4</v>
      </c>
      <c r="FH77" s="9" t="n">
        <v>2</v>
      </c>
      <c r="FI77" s="9" t="n">
        <v>3</v>
      </c>
      <c r="FJ77" s="9" t="n">
        <v>4</v>
      </c>
      <c r="FK77" s="11" t="n">
        <f aca="false">(FG77+FH77+FI77+FJ77)/4</f>
        <v>3.25</v>
      </c>
      <c r="FL77" s="11" t="n">
        <f aca="false">(FG77/DR77)</f>
        <v>0.363636363636364</v>
      </c>
      <c r="FM77" s="11" t="n">
        <f aca="false">(FH77/DS77)</f>
        <v>0.2</v>
      </c>
      <c r="FN77" s="11" t="n">
        <f aca="false">(FI77/DT77)</f>
        <v>0.15</v>
      </c>
      <c r="FO77" s="11" t="n">
        <f aca="false">(FJ77/DU77)</f>
        <v>0.2</v>
      </c>
      <c r="FP77" s="11" t="n">
        <f aca="false">(FK77/DV77)</f>
        <v>0.213114754098361</v>
      </c>
      <c r="FQ77" s="11" t="n">
        <f aca="false">(100*FP77)</f>
        <v>21.3114754098361</v>
      </c>
      <c r="FR77" s="9" t="n">
        <v>2</v>
      </c>
      <c r="FS77" s="9" t="n">
        <v>61.5</v>
      </c>
      <c r="FT77" s="9" t="n">
        <v>67.1</v>
      </c>
      <c r="FU77" s="9" t="n">
        <v>64.4</v>
      </c>
      <c r="FV77" s="9" t="n">
        <v>53.2</v>
      </c>
      <c r="FW77" s="11" t="n">
        <f aca="false">(FS77+FT77+FU77+FV77)/4</f>
        <v>61.55</v>
      </c>
      <c r="FX77" s="9" t="n">
        <v>0</v>
      </c>
      <c r="FY77" s="9" t="n">
        <v>0</v>
      </c>
      <c r="FZ77" s="9" t="n">
        <v>0</v>
      </c>
      <c r="GA77" s="9" t="n">
        <v>0</v>
      </c>
      <c r="GB77" s="11" t="n">
        <f aca="false">(FX77+FY77+FZ77+GA77)/4</f>
        <v>0</v>
      </c>
      <c r="GC77" s="9" t="n">
        <v>0</v>
      </c>
      <c r="GD77" s="9" t="n">
        <v>0</v>
      </c>
      <c r="GE77" s="9" t="n">
        <v>1</v>
      </c>
      <c r="GF77" s="9" t="n">
        <v>1</v>
      </c>
      <c r="GG77" s="11" t="n">
        <f aca="false">(GC77+GD77+GE77+GF77)/4</f>
        <v>0.5</v>
      </c>
      <c r="GH77" s="9" t="n">
        <v>1</v>
      </c>
      <c r="GI77" s="9" t="n">
        <v>1</v>
      </c>
      <c r="GJ77" s="9" t="n">
        <v>1</v>
      </c>
      <c r="GK77" s="9" t="n">
        <v>1</v>
      </c>
      <c r="GL77" s="11" t="n">
        <f aca="false">(GH77+GI77+GJ77+GK77)/4</f>
        <v>1</v>
      </c>
      <c r="GM77" s="9" t="n">
        <v>23</v>
      </c>
      <c r="GN77" s="9" t="n">
        <v>27</v>
      </c>
      <c r="GO77" s="9" t="n">
        <v>10</v>
      </c>
      <c r="GP77" s="9" t="n">
        <v>42</v>
      </c>
      <c r="GQ77" s="11" t="n">
        <f aca="false">(GM77+GN77+GO77+GP77)/4</f>
        <v>25.5</v>
      </c>
      <c r="GR77" s="9" t="n">
        <v>14</v>
      </c>
      <c r="GS77" s="9" t="n">
        <v>23</v>
      </c>
      <c r="GT77" s="9" t="n">
        <v>6</v>
      </c>
      <c r="GU77" s="9" t="n">
        <v>37</v>
      </c>
      <c r="GV77" s="11" t="n">
        <f aca="false">(GR77+GS77+GT77+GU77)/4</f>
        <v>20</v>
      </c>
      <c r="GW77" s="9" t="n">
        <v>0</v>
      </c>
      <c r="GX77" s="9" t="n">
        <v>0</v>
      </c>
      <c r="GY77" s="9" t="n">
        <v>0</v>
      </c>
      <c r="GZ77" s="9" t="n">
        <v>0</v>
      </c>
      <c r="HA77" s="11" t="n">
        <f aca="false">(GW77+GX77+GY77+GZ77)/4</f>
        <v>0</v>
      </c>
      <c r="HB77" s="9" t="n">
        <f aca="false">(GW77/GR77)</f>
        <v>0</v>
      </c>
      <c r="HC77" s="9" t="n">
        <f aca="false">(GX77/GS77)</f>
        <v>0</v>
      </c>
      <c r="HD77" s="9" t="n">
        <f aca="false">(GY77/GT77)</f>
        <v>0</v>
      </c>
      <c r="HE77" s="9" t="n">
        <f aca="false">(GZ77/GU77)/4</f>
        <v>0</v>
      </c>
      <c r="HF77" s="9" t="n">
        <f aca="false">(HB77+HC77+HD77+HE77)/4</f>
        <v>0</v>
      </c>
      <c r="HG77" s="9" t="n">
        <f aca="false">(100*HF77)</f>
        <v>0</v>
      </c>
      <c r="HH77" s="18" t="n">
        <v>0</v>
      </c>
      <c r="HI77" s="9" t="n">
        <v>0</v>
      </c>
      <c r="HJ77" s="9" t="n">
        <v>0</v>
      </c>
      <c r="HK77" s="9" t="n">
        <v>4</v>
      </c>
      <c r="HL77" s="19" t="n">
        <v>3</v>
      </c>
      <c r="HM77" s="9" t="n">
        <f aca="false">(HI77+HJ77+HK77+HL77)/4</f>
        <v>1.75</v>
      </c>
      <c r="HN77" s="9" t="n">
        <f aca="false">(HI77/GR77)</f>
        <v>0</v>
      </c>
      <c r="HO77" s="9" t="n">
        <f aca="false">(HJ77/GS77)</f>
        <v>0</v>
      </c>
      <c r="HP77" s="9" t="n">
        <f aca="false">(HK77/GT77)</f>
        <v>0.666666666666667</v>
      </c>
      <c r="HQ77" s="9" t="n">
        <f aca="false">(HL77/GU77)</f>
        <v>0.0810810810810811</v>
      </c>
      <c r="HR77" s="9" t="n">
        <f aca="false">(HM77/GV77)</f>
        <v>0.0875</v>
      </c>
      <c r="HS77" s="9" t="n">
        <f aca="false">(100*HR77)</f>
        <v>8.75</v>
      </c>
      <c r="HT77" s="18" t="n">
        <v>1</v>
      </c>
      <c r="HU77" s="9" t="n">
        <v>0</v>
      </c>
      <c r="HV77" s="9" t="n">
        <v>1</v>
      </c>
      <c r="HW77" s="9" t="n">
        <v>1</v>
      </c>
      <c r="HX77" s="19" t="n">
        <v>2</v>
      </c>
      <c r="HY77" s="9" t="n">
        <f aca="false">(HU77+HV77+HW77+HX77)/4</f>
        <v>1</v>
      </c>
      <c r="HZ77" s="9" t="n">
        <f aca="false">(HU77/GR77)</f>
        <v>0</v>
      </c>
      <c r="IA77" s="9" t="n">
        <f aca="false">HV77/GS77</f>
        <v>0.0434782608695652</v>
      </c>
      <c r="IB77" s="9" t="n">
        <f aca="false">(HW77/GT77)</f>
        <v>0.166666666666667</v>
      </c>
      <c r="IC77" s="9" t="n">
        <f aca="false">(HX77/GU77)</f>
        <v>0.0540540540540541</v>
      </c>
      <c r="ID77" s="9" t="n">
        <f aca="false">(HY77/GV77)</f>
        <v>0.05</v>
      </c>
      <c r="IE77" s="9" t="n">
        <f aca="false">(100*ID77)</f>
        <v>5</v>
      </c>
      <c r="IF77" s="18" t="n">
        <v>1</v>
      </c>
      <c r="IG77" s="9" t="n">
        <v>2</v>
      </c>
      <c r="IH77" s="9" t="n">
        <v>3</v>
      </c>
      <c r="II77" s="19" t="n">
        <v>5</v>
      </c>
      <c r="IJ77" s="9" t="n">
        <v>4</v>
      </c>
      <c r="IK77" s="9" t="n">
        <f aca="false">(IG77+IH77+II77+IJ77)/4</f>
        <v>3.5</v>
      </c>
      <c r="IL77" s="9" t="n">
        <f aca="false">(IG77/GM77)</f>
        <v>0.0869565217391304</v>
      </c>
      <c r="IM77" s="9" t="n">
        <f aca="false">(IH77/GN77)</f>
        <v>0.111111111111111</v>
      </c>
      <c r="IN77" s="9" t="n">
        <f aca="false">(II77/GO77)</f>
        <v>0.5</v>
      </c>
      <c r="IO77" s="9" t="n">
        <f aca="false">(IJ77/GP77)</f>
        <v>0.0952380952380952</v>
      </c>
      <c r="IP77" s="9" t="n">
        <f aca="false">(IK77/GQ77)</f>
        <v>0.137254901960784</v>
      </c>
      <c r="IQ77" s="9" t="n">
        <f aca="false">(100*IP77)</f>
        <v>13.7254901960784</v>
      </c>
      <c r="IR77" s="18" t="n">
        <v>2</v>
      </c>
      <c r="IS77" s="9" t="n">
        <v>60.3</v>
      </c>
      <c r="IT77" s="9" t="n">
        <v>42.1</v>
      </c>
      <c r="IU77" s="19" t="n">
        <v>73</v>
      </c>
      <c r="IV77" s="9" t="n">
        <v>60.3</v>
      </c>
      <c r="IW77" s="9" t="n">
        <f aca="false">(IS77+IT77+IU77+IV77)/4</f>
        <v>58.925</v>
      </c>
      <c r="IX77" s="16" t="n">
        <v>45249</v>
      </c>
      <c r="IY77" s="10" t="s">
        <v>268</v>
      </c>
    </row>
    <row r="78" customFormat="false" ht="15.75" hidden="false" customHeight="true" outlineLevel="0" collapsed="false">
      <c r="A78" s="9" t="s">
        <v>299</v>
      </c>
      <c r="B78" s="10" t="s">
        <v>445</v>
      </c>
      <c r="C78" s="10" t="s">
        <v>400</v>
      </c>
      <c r="D78" s="9" t="n">
        <v>4</v>
      </c>
      <c r="E78" s="9" t="n">
        <v>26</v>
      </c>
      <c r="F78" s="10" t="s">
        <v>449</v>
      </c>
      <c r="G78" s="10" t="s">
        <v>280</v>
      </c>
      <c r="H78" s="9" t="n">
        <v>21</v>
      </c>
      <c r="I78" s="9" t="n">
        <v>10</v>
      </c>
      <c r="J78" s="12" t="s">
        <v>270</v>
      </c>
      <c r="K78" s="29"/>
      <c r="L78" s="2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 t="n">
        <v>0</v>
      </c>
      <c r="Y78" s="9" t="n">
        <v>0</v>
      </c>
      <c r="Z78" s="9" t="n">
        <v>0</v>
      </c>
      <c r="AA78" s="9" t="n">
        <v>0</v>
      </c>
      <c r="AB78" s="11" t="n">
        <f aca="false">(X78+Y78+Z78+AA78)/4</f>
        <v>0</v>
      </c>
      <c r="AC78" s="9" t="n">
        <v>1</v>
      </c>
      <c r="AD78" s="9" t="n">
        <v>1</v>
      </c>
      <c r="AE78" s="9" t="n">
        <v>1</v>
      </c>
      <c r="AF78" s="9" t="n">
        <v>1</v>
      </c>
      <c r="AG78" s="11" t="n">
        <f aca="false">(AC78+AD78+AE78+AF78)/4</f>
        <v>1</v>
      </c>
      <c r="AH78" s="9" t="n">
        <v>0</v>
      </c>
      <c r="AI78" s="9" t="n">
        <v>1</v>
      </c>
      <c r="AJ78" s="9" t="n">
        <v>1</v>
      </c>
      <c r="AK78" s="9" t="n">
        <v>1</v>
      </c>
      <c r="AL78" s="11" t="n">
        <f aca="false">(AH78+AI78+AJ78+AK78)/4</f>
        <v>0.75</v>
      </c>
      <c r="AM78" s="9" t="n">
        <v>17</v>
      </c>
      <c r="AN78" s="9" t="n">
        <v>14</v>
      </c>
      <c r="AO78" s="9" t="n">
        <v>32</v>
      </c>
      <c r="AP78" s="9" t="n">
        <v>60</v>
      </c>
      <c r="AQ78" s="11" t="n">
        <f aca="false">(AM78+AN78+AO78+AP78)/4</f>
        <v>30.75</v>
      </c>
      <c r="AR78" s="9" t="n">
        <v>7</v>
      </c>
      <c r="AS78" s="9" t="n">
        <v>10</v>
      </c>
      <c r="AT78" s="9" t="n">
        <v>21</v>
      </c>
      <c r="AU78" s="9" t="n">
        <v>23</v>
      </c>
      <c r="AV78" s="11" t="n">
        <f aca="false">(AR78+AS78+AT78+AU78)/4</f>
        <v>15.25</v>
      </c>
      <c r="AW78" s="9" t="n">
        <v>0</v>
      </c>
      <c r="AX78" s="9" t="n">
        <v>0</v>
      </c>
      <c r="AY78" s="9" t="n">
        <v>0</v>
      </c>
      <c r="AZ78" s="9" t="n">
        <v>0</v>
      </c>
      <c r="BA78" s="11" t="n">
        <f aca="false">(AW78+AX78+AY78+AZ78)/4</f>
        <v>0</v>
      </c>
      <c r="BB78" s="11" t="n">
        <f aca="false">(AW78/AR78)</f>
        <v>0</v>
      </c>
      <c r="BC78" s="11" t="n">
        <f aca="false">(AX78/AS78)</f>
        <v>0</v>
      </c>
      <c r="BD78" s="11" t="n">
        <f aca="false">(AY78/AT78)</f>
        <v>0</v>
      </c>
      <c r="BE78" s="11" t="n">
        <f aca="false">(AZ78/AU78)</f>
        <v>0</v>
      </c>
      <c r="BF78" s="11" t="n">
        <f aca="false">(BA78/AV78)</f>
        <v>0</v>
      </c>
      <c r="BG78" s="11" t="n">
        <f aca="false">(BF78*100)</f>
        <v>0</v>
      </c>
      <c r="BH78" s="9" t="n">
        <v>0</v>
      </c>
      <c r="BI78" s="9" t="n">
        <v>2</v>
      </c>
      <c r="BJ78" s="9" t="n">
        <v>3</v>
      </c>
      <c r="BK78" s="9" t="n">
        <v>4</v>
      </c>
      <c r="BL78" s="9" t="n">
        <v>2</v>
      </c>
      <c r="BM78" s="11" t="n">
        <f aca="false">(BI78+BJ78+BK78+BL78)/4</f>
        <v>2.75</v>
      </c>
      <c r="BN78" s="11" t="n">
        <f aca="false">(BI78/AR78)</f>
        <v>0.285714285714286</v>
      </c>
      <c r="BO78" s="11" t="n">
        <f aca="false">(BJ78/AS78)</f>
        <v>0.3</v>
      </c>
      <c r="BP78" s="11" t="n">
        <f aca="false">(BK78/AT78)</f>
        <v>0.19047619047619</v>
      </c>
      <c r="BQ78" s="11" t="n">
        <f aca="false">(BL78/AU78)</f>
        <v>0.0869565217391304</v>
      </c>
      <c r="BR78" s="11" t="n">
        <f aca="false">(BM78/AV78)</f>
        <v>0.180327868852459</v>
      </c>
      <c r="BS78" s="11" t="n">
        <f aca="false">(100*BR78)</f>
        <v>18.0327868852459</v>
      </c>
      <c r="BT78" s="9" t="n">
        <v>2</v>
      </c>
      <c r="BU78" s="9" t="n">
        <v>0</v>
      </c>
      <c r="BV78" s="9" t="n">
        <v>0</v>
      </c>
      <c r="BW78" s="9" t="n">
        <v>0</v>
      </c>
      <c r="BX78" s="9" t="n">
        <v>1</v>
      </c>
      <c r="BY78" s="11" t="n">
        <f aca="false">(BU78+BV78+BW78+BX78)/4</f>
        <v>0.25</v>
      </c>
      <c r="BZ78" s="11" t="n">
        <f aca="false">(BU78/AR78)</f>
        <v>0</v>
      </c>
      <c r="CA78" s="11" t="n">
        <f aca="false">(BV78/AS78)</f>
        <v>0</v>
      </c>
      <c r="CB78" s="11" t="n">
        <f aca="false">(BW78/AT78)</f>
        <v>0</v>
      </c>
      <c r="CC78" s="11" t="n">
        <f aca="false">(BX78/AU78)</f>
        <v>0.0434782608695652</v>
      </c>
      <c r="CD78" s="11" t="n">
        <f aca="false">(BY78/AV78)</f>
        <v>0.0163934426229508</v>
      </c>
      <c r="CE78" s="11" t="n">
        <f aca="false">(100*CD78)</f>
        <v>1.63934426229508</v>
      </c>
      <c r="CF78" s="9" t="n">
        <v>1</v>
      </c>
      <c r="CG78" s="9" t="n">
        <v>0</v>
      </c>
      <c r="CH78" s="9" t="n">
        <v>3</v>
      </c>
      <c r="CI78" s="9" t="n">
        <v>6</v>
      </c>
      <c r="CJ78" s="9" t="n">
        <v>2</v>
      </c>
      <c r="CK78" s="11" t="n">
        <f aca="false">(CG78+CH78+CI78+CJ78)/4</f>
        <v>2.75</v>
      </c>
      <c r="CL78" s="11" t="n">
        <f aca="false">(CG78/AM78)</f>
        <v>0</v>
      </c>
      <c r="CM78" s="11" t="n">
        <f aca="false">(CH78/AN78)</f>
        <v>0.214285714285714</v>
      </c>
      <c r="CN78" s="11" t="n">
        <f aca="false">(CI78/AO78)</f>
        <v>0.1875</v>
      </c>
      <c r="CO78" s="9" t="n">
        <f aca="false">(CJ78/AP78)</f>
        <v>0.0333333333333333</v>
      </c>
      <c r="CP78" s="9" t="n">
        <f aca="false">(CK78/AQ78)</f>
        <v>0.0894308943089431</v>
      </c>
      <c r="CQ78" s="9" t="n">
        <f aca="false">(100*CP78)</f>
        <v>8.94308943089431</v>
      </c>
      <c r="CR78" s="18" t="n">
        <v>1</v>
      </c>
      <c r="CS78" s="9" t="n">
        <v>76.6</v>
      </c>
      <c r="CT78" s="9" t="n">
        <v>71.8</v>
      </c>
      <c r="CU78" s="9" t="n">
        <v>70.1</v>
      </c>
      <c r="CV78" s="9" t="n">
        <v>66</v>
      </c>
      <c r="CW78" s="11" t="n">
        <f aca="false">(CS78+CT78+CU78+CV78)/4</f>
        <v>71.125</v>
      </c>
      <c r="CX78" s="9" t="n">
        <v>0</v>
      </c>
      <c r="CY78" s="9" t="n">
        <v>0</v>
      </c>
      <c r="CZ78" s="9" t="n">
        <v>0</v>
      </c>
      <c r="DA78" s="9" t="n">
        <v>0</v>
      </c>
      <c r="DB78" s="11" t="n">
        <f aca="false">(CX78+CY78+CZ78+DA78)/4</f>
        <v>0</v>
      </c>
      <c r="DC78" s="9" t="n">
        <v>1</v>
      </c>
      <c r="DD78" s="9" t="n">
        <v>1</v>
      </c>
      <c r="DE78" s="9" t="n">
        <v>1</v>
      </c>
      <c r="DF78" s="9" t="n">
        <v>1</v>
      </c>
      <c r="DG78" s="11" t="n">
        <f aca="false">(DC78+DD78+DE78+DF78)/4</f>
        <v>1</v>
      </c>
      <c r="DH78" s="9" t="n">
        <v>1</v>
      </c>
      <c r="DI78" s="9" t="n">
        <v>1</v>
      </c>
      <c r="DJ78" s="9" t="n">
        <v>1</v>
      </c>
      <c r="DK78" s="9" t="n">
        <v>1</v>
      </c>
      <c r="DL78" s="11" t="n">
        <f aca="false">(DH78+DI78+DJ78+DK78)/4</f>
        <v>1</v>
      </c>
      <c r="DM78" s="9" t="n">
        <v>20</v>
      </c>
      <c r="DN78" s="9" t="n">
        <v>30</v>
      </c>
      <c r="DO78" s="9" t="n">
        <v>18</v>
      </c>
      <c r="DP78" s="9" t="n">
        <v>59</v>
      </c>
      <c r="DQ78" s="11" t="n">
        <f aca="false">(DM78+DN78+DO78+DP78)/4</f>
        <v>31.75</v>
      </c>
      <c r="DR78" s="9" t="n">
        <v>11</v>
      </c>
      <c r="DS78" s="9" t="n">
        <v>25</v>
      </c>
      <c r="DT78" s="9" t="n">
        <v>12</v>
      </c>
      <c r="DU78" s="9" t="n">
        <v>14</v>
      </c>
      <c r="DV78" s="11" t="n">
        <f aca="false">(DR78+DS78+DT78+DU78)/4</f>
        <v>15.5</v>
      </c>
      <c r="DW78" s="9" t="n">
        <v>0</v>
      </c>
      <c r="DX78" s="9" t="n">
        <v>0</v>
      </c>
      <c r="DY78" s="9" t="n">
        <v>0</v>
      </c>
      <c r="DZ78" s="9" t="n">
        <v>0</v>
      </c>
      <c r="EA78" s="11" t="n">
        <f aca="false">(DW78+DX78+DY78+DZ78)/4</f>
        <v>0</v>
      </c>
      <c r="EB78" s="11" t="n">
        <f aca="false">(DW78/DR78)</f>
        <v>0</v>
      </c>
      <c r="EC78" s="11" t="n">
        <f aca="false">(DX78/DS78)</f>
        <v>0</v>
      </c>
      <c r="ED78" s="11" t="n">
        <f aca="false">(DY78/DT78)</f>
        <v>0</v>
      </c>
      <c r="EE78" s="11" t="n">
        <f aca="false">(DZ78/DU78)</f>
        <v>0</v>
      </c>
      <c r="EF78" s="11" t="n">
        <f aca="false">(EA78/DV78)</f>
        <v>0</v>
      </c>
      <c r="EG78" s="11" t="n">
        <f aca="false">(100*EF78)</f>
        <v>0</v>
      </c>
      <c r="EH78" s="9" t="n">
        <v>0</v>
      </c>
      <c r="EI78" s="9" t="n">
        <v>6</v>
      </c>
      <c r="EJ78" s="9" t="n">
        <v>2</v>
      </c>
      <c r="EK78" s="19" t="n">
        <v>4</v>
      </c>
      <c r="EL78" s="9" t="n">
        <v>3</v>
      </c>
      <c r="EM78" s="9" t="n">
        <f aca="false">(EI78+EJ78+EK78+EL78)/4</f>
        <v>3.75</v>
      </c>
      <c r="EN78" s="9" t="n">
        <f aca="false">(EI78/DR78)</f>
        <v>0.545454545454545</v>
      </c>
      <c r="EO78" s="9" t="n">
        <f aca="false">(EJ78/DS78)</f>
        <v>0.08</v>
      </c>
      <c r="EP78" s="9" t="n">
        <f aca="false">(EK78/DT78)</f>
        <v>0.333333333333333</v>
      </c>
      <c r="EQ78" s="9" t="n">
        <f aca="false">(EL78/DU78)</f>
        <v>0.214285714285714</v>
      </c>
      <c r="ER78" s="9" t="n">
        <f aca="false">EM78/DV78</f>
        <v>0.241935483870968</v>
      </c>
      <c r="ES78" s="9" t="n">
        <f aca="false">(100*ER78)</f>
        <v>24.1935483870968</v>
      </c>
      <c r="ET78" s="9" t="n">
        <v>2</v>
      </c>
      <c r="EU78" s="18" t="n">
        <v>0</v>
      </c>
      <c r="EV78" s="9" t="n">
        <v>1</v>
      </c>
      <c r="EW78" s="9" t="n">
        <v>2</v>
      </c>
      <c r="EX78" s="9" t="n">
        <v>1</v>
      </c>
      <c r="EY78" s="11" t="n">
        <f aca="false">(EU78+EV78+EW78+EX78)/4</f>
        <v>1</v>
      </c>
      <c r="EZ78" s="11" t="n">
        <f aca="false">(EU78/DR78)</f>
        <v>0</v>
      </c>
      <c r="FA78" s="11" t="n">
        <f aca="false">(EV78/DS78)</f>
        <v>0.04</v>
      </c>
      <c r="FB78" s="11" t="n">
        <f aca="false">(EW78/DT78)</f>
        <v>0.166666666666667</v>
      </c>
      <c r="FC78" s="11" t="n">
        <f aca="false">(EX78/DU78)</f>
        <v>0.0714285714285714</v>
      </c>
      <c r="FD78" s="11" t="n">
        <f aca="false">(EY78/DV78)</f>
        <v>0.0645161290322581</v>
      </c>
      <c r="FE78" s="11" t="n">
        <f aca="false">(100*FD78)</f>
        <v>6.45161290322581</v>
      </c>
      <c r="FF78" s="9" t="n">
        <v>1</v>
      </c>
      <c r="FG78" s="9" t="n">
        <v>2</v>
      </c>
      <c r="FH78" s="9" t="n">
        <v>4</v>
      </c>
      <c r="FI78" s="9" t="n">
        <v>2</v>
      </c>
      <c r="FJ78" s="9" t="n">
        <v>2</v>
      </c>
      <c r="FK78" s="11" t="n">
        <f aca="false">(FG78+FH78+FI78+FJ78)/4</f>
        <v>2.5</v>
      </c>
      <c r="FL78" s="11" t="n">
        <f aca="false">(FG78/DR78)</f>
        <v>0.181818181818182</v>
      </c>
      <c r="FM78" s="11" t="n">
        <f aca="false">(FH78/DS78)</f>
        <v>0.16</v>
      </c>
      <c r="FN78" s="11" t="n">
        <f aca="false">(FI78/DT78)</f>
        <v>0.166666666666667</v>
      </c>
      <c r="FO78" s="11" t="n">
        <f aca="false">(FJ78/DU78)</f>
        <v>0.142857142857143</v>
      </c>
      <c r="FP78" s="11" t="n">
        <f aca="false">(FK78/DV78)</f>
        <v>0.161290322580645</v>
      </c>
      <c r="FQ78" s="11" t="n">
        <f aca="false">(100*FP78)</f>
        <v>16.1290322580645</v>
      </c>
      <c r="FR78" s="9" t="n">
        <v>2</v>
      </c>
      <c r="FS78" s="9" t="n">
        <v>60.9</v>
      </c>
      <c r="FT78" s="9" t="n">
        <v>75.6</v>
      </c>
      <c r="FU78" s="9" t="n">
        <v>56.7</v>
      </c>
      <c r="FV78" s="9" t="n">
        <v>72.2</v>
      </c>
      <c r="FW78" s="11" t="n">
        <f aca="false">(FS78+FT78+FU78+FV78)/4</f>
        <v>66.35</v>
      </c>
      <c r="FX78" s="9" t="n">
        <v>0</v>
      </c>
      <c r="FY78" s="9" t="n">
        <v>0</v>
      </c>
      <c r="FZ78" s="9" t="n">
        <v>0</v>
      </c>
      <c r="GA78" s="9" t="n">
        <v>0</v>
      </c>
      <c r="GB78" s="11" t="n">
        <f aca="false">(FX78+FY78+FZ78+GA78)/4</f>
        <v>0</v>
      </c>
      <c r="GC78" s="9" t="n">
        <v>1</v>
      </c>
      <c r="GD78" s="9" t="n">
        <v>0</v>
      </c>
      <c r="GE78" s="9" t="n">
        <v>1</v>
      </c>
      <c r="GF78" s="9" t="n">
        <v>1</v>
      </c>
      <c r="GG78" s="11" t="n">
        <f aca="false">(GC78+GD78+GE78+GF78)/4</f>
        <v>0.75</v>
      </c>
      <c r="GH78" s="9" t="n">
        <v>1</v>
      </c>
      <c r="GI78" s="9" t="n">
        <v>1</v>
      </c>
      <c r="GJ78" s="9" t="n">
        <v>1</v>
      </c>
      <c r="GK78" s="9" t="n">
        <v>1</v>
      </c>
      <c r="GL78" s="11" t="n">
        <f aca="false">(GH78+GI78+GJ78+GK78)/4</f>
        <v>1</v>
      </c>
      <c r="GM78" s="9" t="n">
        <v>44</v>
      </c>
      <c r="GN78" s="9" t="n">
        <v>28</v>
      </c>
      <c r="GO78" s="9" t="n">
        <v>57</v>
      </c>
      <c r="GP78" s="9" t="n">
        <v>21</v>
      </c>
      <c r="GQ78" s="11" t="n">
        <f aca="false">(GM78+GN78+GO78+GP78)/4</f>
        <v>37.5</v>
      </c>
      <c r="GR78" s="9" t="n">
        <v>17</v>
      </c>
      <c r="GS78" s="9" t="n">
        <v>35</v>
      </c>
      <c r="GT78" s="9" t="n">
        <v>19</v>
      </c>
      <c r="GU78" s="9" t="n">
        <v>24</v>
      </c>
      <c r="GV78" s="11" t="n">
        <f aca="false">(GR78+GS78+GT78+GU78)/4</f>
        <v>23.75</v>
      </c>
      <c r="GW78" s="9" t="n">
        <v>0</v>
      </c>
      <c r="GX78" s="9" t="n">
        <v>0</v>
      </c>
      <c r="GY78" s="9" t="n">
        <v>0</v>
      </c>
      <c r="GZ78" s="9" t="n">
        <v>0</v>
      </c>
      <c r="HA78" s="11" t="n">
        <f aca="false">(GW78+GX78+GY78+GZ78)/4</f>
        <v>0</v>
      </c>
      <c r="HB78" s="9" t="n">
        <f aca="false">(GW78/GR78)</f>
        <v>0</v>
      </c>
      <c r="HC78" s="9" t="n">
        <f aca="false">(GX78/GS78)</f>
        <v>0</v>
      </c>
      <c r="HD78" s="9" t="n">
        <f aca="false">(GY78/GT78)</f>
        <v>0</v>
      </c>
      <c r="HE78" s="9" t="n">
        <f aca="false">(GZ78/GU78)/4</f>
        <v>0</v>
      </c>
      <c r="HF78" s="9" t="n">
        <f aca="false">(HB78+HC78+HD78+HE78)/4</f>
        <v>0</v>
      </c>
      <c r="HG78" s="9" t="n">
        <f aca="false">(100*HF78)</f>
        <v>0</v>
      </c>
      <c r="HH78" s="18" t="n">
        <v>0</v>
      </c>
      <c r="HI78" s="9" t="n">
        <v>6</v>
      </c>
      <c r="HJ78" s="9" t="n">
        <v>0</v>
      </c>
      <c r="HK78" s="9" t="n">
        <v>1</v>
      </c>
      <c r="HL78" s="19" t="n">
        <v>2</v>
      </c>
      <c r="HM78" s="9" t="n">
        <f aca="false">(HI78+HJ78+HK78+HL78)/4</f>
        <v>2.25</v>
      </c>
      <c r="HN78" s="9" t="n">
        <f aca="false">(HI78/GR78)</f>
        <v>0.352941176470588</v>
      </c>
      <c r="HO78" s="9" t="n">
        <f aca="false">(HJ78/GS78)</f>
        <v>0</v>
      </c>
      <c r="HP78" s="9" t="n">
        <f aca="false">(HK78/GT78)</f>
        <v>0.0526315789473684</v>
      </c>
      <c r="HQ78" s="9" t="n">
        <f aca="false">(HL78/GU78)</f>
        <v>0.0833333333333333</v>
      </c>
      <c r="HR78" s="9" t="n">
        <f aca="false">(HM78/GV78)</f>
        <v>0.0947368421052632</v>
      </c>
      <c r="HS78" s="9" t="n">
        <f aca="false">(100*HR78)</f>
        <v>9.47368421052632</v>
      </c>
      <c r="HT78" s="18" t="n">
        <v>1</v>
      </c>
      <c r="HU78" s="9" t="n">
        <v>0</v>
      </c>
      <c r="HV78" s="9" t="n">
        <v>1</v>
      </c>
      <c r="HW78" s="9" t="n">
        <v>2</v>
      </c>
      <c r="HX78" s="19" t="n">
        <v>1</v>
      </c>
      <c r="HY78" s="9" t="n">
        <f aca="false">(HU78+HV78+HW78+HX78)/4</f>
        <v>1</v>
      </c>
      <c r="HZ78" s="9" t="n">
        <f aca="false">(HU78/GR78)</f>
        <v>0</v>
      </c>
      <c r="IA78" s="9" t="n">
        <f aca="false">HV78/GS78</f>
        <v>0.0285714285714286</v>
      </c>
      <c r="IB78" s="9" t="n">
        <f aca="false">(HW78/GT78)</f>
        <v>0.105263157894737</v>
      </c>
      <c r="IC78" s="9" t="n">
        <f aca="false">(HX78/GU78)</f>
        <v>0.0416666666666667</v>
      </c>
      <c r="ID78" s="9" t="n">
        <f aca="false">(HY78/GV78)</f>
        <v>0.0421052631578947</v>
      </c>
      <c r="IE78" s="9" t="n">
        <f aca="false">(100*ID78)</f>
        <v>4.21052631578947</v>
      </c>
      <c r="IF78" s="18" t="n">
        <v>1</v>
      </c>
      <c r="IG78" s="9" t="n">
        <v>2</v>
      </c>
      <c r="IH78" s="9" t="n">
        <v>4</v>
      </c>
      <c r="II78" s="19" t="n">
        <v>2</v>
      </c>
      <c r="IJ78" s="9" t="n">
        <v>2</v>
      </c>
      <c r="IK78" s="9" t="n">
        <f aca="false">(IG78+IH78+II78+IJ78)/4</f>
        <v>2.5</v>
      </c>
      <c r="IL78" s="9" t="n">
        <f aca="false">(IG78/GM78)</f>
        <v>0.0454545454545455</v>
      </c>
      <c r="IM78" s="9" t="n">
        <f aca="false">(IH78/GN78)</f>
        <v>0.142857142857143</v>
      </c>
      <c r="IN78" s="9" t="n">
        <f aca="false">(II78/GO78)</f>
        <v>0.0350877192982456</v>
      </c>
      <c r="IO78" s="9" t="n">
        <f aca="false">(IJ78/GP78)</f>
        <v>0.0952380952380952</v>
      </c>
      <c r="IP78" s="9" t="n">
        <f aca="false">(IK78/GQ78)</f>
        <v>0.0666666666666667</v>
      </c>
      <c r="IQ78" s="9" t="n">
        <f aca="false">(100*IP78)</f>
        <v>6.66666666666667</v>
      </c>
      <c r="IR78" s="18" t="n">
        <v>1</v>
      </c>
      <c r="IS78" s="9" t="n">
        <v>70.8</v>
      </c>
      <c r="IT78" s="9" t="n">
        <v>57.3</v>
      </c>
      <c r="IU78" s="19" t="n">
        <v>60.3</v>
      </c>
      <c r="IV78" s="9" t="n">
        <v>51.8</v>
      </c>
      <c r="IW78" s="9" t="n">
        <f aca="false">(IS78+IT78+IU78+IV78)/4</f>
        <v>60.05</v>
      </c>
      <c r="IX78" s="16" t="n">
        <v>45249</v>
      </c>
      <c r="IY78" s="10" t="s">
        <v>268</v>
      </c>
    </row>
    <row r="79" customFormat="false" ht="15.75" hidden="false" customHeight="true" outlineLevel="0" collapsed="false">
      <c r="A79" s="9" t="s">
        <v>299</v>
      </c>
      <c r="B79" s="10" t="s">
        <v>445</v>
      </c>
      <c r="C79" s="10" t="s">
        <v>400</v>
      </c>
      <c r="D79" s="9" t="n">
        <v>4</v>
      </c>
      <c r="E79" s="9" t="n">
        <v>26</v>
      </c>
      <c r="F79" s="10" t="s">
        <v>450</v>
      </c>
      <c r="G79" s="10" t="s">
        <v>280</v>
      </c>
      <c r="H79" s="9" t="n">
        <v>21</v>
      </c>
      <c r="I79" s="9" t="n">
        <v>20</v>
      </c>
      <c r="J79" s="10" t="s">
        <v>272</v>
      </c>
      <c r="K79" s="30"/>
      <c r="L79" s="30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 t="n">
        <v>0</v>
      </c>
      <c r="Y79" s="9" t="n">
        <v>0</v>
      </c>
      <c r="Z79" s="9" t="n">
        <v>0</v>
      </c>
      <c r="AA79" s="9" t="n">
        <v>0</v>
      </c>
      <c r="AB79" s="11" t="n">
        <f aca="false">(X79+Y79+Z79+AA79)/4</f>
        <v>0</v>
      </c>
      <c r="AC79" s="9" t="n">
        <v>1</v>
      </c>
      <c r="AD79" s="9" t="n">
        <v>1</v>
      </c>
      <c r="AE79" s="9" t="n">
        <v>1</v>
      </c>
      <c r="AF79" s="9" t="n">
        <v>1</v>
      </c>
      <c r="AG79" s="11" t="n">
        <f aca="false">(AC79+AD79+AE79+AF79)/4</f>
        <v>1</v>
      </c>
      <c r="AH79" s="9" t="n">
        <v>0</v>
      </c>
      <c r="AI79" s="9" t="n">
        <v>1</v>
      </c>
      <c r="AJ79" s="9" t="n">
        <v>0</v>
      </c>
      <c r="AK79" s="9" t="n">
        <v>0</v>
      </c>
      <c r="AL79" s="11" t="n">
        <f aca="false">(AH79+AI79+AJ79+AK79)/4</f>
        <v>0.25</v>
      </c>
      <c r="AM79" s="9" t="n">
        <v>5</v>
      </c>
      <c r="AN79" s="9" t="n">
        <v>5</v>
      </c>
      <c r="AO79" s="9" t="n">
        <v>4</v>
      </c>
      <c r="AP79" s="9" t="n">
        <v>2</v>
      </c>
      <c r="AQ79" s="11" t="n">
        <f aca="false">(AM79+AN79+AO79+AP79)/4</f>
        <v>4</v>
      </c>
      <c r="AR79" s="9" t="n">
        <v>12</v>
      </c>
      <c r="AS79" s="9" t="n">
        <v>13</v>
      </c>
      <c r="AT79" s="9" t="n">
        <v>14</v>
      </c>
      <c r="AU79" s="9" t="n">
        <v>14</v>
      </c>
      <c r="AV79" s="11" t="n">
        <f aca="false">(AR79+AS79+AT79+AU79)/4</f>
        <v>13.25</v>
      </c>
      <c r="AW79" s="9" t="n">
        <v>0</v>
      </c>
      <c r="AX79" s="9" t="n">
        <v>0</v>
      </c>
      <c r="AY79" s="9" t="n">
        <v>0</v>
      </c>
      <c r="AZ79" s="9" t="n">
        <v>0</v>
      </c>
      <c r="BA79" s="11" t="n">
        <f aca="false">(AW79+AX79+AY79+AZ79)/4</f>
        <v>0</v>
      </c>
      <c r="BB79" s="11" t="n">
        <f aca="false">(AW79/AR79)</f>
        <v>0</v>
      </c>
      <c r="BC79" s="11" t="n">
        <f aca="false">(AX79/AS79)</f>
        <v>0</v>
      </c>
      <c r="BD79" s="11" t="n">
        <f aca="false">(AY79/AT79)</f>
        <v>0</v>
      </c>
      <c r="BE79" s="11" t="n">
        <f aca="false">(AZ79/AU79)</f>
        <v>0</v>
      </c>
      <c r="BF79" s="11" t="n">
        <f aca="false">(BA79/AV79)</f>
        <v>0</v>
      </c>
      <c r="BG79" s="11" t="n">
        <f aca="false">(BF79*100)</f>
        <v>0</v>
      </c>
      <c r="BH79" s="9" t="n">
        <v>0</v>
      </c>
      <c r="BI79" s="9" t="n">
        <v>0</v>
      </c>
      <c r="BJ79" s="9" t="n">
        <v>0</v>
      </c>
      <c r="BK79" s="9" t="n">
        <v>0</v>
      </c>
      <c r="BL79" s="9" t="n">
        <v>0</v>
      </c>
      <c r="BM79" s="11" t="n">
        <f aca="false">(BI79+BJ79+BK79+BL79)/4</f>
        <v>0</v>
      </c>
      <c r="BN79" s="11" t="n">
        <f aca="false">(BI79/AR79)</f>
        <v>0</v>
      </c>
      <c r="BO79" s="11" t="n">
        <f aca="false">(BJ79/AS79)</f>
        <v>0</v>
      </c>
      <c r="BP79" s="11" t="n">
        <f aca="false">(BK79/AT79)</f>
        <v>0</v>
      </c>
      <c r="BQ79" s="11" t="n">
        <f aca="false">(BL79/AU79)</f>
        <v>0</v>
      </c>
      <c r="BR79" s="11" t="n">
        <f aca="false">(BM79/AV79)</f>
        <v>0</v>
      </c>
      <c r="BS79" s="11" t="n">
        <f aca="false">(100*BR79)</f>
        <v>0</v>
      </c>
      <c r="BT79" s="9" t="n">
        <v>0</v>
      </c>
      <c r="BU79" s="9" t="n">
        <v>0</v>
      </c>
      <c r="BV79" s="9" t="n">
        <v>2</v>
      </c>
      <c r="BW79" s="9" t="n">
        <v>0</v>
      </c>
      <c r="BX79" s="9" t="n">
        <v>0</v>
      </c>
      <c r="BY79" s="11" t="n">
        <f aca="false">(BU79+BV79+BW79+BX79)/4</f>
        <v>0.5</v>
      </c>
      <c r="BZ79" s="11" t="n">
        <f aca="false">(BU79/AR79)</f>
        <v>0</v>
      </c>
      <c r="CA79" s="11" t="n">
        <f aca="false">(BV79/AS79)</f>
        <v>0.153846153846154</v>
      </c>
      <c r="CB79" s="11" t="n">
        <f aca="false">(BW79/AT79)</f>
        <v>0</v>
      </c>
      <c r="CC79" s="11" t="n">
        <f aca="false">(BX79/AU79)</f>
        <v>0</v>
      </c>
      <c r="CD79" s="11" t="n">
        <f aca="false">(BY79/AV79)</f>
        <v>0.0377358490566038</v>
      </c>
      <c r="CE79" s="11" t="n">
        <f aca="false">(100*CD79)</f>
        <v>3.77358490566038</v>
      </c>
      <c r="CF79" s="9" t="n">
        <v>1</v>
      </c>
      <c r="CG79" s="9" t="n">
        <v>0</v>
      </c>
      <c r="CH79" s="9" t="n">
        <v>1</v>
      </c>
      <c r="CI79" s="9" t="n">
        <v>0</v>
      </c>
      <c r="CJ79" s="9" t="n">
        <v>0</v>
      </c>
      <c r="CK79" s="11" t="n">
        <f aca="false">(CG79+CH79+CI79+CJ79)/4</f>
        <v>0.25</v>
      </c>
      <c r="CL79" s="11" t="n">
        <f aca="false">(CG79/AM79)</f>
        <v>0</v>
      </c>
      <c r="CM79" s="11" t="n">
        <f aca="false">(CH79/AN79)</f>
        <v>0.2</v>
      </c>
      <c r="CN79" s="11" t="n">
        <f aca="false">(CI79/AO79)</f>
        <v>0</v>
      </c>
      <c r="CO79" s="9" t="n">
        <f aca="false">(CJ79/AP79)</f>
        <v>0</v>
      </c>
      <c r="CP79" s="9" t="n">
        <f aca="false">(CK79/AQ79)</f>
        <v>0.0625</v>
      </c>
      <c r="CQ79" s="9" t="n">
        <f aca="false">(100*CP79)</f>
        <v>6.25</v>
      </c>
      <c r="CR79" s="18" t="n">
        <v>1</v>
      </c>
      <c r="CS79" s="9" t="n">
        <v>53.8</v>
      </c>
      <c r="CT79" s="9" t="n">
        <v>40.4</v>
      </c>
      <c r="CU79" s="9" t="n">
        <v>53.1</v>
      </c>
      <c r="CV79" s="9" t="n">
        <v>69.1</v>
      </c>
      <c r="CW79" s="11" t="n">
        <f aca="false">(CS79+CT79+CU79+CV79)/4</f>
        <v>54.1</v>
      </c>
      <c r="CX79" s="9" t="n">
        <v>0</v>
      </c>
      <c r="CY79" s="9" t="n">
        <v>0</v>
      </c>
      <c r="CZ79" s="9" t="n">
        <v>0</v>
      </c>
      <c r="DA79" s="9" t="n">
        <v>0</v>
      </c>
      <c r="DB79" s="11" t="n">
        <f aca="false">(CX79+CY79+CZ79+DA79)/4</f>
        <v>0</v>
      </c>
      <c r="DC79" s="9" t="n">
        <v>5</v>
      </c>
      <c r="DD79" s="9" t="n">
        <v>6</v>
      </c>
      <c r="DE79" s="9" t="n">
        <v>7</v>
      </c>
      <c r="DF79" s="9" t="n">
        <v>0</v>
      </c>
      <c r="DG79" s="11" t="n">
        <f aca="false">(DC79+DD79+DE79+DF79)/4</f>
        <v>4.5</v>
      </c>
      <c r="DH79" s="9" t="n">
        <v>0</v>
      </c>
      <c r="DI79" s="9" t="n">
        <v>0</v>
      </c>
      <c r="DJ79" s="9" t="n">
        <v>1</v>
      </c>
      <c r="DK79" s="9" t="n">
        <v>1</v>
      </c>
      <c r="DL79" s="11" t="n">
        <f aca="false">(DH79+DI79+DJ79+DK79)/4</f>
        <v>0.5</v>
      </c>
      <c r="DM79" s="9" t="n">
        <v>5</v>
      </c>
      <c r="DN79" s="9" t="n">
        <v>6</v>
      </c>
      <c r="DO79" s="9" t="n">
        <v>7</v>
      </c>
      <c r="DP79" s="9" t="n">
        <v>0</v>
      </c>
      <c r="DQ79" s="11" t="n">
        <f aca="false">(DM79+DN79+DO79+DP79)/4</f>
        <v>4.5</v>
      </c>
      <c r="DR79" s="9" t="n">
        <v>12</v>
      </c>
      <c r="DS79" s="9" t="n">
        <v>13</v>
      </c>
      <c r="DT79" s="9" t="n">
        <v>14</v>
      </c>
      <c r="DU79" s="9" t="n">
        <v>14</v>
      </c>
      <c r="DV79" s="11" t="n">
        <f aca="false">(DR79+DS79+DT79+DU79)/4</f>
        <v>13.25</v>
      </c>
      <c r="DW79" s="9" t="n">
        <v>0</v>
      </c>
      <c r="DX79" s="9" t="n">
        <v>0</v>
      </c>
      <c r="DY79" s="9" t="n">
        <v>0</v>
      </c>
      <c r="DZ79" s="9" t="n">
        <v>0</v>
      </c>
      <c r="EA79" s="11" t="n">
        <f aca="false">(DW79+DX79+DY79+DZ79)/4</f>
        <v>0</v>
      </c>
      <c r="EB79" s="11" t="n">
        <f aca="false">(DW79/DR79)</f>
        <v>0</v>
      </c>
      <c r="EC79" s="11" t="n">
        <f aca="false">(DX79/DS79)</f>
        <v>0</v>
      </c>
      <c r="ED79" s="11" t="n">
        <f aca="false">(DY79/DT79)</f>
        <v>0</v>
      </c>
      <c r="EE79" s="11" t="n">
        <f aca="false">(DZ79/DU79)</f>
        <v>0</v>
      </c>
      <c r="EF79" s="11" t="n">
        <f aca="false">(EA79/DV79)</f>
        <v>0</v>
      </c>
      <c r="EG79" s="11" t="n">
        <f aca="false">(100*EF79)</f>
        <v>0</v>
      </c>
      <c r="EH79" s="9" t="n">
        <v>0</v>
      </c>
      <c r="EI79" s="9" t="n">
        <v>2</v>
      </c>
      <c r="EJ79" s="9" t="n">
        <v>1</v>
      </c>
      <c r="EK79" s="19" t="n">
        <v>4</v>
      </c>
      <c r="EL79" s="9" t="n">
        <v>2</v>
      </c>
      <c r="EM79" s="9" t="n">
        <f aca="false">(EI79+EJ79+EK79+EL79)/4</f>
        <v>2.25</v>
      </c>
      <c r="EN79" s="9" t="n">
        <f aca="false">(EI79/DR79)</f>
        <v>0.166666666666667</v>
      </c>
      <c r="EO79" s="9" t="n">
        <f aca="false">(EJ79/DS79)</f>
        <v>0.0769230769230769</v>
      </c>
      <c r="EP79" s="9" t="n">
        <f aca="false">(EK79/DT79)</f>
        <v>0.285714285714286</v>
      </c>
      <c r="EQ79" s="9" t="n">
        <f aca="false">(EL79/DU79)</f>
        <v>0.142857142857143</v>
      </c>
      <c r="ER79" s="9" t="n">
        <f aca="false">EM79/DV79</f>
        <v>0.169811320754717</v>
      </c>
      <c r="ES79" s="9" t="n">
        <f aca="false">(100*ER79)</f>
        <v>16.9811320754717</v>
      </c>
      <c r="ET79" s="9" t="n">
        <v>2</v>
      </c>
      <c r="EU79" s="18" t="n">
        <v>0</v>
      </c>
      <c r="EV79" s="9" t="n">
        <v>2</v>
      </c>
      <c r="EW79" s="9" t="n">
        <v>0</v>
      </c>
      <c r="EX79" s="9" t="n">
        <v>0</v>
      </c>
      <c r="EY79" s="11" t="n">
        <f aca="false">(EU79+EV79+EW79+EX79)/4</f>
        <v>0.5</v>
      </c>
      <c r="EZ79" s="11" t="n">
        <f aca="false">(EU79/DR79)</f>
        <v>0</v>
      </c>
      <c r="FA79" s="11" t="n">
        <f aca="false">(EV79/DS79)</f>
        <v>0.153846153846154</v>
      </c>
      <c r="FB79" s="11" t="n">
        <f aca="false">(EW79/DT79)</f>
        <v>0</v>
      </c>
      <c r="FC79" s="11" t="n">
        <f aca="false">(EX79/DU79)</f>
        <v>0</v>
      </c>
      <c r="FD79" s="11" t="n">
        <f aca="false">(EY79/DV79)</f>
        <v>0.0377358490566038</v>
      </c>
      <c r="FE79" s="11" t="n">
        <f aca="false">(100*FD79)</f>
        <v>3.77358490566038</v>
      </c>
      <c r="FF79" s="9" t="n">
        <v>1</v>
      </c>
      <c r="FG79" s="9" t="n">
        <v>0</v>
      </c>
      <c r="FH79" s="9" t="n">
        <v>2</v>
      </c>
      <c r="FI79" s="9" t="n">
        <v>0</v>
      </c>
      <c r="FJ79" s="9" t="n">
        <v>0</v>
      </c>
      <c r="FK79" s="11" t="n">
        <f aca="false">(FG79+FH79+FI79+FJ79)/4</f>
        <v>0.5</v>
      </c>
      <c r="FL79" s="11" t="n">
        <f aca="false">(FG79/DR79)</f>
        <v>0</v>
      </c>
      <c r="FM79" s="11" t="n">
        <f aca="false">(FH79/DS79)</f>
        <v>0.153846153846154</v>
      </c>
      <c r="FN79" s="11" t="n">
        <f aca="false">(FI79/DT79)</f>
        <v>0</v>
      </c>
      <c r="FO79" s="11" t="n">
        <f aca="false">(FJ79/DU79)</f>
        <v>0</v>
      </c>
      <c r="FP79" s="11" t="n">
        <f aca="false">(FK79/DV79)</f>
        <v>0.0377358490566038</v>
      </c>
      <c r="FQ79" s="11" t="n">
        <f aca="false">(100*FP79)</f>
        <v>3.77358490566038</v>
      </c>
      <c r="FR79" s="9" t="n">
        <v>1</v>
      </c>
      <c r="FS79" s="9" t="n">
        <v>62.8</v>
      </c>
      <c r="FT79" s="9" t="n">
        <v>51.9</v>
      </c>
      <c r="FU79" s="9" t="n">
        <v>55.5</v>
      </c>
      <c r="FV79" s="9" t="n">
        <v>66.3</v>
      </c>
      <c r="FW79" s="11" t="n">
        <f aca="false">(FS79+FT79+FU79+FV79)/4</f>
        <v>59.125</v>
      </c>
      <c r="FX79" s="9" t="n">
        <v>0</v>
      </c>
      <c r="FY79" s="9" t="n">
        <v>0</v>
      </c>
      <c r="FZ79" s="9" t="n">
        <v>0</v>
      </c>
      <c r="GA79" s="9" t="n">
        <v>0</v>
      </c>
      <c r="GB79" s="11" t="n">
        <f aca="false">(FX79+FY79+FZ79+GA79)/4</f>
        <v>0</v>
      </c>
      <c r="GC79" s="9" t="n">
        <v>0</v>
      </c>
      <c r="GD79" s="9" t="n">
        <v>0</v>
      </c>
      <c r="GE79" s="9" t="n">
        <v>0</v>
      </c>
      <c r="GF79" s="9" t="n">
        <v>0</v>
      </c>
      <c r="GG79" s="11" t="n">
        <f aca="false">(GC79+GD79+GE79+GF79)/4</f>
        <v>0</v>
      </c>
      <c r="GH79" s="9" t="n">
        <v>0</v>
      </c>
      <c r="GI79" s="9" t="n">
        <v>0</v>
      </c>
      <c r="GJ79" s="9" t="n">
        <v>0</v>
      </c>
      <c r="GK79" s="9" t="n">
        <v>2</v>
      </c>
      <c r="GL79" s="11" t="n">
        <f aca="false">(GH79+GI79+GJ79+GK79)/4</f>
        <v>0.5</v>
      </c>
      <c r="GM79" s="9" t="n">
        <v>4</v>
      </c>
      <c r="GN79" s="9" t="n">
        <v>2</v>
      </c>
      <c r="GO79" s="9" t="n">
        <v>4</v>
      </c>
      <c r="GP79" s="9" t="n">
        <v>2</v>
      </c>
      <c r="GQ79" s="11" t="n">
        <f aca="false">(GM79+GN79+GO79+GP79)/4</f>
        <v>3</v>
      </c>
      <c r="GR79" s="9" t="n">
        <v>6</v>
      </c>
      <c r="GS79" s="9" t="n">
        <v>71</v>
      </c>
      <c r="GT79" s="9" t="n">
        <v>21</v>
      </c>
      <c r="GU79" s="9" t="n">
        <v>11</v>
      </c>
      <c r="GV79" s="11" t="n">
        <f aca="false">(GR79+GS79+GT79+GU79)/4</f>
        <v>27.25</v>
      </c>
      <c r="GW79" s="9" t="n">
        <v>0</v>
      </c>
      <c r="GX79" s="9" t="n">
        <v>0</v>
      </c>
      <c r="GY79" s="9" t="n">
        <v>0</v>
      </c>
      <c r="GZ79" s="9" t="n">
        <v>0</v>
      </c>
      <c r="HA79" s="11" t="n">
        <f aca="false">(GW79+GX79+GY79+GZ79)/4</f>
        <v>0</v>
      </c>
      <c r="HB79" s="9" t="n">
        <f aca="false">(GW79/GR79)</f>
        <v>0</v>
      </c>
      <c r="HC79" s="9" t="n">
        <f aca="false">(GX79/GS79)</f>
        <v>0</v>
      </c>
      <c r="HD79" s="9" t="n">
        <f aca="false">(GY79/GT79)</f>
        <v>0</v>
      </c>
      <c r="HE79" s="9" t="n">
        <f aca="false">(GZ79/GU79)/4</f>
        <v>0</v>
      </c>
      <c r="HF79" s="9" t="n">
        <f aca="false">(HB79+HC79+HD79+HE79)/4</f>
        <v>0</v>
      </c>
      <c r="HG79" s="9" t="n">
        <f aca="false">(100*HF79)</f>
        <v>0</v>
      </c>
      <c r="HH79" s="18" t="n">
        <v>0</v>
      </c>
      <c r="HI79" s="9" t="n">
        <v>4</v>
      </c>
      <c r="HJ79" s="9" t="n">
        <v>5</v>
      </c>
      <c r="HK79" s="9" t="n">
        <v>4</v>
      </c>
      <c r="HL79" s="19" t="n">
        <v>6</v>
      </c>
      <c r="HM79" s="9" t="n">
        <f aca="false">(HI79+HJ79+HK79+HL79)/4</f>
        <v>4.75</v>
      </c>
      <c r="HN79" s="9" t="n">
        <f aca="false">(HI79/GR79)</f>
        <v>0.666666666666667</v>
      </c>
      <c r="HO79" s="9" t="n">
        <f aca="false">(HJ79/GS79)</f>
        <v>0.0704225352112676</v>
      </c>
      <c r="HP79" s="9" t="n">
        <f aca="false">(HK79/GT79)</f>
        <v>0.19047619047619</v>
      </c>
      <c r="HQ79" s="9" t="n">
        <f aca="false">(HL79/GU79)</f>
        <v>0.545454545454545</v>
      </c>
      <c r="HR79" s="9" t="n">
        <f aca="false">(HM79/GV79)</f>
        <v>0.174311926605505</v>
      </c>
      <c r="HS79" s="9" t="n">
        <f aca="false">(100*HR79)</f>
        <v>17.4311926605505</v>
      </c>
      <c r="HT79" s="18" t="n">
        <v>2</v>
      </c>
      <c r="HU79" s="9" t="n">
        <v>0</v>
      </c>
      <c r="HV79" s="9" t="n">
        <v>0</v>
      </c>
      <c r="HW79" s="9" t="n">
        <v>0</v>
      </c>
      <c r="HX79" s="19" t="n">
        <v>0</v>
      </c>
      <c r="HY79" s="9" t="n">
        <f aca="false">(HU79+HV79+HW79+HX79)/4</f>
        <v>0</v>
      </c>
      <c r="HZ79" s="9" t="n">
        <f aca="false">(HU79/GR79)</f>
        <v>0</v>
      </c>
      <c r="IA79" s="9" t="n">
        <f aca="false">HV79/GS79</f>
        <v>0</v>
      </c>
      <c r="IB79" s="9" t="n">
        <f aca="false">(HW79/GT79)</f>
        <v>0</v>
      </c>
      <c r="IC79" s="9" t="n">
        <f aca="false">(HX79/GU79)</f>
        <v>0</v>
      </c>
      <c r="ID79" s="9" t="n">
        <f aca="false">(HY79/GV79)</f>
        <v>0</v>
      </c>
      <c r="IE79" s="9" t="n">
        <f aca="false">(100*ID79)</f>
        <v>0</v>
      </c>
      <c r="IF79" s="18" t="n">
        <v>0</v>
      </c>
      <c r="IG79" s="9" t="n">
        <v>2</v>
      </c>
      <c r="IH79" s="9" t="n">
        <v>1</v>
      </c>
      <c r="II79" s="19" t="n">
        <v>2</v>
      </c>
      <c r="IJ79" s="9" t="n">
        <v>0</v>
      </c>
      <c r="IK79" s="9" t="n">
        <f aca="false">(IG79+IH79+II79+IJ79)/4</f>
        <v>1.25</v>
      </c>
      <c r="IL79" s="9" t="n">
        <f aca="false">(IG79/GM79)</f>
        <v>0.5</v>
      </c>
      <c r="IM79" s="9" t="n">
        <f aca="false">(IH79/GN79)</f>
        <v>0.5</v>
      </c>
      <c r="IN79" s="9" t="n">
        <f aca="false">(II79/GO79)</f>
        <v>0.5</v>
      </c>
      <c r="IO79" s="9" t="n">
        <f aca="false">(IJ79/GP79)</f>
        <v>0</v>
      </c>
      <c r="IP79" s="9" t="n">
        <f aca="false">(IK79/GQ79)</f>
        <v>0.416666666666667</v>
      </c>
      <c r="IQ79" s="9" t="n">
        <f aca="false">(100*IP79)</f>
        <v>41.6666666666667</v>
      </c>
      <c r="IR79" s="18" t="n">
        <v>3</v>
      </c>
      <c r="IS79" s="9" t="n">
        <v>65.7</v>
      </c>
      <c r="IT79" s="9" t="n">
        <v>56.1</v>
      </c>
      <c r="IU79" s="19" t="n">
        <v>50</v>
      </c>
      <c r="IV79" s="9" t="n">
        <v>61.9</v>
      </c>
      <c r="IW79" s="9" t="n">
        <f aca="false">(IS79+IT79+IU79+IV79)/4</f>
        <v>58.425</v>
      </c>
      <c r="IX79" s="16" t="n">
        <v>45249</v>
      </c>
      <c r="IY79" s="10" t="s">
        <v>268</v>
      </c>
    </row>
    <row r="80" customFormat="false" ht="15.75" hidden="false" customHeight="true" outlineLevel="0" collapsed="false">
      <c r="A80" s="9" t="s">
        <v>299</v>
      </c>
      <c r="B80" s="10" t="s">
        <v>451</v>
      </c>
      <c r="C80" s="10" t="s">
        <v>400</v>
      </c>
      <c r="D80" s="9" t="n">
        <v>5</v>
      </c>
      <c r="E80" s="9" t="n">
        <v>27</v>
      </c>
      <c r="F80" s="10" t="s">
        <v>452</v>
      </c>
      <c r="G80" s="10" t="s">
        <v>297</v>
      </c>
      <c r="H80" s="9" t="n">
        <v>21</v>
      </c>
      <c r="I80" s="9" t="n">
        <v>5</v>
      </c>
      <c r="J80" s="12" t="s">
        <v>264</v>
      </c>
      <c r="K80" s="28" t="s">
        <v>453</v>
      </c>
      <c r="L80" s="28" t="s">
        <v>454</v>
      </c>
      <c r="M80" s="9" t="n">
        <v>1304</v>
      </c>
      <c r="N80" s="15" t="n">
        <v>45153</v>
      </c>
      <c r="O80" s="10" t="s">
        <v>294</v>
      </c>
      <c r="P80" s="9"/>
      <c r="Q80" s="9" t="n">
        <v>0.38</v>
      </c>
      <c r="R80" s="9" t="n">
        <v>20</v>
      </c>
      <c r="S80" s="9" t="n">
        <v>-10</v>
      </c>
      <c r="T80" s="9" t="n">
        <v>140</v>
      </c>
      <c r="U80" s="9"/>
      <c r="V80" s="9" t="n">
        <v>3.63</v>
      </c>
      <c r="W80" s="9" t="s">
        <v>455</v>
      </c>
      <c r="X80" s="9" t="n">
        <v>0</v>
      </c>
      <c r="Y80" s="9" t="n">
        <v>0</v>
      </c>
      <c r="Z80" s="9" t="n">
        <v>0</v>
      </c>
      <c r="AA80" s="9" t="n">
        <v>0</v>
      </c>
      <c r="AB80" s="11" t="n">
        <f aca="false">(X80+Y80+Z80+AA80)/4</f>
        <v>0</v>
      </c>
      <c r="AC80" s="9" t="n">
        <v>1</v>
      </c>
      <c r="AD80" s="9" t="n">
        <v>1</v>
      </c>
      <c r="AE80" s="9" t="n">
        <v>1</v>
      </c>
      <c r="AF80" s="9" t="n">
        <v>1</v>
      </c>
      <c r="AG80" s="11" t="n">
        <f aca="false">(AC80+AD80+AE80+AF80)/4</f>
        <v>1</v>
      </c>
      <c r="AH80" s="9" t="n">
        <v>1</v>
      </c>
      <c r="AI80" s="9" t="n">
        <v>1</v>
      </c>
      <c r="AJ80" s="9" t="n">
        <v>0</v>
      </c>
      <c r="AK80" s="9" t="n">
        <v>0</v>
      </c>
      <c r="AL80" s="11" t="n">
        <f aca="false">(AH80+AI80+AJ80+AK80)/4</f>
        <v>0.5</v>
      </c>
      <c r="AM80" s="9" t="n">
        <v>27</v>
      </c>
      <c r="AN80" s="9" t="n">
        <v>63</v>
      </c>
      <c r="AO80" s="9" t="n">
        <v>0</v>
      </c>
      <c r="AP80" s="9" t="n">
        <v>34</v>
      </c>
      <c r="AQ80" s="11" t="n">
        <f aca="false">(AM80+AN80+AO80+AP80)/4</f>
        <v>31</v>
      </c>
      <c r="AR80" s="9" t="n">
        <v>14</v>
      </c>
      <c r="AS80" s="9" t="n">
        <v>36</v>
      </c>
      <c r="AT80" s="9" t="n">
        <v>5</v>
      </c>
      <c r="AU80" s="9" t="n">
        <v>19</v>
      </c>
      <c r="AV80" s="11" t="n">
        <f aca="false">(AR80+AS80+AT80+AU80)/4</f>
        <v>18.5</v>
      </c>
      <c r="AW80" s="9" t="n">
        <v>0</v>
      </c>
      <c r="AX80" s="9" t="n">
        <v>0</v>
      </c>
      <c r="AY80" s="9" t="n">
        <v>0</v>
      </c>
      <c r="AZ80" s="9" t="n">
        <v>0</v>
      </c>
      <c r="BA80" s="11" t="n">
        <f aca="false">(AW80+AX80+AY80+AZ80)/4</f>
        <v>0</v>
      </c>
      <c r="BB80" s="11" t="n">
        <f aca="false">(AW80/AR80)</f>
        <v>0</v>
      </c>
      <c r="BC80" s="11" t="n">
        <f aca="false">(AX80/AS80)</f>
        <v>0</v>
      </c>
      <c r="BD80" s="11" t="n">
        <f aca="false">(AY80/AT80)</f>
        <v>0</v>
      </c>
      <c r="BE80" s="11" t="n">
        <f aca="false">(AZ80/AU80)</f>
        <v>0</v>
      </c>
      <c r="BF80" s="11" t="n">
        <f aca="false">(BA80/AV80)</f>
        <v>0</v>
      </c>
      <c r="BG80" s="11" t="n">
        <f aca="false">(BF80*100)</f>
        <v>0</v>
      </c>
      <c r="BH80" s="9" t="n">
        <v>0</v>
      </c>
      <c r="BI80" s="9" t="n">
        <v>5</v>
      </c>
      <c r="BJ80" s="9" t="n">
        <v>11</v>
      </c>
      <c r="BK80" s="9" t="n">
        <v>2</v>
      </c>
      <c r="BL80" s="9" t="n">
        <v>6</v>
      </c>
      <c r="BM80" s="11" t="n">
        <f aca="false">(BI80+BJ80+BK80+BL80)/4</f>
        <v>6</v>
      </c>
      <c r="BN80" s="11" t="n">
        <f aca="false">(BI80/AR80)</f>
        <v>0.357142857142857</v>
      </c>
      <c r="BO80" s="11" t="n">
        <f aca="false">(BJ80/AS80)</f>
        <v>0.305555555555556</v>
      </c>
      <c r="BP80" s="11" t="n">
        <f aca="false">(BK80/AT80)</f>
        <v>0.4</v>
      </c>
      <c r="BQ80" s="11" t="n">
        <f aca="false">(BL80/AU80)</f>
        <v>0.315789473684211</v>
      </c>
      <c r="BR80" s="11" t="n">
        <f aca="false">(BM80/AV80)</f>
        <v>0.324324324324324</v>
      </c>
      <c r="BS80" s="11" t="n">
        <f aca="false">(100*BR80)</f>
        <v>32.4324324324324</v>
      </c>
      <c r="BT80" s="9" t="n">
        <v>3</v>
      </c>
      <c r="BU80" s="9" t="n">
        <v>0</v>
      </c>
      <c r="BV80" s="9" t="n">
        <v>7</v>
      </c>
      <c r="BW80" s="9" t="n">
        <v>0</v>
      </c>
      <c r="BX80" s="9" t="n">
        <v>0</v>
      </c>
      <c r="BY80" s="11" t="n">
        <f aca="false">(BU80+BV80+BW80+BX80)/4</f>
        <v>1.75</v>
      </c>
      <c r="BZ80" s="11" t="n">
        <f aca="false">(BU80/AR80)</f>
        <v>0</v>
      </c>
      <c r="CA80" s="11" t="n">
        <f aca="false">(BV80/AS80)</f>
        <v>0.194444444444444</v>
      </c>
      <c r="CB80" s="11" t="n">
        <f aca="false">(BW80/AT80)</f>
        <v>0</v>
      </c>
      <c r="CC80" s="11" t="n">
        <f aca="false">(BX80/AU80)</f>
        <v>0</v>
      </c>
      <c r="CD80" s="11" t="n">
        <f aca="false">(BY80/AV80)</f>
        <v>0.0945945945945946</v>
      </c>
      <c r="CE80" s="11" t="n">
        <f aca="false">(100*CD80)</f>
        <v>9.45945945945946</v>
      </c>
      <c r="CF80" s="9" t="n">
        <v>1</v>
      </c>
      <c r="CG80" s="9" t="n">
        <v>2</v>
      </c>
      <c r="CH80" s="9" t="n">
        <v>2</v>
      </c>
      <c r="CI80" s="9" t="n">
        <v>0</v>
      </c>
      <c r="CJ80" s="9" t="n">
        <v>0</v>
      </c>
      <c r="CK80" s="11" t="n">
        <f aca="false">(CG80+CH80+CI80+CJ80)/4</f>
        <v>1</v>
      </c>
      <c r="CL80" s="11" t="n">
        <f aca="false">(CG80/AM80)</f>
        <v>0.0740740740740741</v>
      </c>
      <c r="CM80" s="11" t="n">
        <f aca="false">(CH80/AN80)</f>
        <v>0.0317460317460317</v>
      </c>
      <c r="CN80" s="11" t="e">
        <f aca="false">(CI80/AO80)</f>
        <v>#DIV/0!</v>
      </c>
      <c r="CO80" s="9" t="n">
        <f aca="false">(CJ80/AP80)</f>
        <v>0</v>
      </c>
      <c r="CP80" s="9" t="n">
        <f aca="false">(CK80/AQ80)</f>
        <v>0.032258064516129</v>
      </c>
      <c r="CQ80" s="9" t="n">
        <f aca="false">(100*CP80)</f>
        <v>3.2258064516129</v>
      </c>
      <c r="CR80" s="18" t="n">
        <v>1</v>
      </c>
      <c r="CS80" s="9" t="n">
        <v>65.2</v>
      </c>
      <c r="CT80" s="9" t="n">
        <v>53.9</v>
      </c>
      <c r="CU80" s="9" t="n">
        <v>58.4</v>
      </c>
      <c r="CV80" s="9" t="n">
        <v>54.9</v>
      </c>
      <c r="CW80" s="11" t="n">
        <f aca="false">(CS80+CT80+CU80+CV80)/4</f>
        <v>58.1</v>
      </c>
      <c r="CX80" s="9" t="n">
        <v>0</v>
      </c>
      <c r="CY80" s="9" t="n">
        <v>0</v>
      </c>
      <c r="CZ80" s="9" t="n">
        <v>0</v>
      </c>
      <c r="DA80" s="9" t="n">
        <v>0</v>
      </c>
      <c r="DB80" s="11" t="n">
        <f aca="false">(CX80+CY80+CZ80+DA80)/4</f>
        <v>0</v>
      </c>
      <c r="DC80" s="9" t="n">
        <v>1</v>
      </c>
      <c r="DD80" s="9" t="n">
        <v>1</v>
      </c>
      <c r="DE80" s="9" t="n">
        <v>1</v>
      </c>
      <c r="DF80" s="9" t="n">
        <v>1</v>
      </c>
      <c r="DG80" s="11" t="n">
        <f aca="false">(DC80+DD80+DE80+DF80)/4</f>
        <v>1</v>
      </c>
      <c r="DH80" s="9" t="n">
        <v>0</v>
      </c>
      <c r="DI80" s="9" t="n">
        <v>1</v>
      </c>
      <c r="DJ80" s="9" t="n">
        <v>1</v>
      </c>
      <c r="DK80" s="9" t="n">
        <v>1</v>
      </c>
      <c r="DL80" s="11" t="n">
        <f aca="false">(DH80+DI80+DJ80+DK80)/4</f>
        <v>0.75</v>
      </c>
      <c r="DM80" s="9" t="n">
        <v>37</v>
      </c>
      <c r="DN80" s="9" t="n">
        <v>59</v>
      </c>
      <c r="DO80" s="9" t="n">
        <v>14</v>
      </c>
      <c r="DP80" s="9" t="n">
        <v>17</v>
      </c>
      <c r="DQ80" s="11" t="n">
        <f aca="false">(DM80+DN80+DO80+DP80)/4</f>
        <v>31.75</v>
      </c>
      <c r="DR80" s="9" t="n">
        <v>5</v>
      </c>
      <c r="DS80" s="9" t="n">
        <v>22</v>
      </c>
      <c r="DT80" s="9" t="n">
        <v>21</v>
      </c>
      <c r="DU80" s="9" t="n">
        <v>31</v>
      </c>
      <c r="DV80" s="11" t="n">
        <f aca="false">(DR80+DS80+DT80+DU80)/4</f>
        <v>19.75</v>
      </c>
      <c r="DW80" s="9" t="n">
        <v>0</v>
      </c>
      <c r="DX80" s="9" t="n">
        <v>0</v>
      </c>
      <c r="DY80" s="9" t="n">
        <v>0</v>
      </c>
      <c r="DZ80" s="9" t="n">
        <v>0</v>
      </c>
      <c r="EA80" s="11" t="n">
        <f aca="false">(DW80+DX80+DY80+DZ80)/4</f>
        <v>0</v>
      </c>
      <c r="EB80" s="11" t="n">
        <f aca="false">(DW80/DR80)</f>
        <v>0</v>
      </c>
      <c r="EC80" s="11" t="n">
        <f aca="false">(DX80/DS80)</f>
        <v>0</v>
      </c>
      <c r="ED80" s="11" t="n">
        <f aca="false">(DY80/DT80)</f>
        <v>0</v>
      </c>
      <c r="EE80" s="11" t="n">
        <f aca="false">(DZ80/DU80)</f>
        <v>0</v>
      </c>
      <c r="EF80" s="11" t="n">
        <f aca="false">(EA80/DV80)</f>
        <v>0</v>
      </c>
      <c r="EG80" s="11" t="n">
        <f aca="false">(100*EF80)</f>
        <v>0</v>
      </c>
      <c r="EH80" s="9" t="n">
        <v>0</v>
      </c>
      <c r="EI80" s="9" t="n">
        <v>0</v>
      </c>
      <c r="EJ80" s="9" t="n">
        <v>11</v>
      </c>
      <c r="EK80" s="19" t="n">
        <v>5</v>
      </c>
      <c r="EL80" s="9" t="n">
        <v>6</v>
      </c>
      <c r="EM80" s="9" t="n">
        <f aca="false">(EI80+EJ80+EK80+EL80)/4</f>
        <v>5.5</v>
      </c>
      <c r="EN80" s="9" t="n">
        <f aca="false">(EI80/DR80)</f>
        <v>0</v>
      </c>
      <c r="EO80" s="9" t="n">
        <f aca="false">(EJ80/DS80)</f>
        <v>0.5</v>
      </c>
      <c r="EP80" s="9" t="n">
        <f aca="false">(EK80/DT80)</f>
        <v>0.238095238095238</v>
      </c>
      <c r="EQ80" s="9" t="n">
        <f aca="false">(EL80/DU80)</f>
        <v>0.193548387096774</v>
      </c>
      <c r="ER80" s="9" t="n">
        <f aca="false">EM80/DV80</f>
        <v>0.278481012658228</v>
      </c>
      <c r="ES80" s="9" t="n">
        <f aca="false">(100*ER80)</f>
        <v>27.8481012658228</v>
      </c>
      <c r="ET80" s="9" t="n">
        <v>3</v>
      </c>
      <c r="EU80" s="18" t="n">
        <v>0</v>
      </c>
      <c r="EV80" s="9" t="n">
        <v>0</v>
      </c>
      <c r="EW80" s="9" t="n">
        <v>1</v>
      </c>
      <c r="EX80" s="9" t="n">
        <v>1</v>
      </c>
      <c r="EY80" s="11" t="n">
        <f aca="false">(EU80+EV80+EW80+EX80)/4</f>
        <v>0.5</v>
      </c>
      <c r="EZ80" s="11" t="n">
        <f aca="false">(EU80/DR80)</f>
        <v>0</v>
      </c>
      <c r="FA80" s="11" t="n">
        <f aca="false">(EV80/DS80)</f>
        <v>0</v>
      </c>
      <c r="FB80" s="11" t="n">
        <f aca="false">(EW80/DT80)</f>
        <v>0.0476190476190476</v>
      </c>
      <c r="FC80" s="11" t="n">
        <f aca="false">(EX80/DU80)</f>
        <v>0.032258064516129</v>
      </c>
      <c r="FD80" s="11" t="n">
        <f aca="false">(EY80/DV80)</f>
        <v>0.0253164556962025</v>
      </c>
      <c r="FE80" s="11" t="n">
        <f aca="false">(100*FD80)</f>
        <v>2.53164556962025</v>
      </c>
      <c r="FF80" s="9" t="n">
        <v>1</v>
      </c>
      <c r="FG80" s="9" t="n">
        <v>0</v>
      </c>
      <c r="FH80" s="9" t="n">
        <v>6</v>
      </c>
      <c r="FI80" s="9" t="n">
        <v>2</v>
      </c>
      <c r="FJ80" s="9" t="n">
        <v>3</v>
      </c>
      <c r="FK80" s="11" t="n">
        <f aca="false">(FG80+FH80+FI80+FJ80)/4</f>
        <v>2.75</v>
      </c>
      <c r="FL80" s="11" t="n">
        <f aca="false">(FG80/DR80)</f>
        <v>0</v>
      </c>
      <c r="FM80" s="11" t="n">
        <f aca="false">(FH80/DS80)</f>
        <v>0.272727272727273</v>
      </c>
      <c r="FN80" s="11" t="n">
        <f aca="false">(FI80/DT80)</f>
        <v>0.0952380952380952</v>
      </c>
      <c r="FO80" s="11" t="n">
        <f aca="false">(FJ80/DU80)</f>
        <v>0.0967741935483871</v>
      </c>
      <c r="FP80" s="11" t="n">
        <f aca="false">(FK80/DV80)</f>
        <v>0.139240506329114</v>
      </c>
      <c r="FQ80" s="11" t="n">
        <f aca="false">(100*FP80)</f>
        <v>13.9240506329114</v>
      </c>
      <c r="FR80" s="9" t="n">
        <v>2</v>
      </c>
      <c r="FS80" s="9" t="n">
        <v>66.1</v>
      </c>
      <c r="FT80" s="9" t="n">
        <v>78</v>
      </c>
      <c r="FU80" s="9" t="n">
        <v>78.9</v>
      </c>
      <c r="FV80" s="9" t="n">
        <v>79.9</v>
      </c>
      <c r="FW80" s="11" t="n">
        <f aca="false">(FS80+FT80+FU80+FV80)/4</f>
        <v>75.725</v>
      </c>
      <c r="FX80" s="9" t="n">
        <v>0</v>
      </c>
      <c r="FY80" s="9" t="n">
        <v>0</v>
      </c>
      <c r="FZ80" s="9" t="n">
        <v>0</v>
      </c>
      <c r="GA80" s="9" t="n">
        <v>0</v>
      </c>
      <c r="GB80" s="11" t="n">
        <f aca="false">(FX80+FY80+FZ80+GA80)/4</f>
        <v>0</v>
      </c>
      <c r="GC80" s="9" t="n">
        <v>1</v>
      </c>
      <c r="GD80" s="9" t="n">
        <v>1</v>
      </c>
      <c r="GE80" s="9" t="n">
        <v>1</v>
      </c>
      <c r="GF80" s="9" t="n">
        <v>1</v>
      </c>
      <c r="GG80" s="11" t="n">
        <f aca="false">(GC80+GD80+GE80+GF80)/4</f>
        <v>1</v>
      </c>
      <c r="GH80" s="9" t="n">
        <v>1</v>
      </c>
      <c r="GI80" s="9" t="n">
        <v>1</v>
      </c>
      <c r="GJ80" s="9" t="n">
        <v>1</v>
      </c>
      <c r="GK80" s="9" t="n">
        <v>1</v>
      </c>
      <c r="GL80" s="11" t="n">
        <f aca="false">(GH80+GI80+GJ80+GK80)/4</f>
        <v>1</v>
      </c>
      <c r="GM80" s="9" t="n">
        <v>23</v>
      </c>
      <c r="GN80" s="9" t="n">
        <v>20</v>
      </c>
      <c r="GO80" s="9" t="n">
        <v>19</v>
      </c>
      <c r="GP80" s="9" t="n">
        <v>32</v>
      </c>
      <c r="GQ80" s="11" t="n">
        <f aca="false">(GM80+GN80+GO80+GP80)/4</f>
        <v>23.5</v>
      </c>
      <c r="GR80" s="9" t="n">
        <v>7</v>
      </c>
      <c r="GS80" s="9" t="n">
        <v>6</v>
      </c>
      <c r="GT80" s="9" t="n">
        <v>11</v>
      </c>
      <c r="GU80" s="9" t="n">
        <v>11</v>
      </c>
      <c r="GV80" s="11" t="n">
        <f aca="false">(GR80+GS80+GT80+GU80)/4</f>
        <v>8.75</v>
      </c>
      <c r="GW80" s="9" t="n">
        <v>0</v>
      </c>
      <c r="GX80" s="9" t="n">
        <v>0</v>
      </c>
      <c r="GY80" s="9" t="n">
        <v>0</v>
      </c>
      <c r="GZ80" s="9" t="n">
        <v>0</v>
      </c>
      <c r="HA80" s="11" t="n">
        <f aca="false">(GW80+GX80+GY80+GZ80)/4</f>
        <v>0</v>
      </c>
      <c r="HB80" s="9" t="n">
        <f aca="false">(GW80/GR80)</f>
        <v>0</v>
      </c>
      <c r="HC80" s="9" t="n">
        <f aca="false">(GX80/GS80)</f>
        <v>0</v>
      </c>
      <c r="HD80" s="9" t="n">
        <f aca="false">(GY80/GT80)</f>
        <v>0</v>
      </c>
      <c r="HE80" s="9" t="n">
        <f aca="false">(GZ80/GU80)/4</f>
        <v>0</v>
      </c>
      <c r="HF80" s="9" t="n">
        <f aca="false">(HB80+HC80+HD80+HE80)/4</f>
        <v>0</v>
      </c>
      <c r="HG80" s="9" t="n">
        <f aca="false">(100*HF80)</f>
        <v>0</v>
      </c>
      <c r="HH80" s="18"/>
      <c r="HI80" s="9" t="n">
        <v>7</v>
      </c>
      <c r="HJ80" s="9" t="n">
        <v>0</v>
      </c>
      <c r="HK80" s="9" t="n">
        <v>7</v>
      </c>
      <c r="HL80" s="19" t="n">
        <v>2</v>
      </c>
      <c r="HM80" s="9" t="n">
        <f aca="false">(HI80+HJ80+HK80+HL80)/4</f>
        <v>4</v>
      </c>
      <c r="HN80" s="9" t="n">
        <f aca="false">(HI80/GR80)</f>
        <v>1</v>
      </c>
      <c r="HO80" s="9" t="n">
        <f aca="false">(HJ80/GS80)</f>
        <v>0</v>
      </c>
      <c r="HP80" s="9" t="n">
        <f aca="false">(HK80/GT80)</f>
        <v>0.636363636363636</v>
      </c>
      <c r="HQ80" s="9" t="n">
        <f aca="false">(HL80/GU80)</f>
        <v>0.181818181818182</v>
      </c>
      <c r="HR80" s="9" t="n">
        <f aca="false">(HM80/GV80)</f>
        <v>0.457142857142857</v>
      </c>
      <c r="HS80" s="9" t="n">
        <f aca="false">(100*HR80)</f>
        <v>45.7142857142857</v>
      </c>
      <c r="HT80" s="18" t="n">
        <v>3</v>
      </c>
      <c r="HU80" s="9" t="n">
        <v>0</v>
      </c>
      <c r="HV80" s="9" t="n">
        <v>0</v>
      </c>
      <c r="HW80" s="9" t="n">
        <v>0</v>
      </c>
      <c r="HX80" s="19" t="n">
        <v>0</v>
      </c>
      <c r="HY80" s="9" t="n">
        <f aca="false">(HU80+HV80+HW80+HX80)/4</f>
        <v>0</v>
      </c>
      <c r="HZ80" s="9" t="n">
        <f aca="false">(HU80/GR80)</f>
        <v>0</v>
      </c>
      <c r="IA80" s="9" t="n">
        <f aca="false">HV80/GS80</f>
        <v>0</v>
      </c>
      <c r="IB80" s="9" t="n">
        <f aca="false">(HW80/GT80)</f>
        <v>0</v>
      </c>
      <c r="IC80" s="9" t="n">
        <f aca="false">(HX80/GU80)</f>
        <v>0</v>
      </c>
      <c r="ID80" s="9" t="n">
        <f aca="false">(HY80/GV80)</f>
        <v>0</v>
      </c>
      <c r="IE80" s="9" t="n">
        <f aca="false">(100*ID80)</f>
        <v>0</v>
      </c>
      <c r="IF80" s="18" t="n">
        <v>0</v>
      </c>
      <c r="IG80" s="9" t="n">
        <v>1</v>
      </c>
      <c r="IH80" s="9" t="n">
        <v>2</v>
      </c>
      <c r="II80" s="19" t="n">
        <v>3</v>
      </c>
      <c r="IJ80" s="9" t="n">
        <v>2</v>
      </c>
      <c r="IK80" s="9" t="n">
        <f aca="false">(IG80+IH80+II80+IJ80)/4</f>
        <v>2</v>
      </c>
      <c r="IL80" s="9" t="n">
        <f aca="false">(IG80/GM80)</f>
        <v>0.0434782608695652</v>
      </c>
      <c r="IM80" s="9" t="n">
        <f aca="false">(IH80/GN80)</f>
        <v>0.1</v>
      </c>
      <c r="IN80" s="9" t="n">
        <f aca="false">(II80/GO80)</f>
        <v>0.157894736842105</v>
      </c>
      <c r="IO80" s="9" t="n">
        <f aca="false">(IJ80/GP80)</f>
        <v>0.0625</v>
      </c>
      <c r="IP80" s="9" t="n">
        <f aca="false">(IK80/GQ80)</f>
        <v>0.0851063829787234</v>
      </c>
      <c r="IQ80" s="9" t="n">
        <f aca="false">(100*IP80)</f>
        <v>8.51063829787234</v>
      </c>
      <c r="IR80" s="18" t="n">
        <v>1</v>
      </c>
      <c r="IS80" s="9" t="n">
        <v>89</v>
      </c>
      <c r="IT80" s="9" t="n">
        <v>69.2</v>
      </c>
      <c r="IU80" s="19" t="n">
        <v>60.4</v>
      </c>
      <c r="IV80" s="9" t="n">
        <v>63.5</v>
      </c>
      <c r="IW80" s="9" t="n">
        <f aca="false">(IS80+IT80+IU80+IV80)/4</f>
        <v>70.525</v>
      </c>
      <c r="IX80" s="16" t="n">
        <v>45241</v>
      </c>
      <c r="IY80" s="10" t="s">
        <v>268</v>
      </c>
    </row>
    <row r="81" customFormat="false" ht="15.75" hidden="false" customHeight="true" outlineLevel="0" collapsed="false">
      <c r="A81" s="9" t="s">
        <v>299</v>
      </c>
      <c r="B81" s="10" t="s">
        <v>451</v>
      </c>
      <c r="C81" s="10" t="s">
        <v>400</v>
      </c>
      <c r="D81" s="9" t="n">
        <v>5</v>
      </c>
      <c r="E81" s="9" t="n">
        <v>27</v>
      </c>
      <c r="F81" s="10" t="s">
        <v>456</v>
      </c>
      <c r="G81" s="10" t="s">
        <v>320</v>
      </c>
      <c r="H81" s="9" t="n">
        <v>21</v>
      </c>
      <c r="I81" s="9" t="n">
        <v>11</v>
      </c>
      <c r="J81" s="12" t="s">
        <v>270</v>
      </c>
      <c r="K81" s="29"/>
      <c r="L81" s="2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 t="n">
        <v>0</v>
      </c>
      <c r="Y81" s="9" t="n">
        <v>0</v>
      </c>
      <c r="Z81" s="9" t="n">
        <v>0</v>
      </c>
      <c r="AA81" s="9" t="n">
        <v>0</v>
      </c>
      <c r="AB81" s="11" t="n">
        <f aca="false">(X81+Y81+Z81+AA81)/4</f>
        <v>0</v>
      </c>
      <c r="AC81" s="9" t="n">
        <v>0</v>
      </c>
      <c r="AD81" s="9" t="n">
        <v>1</v>
      </c>
      <c r="AE81" s="9" t="n">
        <v>1</v>
      </c>
      <c r="AF81" s="9" t="n">
        <v>1</v>
      </c>
      <c r="AG81" s="11" t="n">
        <f aca="false">(AC81+AD81+AE81+AF81)/4</f>
        <v>0.75</v>
      </c>
      <c r="AH81" s="9" t="n">
        <v>1</v>
      </c>
      <c r="AI81" s="9" t="n">
        <v>1</v>
      </c>
      <c r="AJ81" s="9" t="n">
        <v>1</v>
      </c>
      <c r="AK81" s="9" t="n">
        <v>1</v>
      </c>
      <c r="AL81" s="11" t="n">
        <f aca="false">(AH81+AI81+AJ81+AK81)/4</f>
        <v>1</v>
      </c>
      <c r="AM81" s="9" t="n">
        <v>18</v>
      </c>
      <c r="AN81" s="9" t="n">
        <v>25</v>
      </c>
      <c r="AO81" s="9" t="n">
        <v>35</v>
      </c>
      <c r="AP81" s="9" t="n">
        <v>47</v>
      </c>
      <c r="AQ81" s="11" t="n">
        <f aca="false">(AM81+AN81+AO81+AP81)/4</f>
        <v>31.25</v>
      </c>
      <c r="AR81" s="9" t="n">
        <v>17</v>
      </c>
      <c r="AS81" s="9" t="n">
        <v>32</v>
      </c>
      <c r="AT81" s="9" t="n">
        <v>12</v>
      </c>
      <c r="AU81" s="9" t="n">
        <v>24</v>
      </c>
      <c r="AV81" s="11" t="n">
        <f aca="false">(AR81+AS81+AT81+AU81)/4</f>
        <v>21.25</v>
      </c>
      <c r="AW81" s="9" t="n">
        <v>0</v>
      </c>
      <c r="AX81" s="9" t="n">
        <v>0</v>
      </c>
      <c r="AY81" s="9" t="n">
        <v>0</v>
      </c>
      <c r="AZ81" s="9" t="n">
        <v>0</v>
      </c>
      <c r="BA81" s="11" t="n">
        <f aca="false">(AW81+AX81+AY81+AZ81)/4</f>
        <v>0</v>
      </c>
      <c r="BB81" s="11" t="n">
        <f aca="false">(AW81/AR81)</f>
        <v>0</v>
      </c>
      <c r="BC81" s="11" t="n">
        <f aca="false">(AX81/AS81)</f>
        <v>0</v>
      </c>
      <c r="BD81" s="11" t="n">
        <f aca="false">(AY81/AT81)</f>
        <v>0</v>
      </c>
      <c r="BE81" s="11" t="n">
        <f aca="false">(AZ81/AU81)</f>
        <v>0</v>
      </c>
      <c r="BF81" s="11" t="n">
        <f aca="false">(BA81/AV81)</f>
        <v>0</v>
      </c>
      <c r="BG81" s="11" t="n">
        <f aca="false">(BF81*100)</f>
        <v>0</v>
      </c>
      <c r="BH81" s="9" t="n">
        <v>0</v>
      </c>
      <c r="BI81" s="9" t="n">
        <v>0</v>
      </c>
      <c r="BJ81" s="9" t="n">
        <v>1</v>
      </c>
      <c r="BK81" s="9" t="n">
        <v>2</v>
      </c>
      <c r="BL81" s="9" t="n">
        <v>3</v>
      </c>
      <c r="BM81" s="11" t="n">
        <f aca="false">(BI81+BJ81+BK81+BL81)/4</f>
        <v>1.5</v>
      </c>
      <c r="BN81" s="11" t="n">
        <f aca="false">(BI81/AR81)</f>
        <v>0</v>
      </c>
      <c r="BO81" s="11" t="n">
        <f aca="false">(BJ81/AS81)</f>
        <v>0.03125</v>
      </c>
      <c r="BP81" s="11" t="n">
        <f aca="false">(BK81/AT81)</f>
        <v>0.166666666666667</v>
      </c>
      <c r="BQ81" s="11" t="n">
        <f aca="false">(BL81/AU81)</f>
        <v>0.125</v>
      </c>
      <c r="BR81" s="11" t="n">
        <f aca="false">(BM81/AV81)</f>
        <v>0.0705882352941177</v>
      </c>
      <c r="BS81" s="11" t="n">
        <f aca="false">(100*BR81)</f>
        <v>7.05882352941176</v>
      </c>
      <c r="BT81" s="9" t="n">
        <v>1</v>
      </c>
      <c r="BU81" s="9" t="n">
        <v>1</v>
      </c>
      <c r="BV81" s="9" t="n">
        <v>0</v>
      </c>
      <c r="BW81" s="9" t="n">
        <v>1</v>
      </c>
      <c r="BX81" s="9" t="n">
        <v>0</v>
      </c>
      <c r="BY81" s="11" t="n">
        <f aca="false">(BU81+BV81+BW81+BX81)/4</f>
        <v>0.5</v>
      </c>
      <c r="BZ81" s="11" t="n">
        <f aca="false">(BU81/AR81)</f>
        <v>0.0588235294117647</v>
      </c>
      <c r="CA81" s="11" t="n">
        <f aca="false">(BV81/AS81)</f>
        <v>0</v>
      </c>
      <c r="CB81" s="11" t="n">
        <f aca="false">(BW81/AT81)</f>
        <v>0.0833333333333333</v>
      </c>
      <c r="CC81" s="11" t="n">
        <f aca="false">(BX81/AU81)</f>
        <v>0</v>
      </c>
      <c r="CD81" s="11" t="n">
        <f aca="false">(BY81/AV81)</f>
        <v>0.0235294117647059</v>
      </c>
      <c r="CE81" s="11" t="n">
        <f aca="false">(100*CD81)</f>
        <v>2.35294117647059</v>
      </c>
      <c r="CF81" s="9" t="n">
        <v>1</v>
      </c>
      <c r="CG81" s="9" t="n">
        <v>1</v>
      </c>
      <c r="CH81" s="9" t="n">
        <v>3</v>
      </c>
      <c r="CI81" s="9" t="n">
        <v>2</v>
      </c>
      <c r="CJ81" s="9" t="n">
        <v>3</v>
      </c>
      <c r="CK81" s="11" t="n">
        <f aca="false">(CG81+CH81+CI81+CJ81)/4</f>
        <v>2.25</v>
      </c>
      <c r="CL81" s="11" t="n">
        <f aca="false">(CG81/AM81)</f>
        <v>0.0555555555555556</v>
      </c>
      <c r="CM81" s="11" t="n">
        <f aca="false">(CH81/AN81)</f>
        <v>0.12</v>
      </c>
      <c r="CN81" s="11" t="n">
        <f aca="false">(CI81/AO81)</f>
        <v>0.0571428571428571</v>
      </c>
      <c r="CO81" s="9" t="n">
        <f aca="false">(CJ81/AP81)</f>
        <v>0.0638297872340426</v>
      </c>
      <c r="CP81" s="9" t="n">
        <f aca="false">(CK81/AQ81)</f>
        <v>0.072</v>
      </c>
      <c r="CQ81" s="9" t="n">
        <f aca="false">(100*CP81)</f>
        <v>7.2</v>
      </c>
      <c r="CR81" s="18" t="n">
        <v>1</v>
      </c>
      <c r="CS81" s="9" t="n">
        <v>51.3</v>
      </c>
      <c r="CT81" s="9" t="n">
        <v>52.1</v>
      </c>
      <c r="CU81" s="9" t="n">
        <v>45.5</v>
      </c>
      <c r="CV81" s="9" t="n">
        <v>46.5</v>
      </c>
      <c r="CW81" s="11" t="n">
        <f aca="false">(CS81+CT81+CU81+CV81)/4</f>
        <v>48.85</v>
      </c>
      <c r="CX81" s="9" t="n">
        <v>0</v>
      </c>
      <c r="CY81" s="9" t="n">
        <v>0</v>
      </c>
      <c r="CZ81" s="9" t="n">
        <v>0</v>
      </c>
      <c r="DA81" s="9" t="n">
        <v>0</v>
      </c>
      <c r="DB81" s="11" t="n">
        <f aca="false">(CX81+CY81+CZ81+DA81)/4</f>
        <v>0</v>
      </c>
      <c r="DC81" s="9" t="n">
        <v>1</v>
      </c>
      <c r="DD81" s="9" t="n">
        <v>1</v>
      </c>
      <c r="DE81" s="9" t="n">
        <v>1</v>
      </c>
      <c r="DF81" s="9" t="n">
        <v>1</v>
      </c>
      <c r="DG81" s="11" t="n">
        <f aca="false">(DC81+DD81+DE81+DF81)/4</f>
        <v>1</v>
      </c>
      <c r="DH81" s="9" t="n">
        <v>0</v>
      </c>
      <c r="DI81" s="9" t="n">
        <v>1</v>
      </c>
      <c r="DJ81" s="9" t="n">
        <v>1</v>
      </c>
      <c r="DK81" s="9" t="n">
        <v>1</v>
      </c>
      <c r="DL81" s="11" t="n">
        <f aca="false">(DH81+DI81+DJ81+DK81)/4</f>
        <v>0.75</v>
      </c>
      <c r="DM81" s="9" t="n">
        <v>26</v>
      </c>
      <c r="DN81" s="9" t="n">
        <v>74</v>
      </c>
      <c r="DO81" s="9" t="n">
        <v>26</v>
      </c>
      <c r="DP81" s="9" t="n">
        <v>78</v>
      </c>
      <c r="DQ81" s="11" t="n">
        <f aca="false">(DM81+DN81+DO81+DP81)/4</f>
        <v>51</v>
      </c>
      <c r="DR81" s="9" t="n">
        <v>24</v>
      </c>
      <c r="DS81" s="9" t="n">
        <v>22</v>
      </c>
      <c r="DT81" s="9" t="n">
        <v>24</v>
      </c>
      <c r="DU81" s="9" t="n">
        <v>24</v>
      </c>
      <c r="DV81" s="11" t="n">
        <f aca="false">(DR81+DS81+DT81+DU81)/4</f>
        <v>23.5</v>
      </c>
      <c r="DW81" s="9" t="n">
        <v>0</v>
      </c>
      <c r="DX81" s="9" t="n">
        <v>0</v>
      </c>
      <c r="DY81" s="9" t="n">
        <v>0</v>
      </c>
      <c r="DZ81" s="9" t="n">
        <v>0</v>
      </c>
      <c r="EA81" s="11" t="n">
        <f aca="false">(DW81+DX81+DY81+DZ81)/4</f>
        <v>0</v>
      </c>
      <c r="EB81" s="11" t="n">
        <f aca="false">(DW81/DR81)</f>
        <v>0</v>
      </c>
      <c r="EC81" s="11" t="n">
        <f aca="false">(DX81/DS81)</f>
        <v>0</v>
      </c>
      <c r="ED81" s="11" t="n">
        <f aca="false">(DY81/DT81)</f>
        <v>0</v>
      </c>
      <c r="EE81" s="11" t="n">
        <f aca="false">(DZ81/DU81)</f>
        <v>0</v>
      </c>
      <c r="EF81" s="11" t="n">
        <f aca="false">(EA81/DV81)</f>
        <v>0</v>
      </c>
      <c r="EG81" s="11" t="n">
        <f aca="false">(100*EF81)</f>
        <v>0</v>
      </c>
      <c r="EH81" s="9" t="n">
        <v>0</v>
      </c>
      <c r="EI81" s="9" t="n">
        <v>6</v>
      </c>
      <c r="EJ81" s="9" t="n">
        <v>7</v>
      </c>
      <c r="EK81" s="19" t="n">
        <v>2</v>
      </c>
      <c r="EL81" s="9" t="n">
        <v>4</v>
      </c>
      <c r="EM81" s="9" t="n">
        <f aca="false">(EI81+EJ81+EK81+EL81)/4</f>
        <v>4.75</v>
      </c>
      <c r="EN81" s="9" t="n">
        <f aca="false">(EI81/DR81)</f>
        <v>0.25</v>
      </c>
      <c r="EO81" s="9" t="n">
        <f aca="false">(EJ81/DS81)</f>
        <v>0.318181818181818</v>
      </c>
      <c r="EP81" s="9" t="n">
        <f aca="false">(EK81/DT81)</f>
        <v>0.0833333333333333</v>
      </c>
      <c r="EQ81" s="9" t="n">
        <f aca="false">(EL81/DU81)</f>
        <v>0.166666666666667</v>
      </c>
      <c r="ER81" s="9" t="n">
        <f aca="false">EM81/DV81</f>
        <v>0.202127659574468</v>
      </c>
      <c r="ES81" s="9" t="n">
        <f aca="false">(100*ER81)</f>
        <v>20.2127659574468</v>
      </c>
      <c r="ET81" s="9" t="n">
        <v>2</v>
      </c>
      <c r="EU81" s="18" t="n">
        <v>0</v>
      </c>
      <c r="EV81" s="9" t="n">
        <v>0</v>
      </c>
      <c r="EW81" s="9" t="n">
        <v>0</v>
      </c>
      <c r="EX81" s="9" t="n">
        <v>0</v>
      </c>
      <c r="EY81" s="11" t="n">
        <f aca="false">(EU81+EV81+EW81+EX81)/4</f>
        <v>0</v>
      </c>
      <c r="EZ81" s="11" t="n">
        <f aca="false">(EU81/DR81)</f>
        <v>0</v>
      </c>
      <c r="FA81" s="11" t="n">
        <f aca="false">(EV81/DS81)</f>
        <v>0</v>
      </c>
      <c r="FB81" s="11" t="n">
        <f aca="false">(EW81/DT81)</f>
        <v>0</v>
      </c>
      <c r="FC81" s="11" t="n">
        <f aca="false">(EX81/DU81)</f>
        <v>0</v>
      </c>
      <c r="FD81" s="11" t="n">
        <f aca="false">(EY81/DV81)</f>
        <v>0</v>
      </c>
      <c r="FE81" s="11" t="n">
        <f aca="false">(100*FD81)</f>
        <v>0</v>
      </c>
      <c r="FF81" s="9" t="n">
        <v>0</v>
      </c>
      <c r="FG81" s="9" t="n">
        <v>0</v>
      </c>
      <c r="FH81" s="9" t="n">
        <v>4</v>
      </c>
      <c r="FI81" s="9" t="n">
        <v>2</v>
      </c>
      <c r="FJ81" s="9" t="n">
        <v>3</v>
      </c>
      <c r="FK81" s="11" t="n">
        <f aca="false">(FG81+FH81+FI81+FJ81)/4</f>
        <v>2.25</v>
      </c>
      <c r="FL81" s="11" t="n">
        <f aca="false">(FG81/DR81)</f>
        <v>0</v>
      </c>
      <c r="FM81" s="11" t="n">
        <f aca="false">(FH81/DS81)</f>
        <v>0.181818181818182</v>
      </c>
      <c r="FN81" s="11" t="n">
        <f aca="false">(FI81/DT81)</f>
        <v>0.0833333333333333</v>
      </c>
      <c r="FO81" s="11" t="n">
        <f aca="false">(FJ81/DU81)</f>
        <v>0.125</v>
      </c>
      <c r="FP81" s="11" t="n">
        <f aca="false">(FK81/DV81)</f>
        <v>0.0957446808510638</v>
      </c>
      <c r="FQ81" s="11" t="n">
        <f aca="false">(100*FP81)</f>
        <v>9.57446808510638</v>
      </c>
      <c r="FR81" s="9" t="n">
        <v>1</v>
      </c>
      <c r="FS81" s="9" t="n">
        <v>42.4</v>
      </c>
      <c r="FT81" s="9" t="n">
        <v>54</v>
      </c>
      <c r="FU81" s="9" t="n">
        <v>52.4</v>
      </c>
      <c r="FV81" s="9" t="n">
        <v>53.4</v>
      </c>
      <c r="FW81" s="11" t="n">
        <f aca="false">(FS81+FT81+FU81+FV81)/4</f>
        <v>50.55</v>
      </c>
      <c r="FX81" s="9" t="n">
        <v>0</v>
      </c>
      <c r="FY81" s="9" t="n">
        <v>0</v>
      </c>
      <c r="FZ81" s="9" t="n">
        <v>0</v>
      </c>
      <c r="GA81" s="9" t="n">
        <v>0</v>
      </c>
      <c r="GB81" s="11" t="n">
        <f aca="false">(FX81+FY81+FZ81+GA81)/4</f>
        <v>0</v>
      </c>
      <c r="GC81" s="9" t="n">
        <v>1</v>
      </c>
      <c r="GD81" s="9" t="n">
        <v>1</v>
      </c>
      <c r="GE81" s="9" t="n">
        <v>1</v>
      </c>
      <c r="GF81" s="9" t="n">
        <v>1</v>
      </c>
      <c r="GG81" s="11" t="n">
        <f aca="false">(GC81+GD81+GE81+GF81)/4</f>
        <v>1</v>
      </c>
      <c r="GH81" s="9" t="n">
        <v>1</v>
      </c>
      <c r="GI81" s="9" t="n">
        <v>1</v>
      </c>
      <c r="GJ81" s="9" t="n">
        <v>1</v>
      </c>
      <c r="GK81" s="9" t="n">
        <v>1</v>
      </c>
      <c r="GL81" s="11" t="n">
        <f aca="false">(GH81+GI81+GJ81+GK81)/4</f>
        <v>1</v>
      </c>
      <c r="GM81" s="9" t="n">
        <v>31</v>
      </c>
      <c r="GN81" s="9" t="n">
        <v>32</v>
      </c>
      <c r="GO81" s="9" t="n">
        <v>54</v>
      </c>
      <c r="GP81" s="9" t="n">
        <v>43</v>
      </c>
      <c r="GQ81" s="11" t="n">
        <f aca="false">(GM81+GN81+GO81+GP81)/4</f>
        <v>40</v>
      </c>
      <c r="GR81" s="9" t="n">
        <v>29</v>
      </c>
      <c r="GS81" s="9" t="n">
        <v>17</v>
      </c>
      <c r="GT81" s="9" t="n">
        <v>16</v>
      </c>
      <c r="GU81" s="9" t="n">
        <v>17</v>
      </c>
      <c r="GV81" s="11" t="n">
        <f aca="false">(GR81+GS81+GT81+GU81)/4</f>
        <v>19.75</v>
      </c>
      <c r="GW81" s="9" t="n">
        <v>0</v>
      </c>
      <c r="GX81" s="9" t="n">
        <v>0</v>
      </c>
      <c r="GY81" s="9" t="n">
        <v>0</v>
      </c>
      <c r="GZ81" s="9" t="n">
        <v>0</v>
      </c>
      <c r="HA81" s="11" t="n">
        <f aca="false">(GW81+GX81+GY81+GZ81)/4</f>
        <v>0</v>
      </c>
      <c r="HB81" s="9" t="n">
        <f aca="false">(GW81/GR81)</f>
        <v>0</v>
      </c>
      <c r="HC81" s="9" t="n">
        <f aca="false">(GX81/GS81)</f>
        <v>0</v>
      </c>
      <c r="HD81" s="9" t="n">
        <f aca="false">(GY81/GT81)</f>
        <v>0</v>
      </c>
      <c r="HE81" s="9" t="n">
        <f aca="false">(GZ81/GU81)/4</f>
        <v>0</v>
      </c>
      <c r="HF81" s="9" t="n">
        <f aca="false">(HB81+HC81+HD81+HE81)/4</f>
        <v>0</v>
      </c>
      <c r="HG81" s="9" t="n">
        <f aca="false">(100*HF81)</f>
        <v>0</v>
      </c>
      <c r="HH81" s="18" t="n">
        <v>0</v>
      </c>
      <c r="HI81" s="9" t="n">
        <v>4</v>
      </c>
      <c r="HJ81" s="9" t="n">
        <v>4</v>
      </c>
      <c r="HK81" s="9" t="n">
        <v>1</v>
      </c>
      <c r="HL81" s="19" t="n">
        <v>4</v>
      </c>
      <c r="HM81" s="9" t="n">
        <f aca="false">(HI81+HJ81+HK81+HL81)/4</f>
        <v>3.25</v>
      </c>
      <c r="HN81" s="9" t="n">
        <f aca="false">(HI81/GR81)</f>
        <v>0.137931034482759</v>
      </c>
      <c r="HO81" s="9" t="n">
        <f aca="false">(HJ81/GS81)</f>
        <v>0.235294117647059</v>
      </c>
      <c r="HP81" s="9" t="n">
        <f aca="false">(HK81/GT81)</f>
        <v>0.0625</v>
      </c>
      <c r="HQ81" s="9" t="n">
        <f aca="false">(HL81/GU81)</f>
        <v>0.235294117647059</v>
      </c>
      <c r="HR81" s="9" t="n">
        <f aca="false">(HM81/GV81)</f>
        <v>0.164556962025316</v>
      </c>
      <c r="HS81" s="9" t="n">
        <f aca="false">(100*HR81)</f>
        <v>16.4556962025316</v>
      </c>
      <c r="HT81" s="18" t="n">
        <v>2</v>
      </c>
      <c r="HU81" s="9" t="n">
        <v>1</v>
      </c>
      <c r="HV81" s="9" t="n">
        <v>0</v>
      </c>
      <c r="HW81" s="9" t="n">
        <v>0</v>
      </c>
      <c r="HX81" s="19" t="n">
        <v>0</v>
      </c>
      <c r="HY81" s="9" t="n">
        <f aca="false">(HU81+HV81+HW81+HX81)/4</f>
        <v>0.25</v>
      </c>
      <c r="HZ81" s="9" t="n">
        <f aca="false">(HU81/GR81)</f>
        <v>0.0344827586206897</v>
      </c>
      <c r="IA81" s="9" t="n">
        <f aca="false">HV81/GS81</f>
        <v>0</v>
      </c>
      <c r="IB81" s="9" t="n">
        <f aca="false">(HW81/GT81)</f>
        <v>0</v>
      </c>
      <c r="IC81" s="9" t="n">
        <f aca="false">(HX81/GU81)</f>
        <v>0</v>
      </c>
      <c r="ID81" s="9" t="n">
        <f aca="false">(HY81/GV81)</f>
        <v>0.0126582278481013</v>
      </c>
      <c r="IE81" s="9" t="n">
        <f aca="false">(100*ID81)</f>
        <v>1.26582278481013</v>
      </c>
      <c r="IF81" s="18" t="n">
        <v>1</v>
      </c>
      <c r="IG81" s="9" t="n">
        <v>3</v>
      </c>
      <c r="IH81" s="9" t="n">
        <v>2</v>
      </c>
      <c r="II81" s="19" t="n">
        <v>9</v>
      </c>
      <c r="IJ81" s="9" t="n">
        <v>8</v>
      </c>
      <c r="IK81" s="9" t="n">
        <f aca="false">(IG81+IH81+II81+IJ81)/4</f>
        <v>5.5</v>
      </c>
      <c r="IL81" s="9" t="n">
        <f aca="false">(IG81/GM81)</f>
        <v>0.0967741935483871</v>
      </c>
      <c r="IM81" s="9" t="n">
        <f aca="false">(IH81/GN81)</f>
        <v>0.0625</v>
      </c>
      <c r="IN81" s="9" t="n">
        <f aca="false">(II81/GO81)</f>
        <v>0.166666666666667</v>
      </c>
      <c r="IO81" s="9" t="n">
        <f aca="false">(IJ81/GP81)</f>
        <v>0.186046511627907</v>
      </c>
      <c r="IP81" s="9" t="n">
        <f aca="false">(IK81/GQ81)</f>
        <v>0.1375</v>
      </c>
      <c r="IQ81" s="9" t="n">
        <f aca="false">(100*IP81)</f>
        <v>13.75</v>
      </c>
      <c r="IR81" s="18" t="n">
        <v>2</v>
      </c>
      <c r="IS81" s="9" t="n">
        <v>56</v>
      </c>
      <c r="IT81" s="9" t="n">
        <v>46</v>
      </c>
      <c r="IU81" s="19" t="n">
        <v>46.2</v>
      </c>
      <c r="IV81" s="9" t="n">
        <v>55.2</v>
      </c>
      <c r="IW81" s="9" t="n">
        <f aca="false">(IS81+IT81+IU81+IV81)/4</f>
        <v>50.85</v>
      </c>
      <c r="IX81" s="16" t="n">
        <v>45241</v>
      </c>
      <c r="IY81" s="10" t="s">
        <v>268</v>
      </c>
    </row>
    <row r="82" customFormat="false" ht="15.75" hidden="false" customHeight="true" outlineLevel="0" collapsed="false">
      <c r="A82" s="9" t="s">
        <v>299</v>
      </c>
      <c r="B82" s="10" t="s">
        <v>451</v>
      </c>
      <c r="C82" s="10" t="s">
        <v>400</v>
      </c>
      <c r="D82" s="9" t="n">
        <v>5</v>
      </c>
      <c r="E82" s="9" t="n">
        <v>27</v>
      </c>
      <c r="F82" s="10" t="s">
        <v>457</v>
      </c>
      <c r="G82" s="10" t="s">
        <v>397</v>
      </c>
      <c r="H82" s="9" t="n">
        <v>21</v>
      </c>
      <c r="I82" s="9" t="n">
        <v>20</v>
      </c>
      <c r="J82" s="10" t="s">
        <v>272</v>
      </c>
      <c r="K82" s="29"/>
      <c r="L82" s="30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 t="n">
        <v>0</v>
      </c>
      <c r="Y82" s="9" t="n">
        <v>0</v>
      </c>
      <c r="Z82" s="9" t="n">
        <v>0</v>
      </c>
      <c r="AA82" s="9" t="n">
        <v>0</v>
      </c>
      <c r="AB82" s="11" t="n">
        <f aca="false">(X82+Y82+Z82+AA82)/4</f>
        <v>0</v>
      </c>
      <c r="AC82" s="9" t="n">
        <v>1</v>
      </c>
      <c r="AD82" s="9" t="n">
        <v>1</v>
      </c>
      <c r="AE82" s="9" t="n">
        <v>1</v>
      </c>
      <c r="AF82" s="9" t="n">
        <v>1</v>
      </c>
      <c r="AG82" s="11" t="n">
        <f aca="false">(AC82+AD82+AE82+AF82)/4</f>
        <v>1</v>
      </c>
      <c r="AH82" s="9" t="n">
        <v>1</v>
      </c>
      <c r="AI82" s="9" t="n">
        <v>1</v>
      </c>
      <c r="AJ82" s="9" t="n">
        <v>1</v>
      </c>
      <c r="AK82" s="9" t="n">
        <v>1</v>
      </c>
      <c r="AL82" s="11" t="n">
        <f aca="false">(AH82+AI82+AJ82+AK82)/4</f>
        <v>1</v>
      </c>
      <c r="AM82" s="9" t="n">
        <v>9</v>
      </c>
      <c r="AN82" s="9" t="n">
        <v>53</v>
      </c>
      <c r="AO82" s="9" t="n">
        <v>95</v>
      </c>
      <c r="AP82" s="9" t="n">
        <v>76</v>
      </c>
      <c r="AQ82" s="11" t="n">
        <f aca="false">(AM82+AN82+AO82+AP82)/4</f>
        <v>58.25</v>
      </c>
      <c r="AR82" s="9" t="n">
        <v>16</v>
      </c>
      <c r="AS82" s="9" t="n">
        <v>9</v>
      </c>
      <c r="AT82" s="9" t="n">
        <v>3</v>
      </c>
      <c r="AU82" s="9" t="n">
        <v>39</v>
      </c>
      <c r="AV82" s="11" t="n">
        <f aca="false">(AR82+AS82+AT82+AU82)/4</f>
        <v>16.75</v>
      </c>
      <c r="AW82" s="9" t="n">
        <v>0</v>
      </c>
      <c r="AX82" s="9" t="n">
        <v>0</v>
      </c>
      <c r="AY82" s="9" t="n">
        <v>0</v>
      </c>
      <c r="AZ82" s="9" t="n">
        <v>0</v>
      </c>
      <c r="BA82" s="11" t="n">
        <f aca="false">(AW82+AX82+AY82+AZ82)/4</f>
        <v>0</v>
      </c>
      <c r="BB82" s="11" t="n">
        <f aca="false">(AW82/AR82)</f>
        <v>0</v>
      </c>
      <c r="BC82" s="11" t="n">
        <f aca="false">(AX82/AS82)</f>
        <v>0</v>
      </c>
      <c r="BD82" s="11" t="n">
        <f aca="false">(AY82/AT82)</f>
        <v>0</v>
      </c>
      <c r="BE82" s="11" t="n">
        <f aca="false">(AZ82/AU82)</f>
        <v>0</v>
      </c>
      <c r="BF82" s="11" t="n">
        <f aca="false">(BA82/AV82)</f>
        <v>0</v>
      </c>
      <c r="BG82" s="11" t="n">
        <f aca="false">(BF82*100)</f>
        <v>0</v>
      </c>
      <c r="BH82" s="9" t="n">
        <v>0</v>
      </c>
      <c r="BI82" s="9" t="n">
        <v>4</v>
      </c>
      <c r="BJ82" s="9" t="n">
        <v>3</v>
      </c>
      <c r="BK82" s="9" t="n">
        <v>2</v>
      </c>
      <c r="BL82" s="9" t="n">
        <v>8</v>
      </c>
      <c r="BM82" s="11" t="n">
        <f aca="false">(BI82+BJ82+BK82+BL82)/4</f>
        <v>4.25</v>
      </c>
      <c r="BN82" s="11" t="n">
        <f aca="false">(BI82/AR82)</f>
        <v>0.25</v>
      </c>
      <c r="BO82" s="11" t="n">
        <f aca="false">(BJ82/AS82)</f>
        <v>0.333333333333333</v>
      </c>
      <c r="BP82" s="11" t="n">
        <f aca="false">(BK82/AT82)</f>
        <v>0.666666666666667</v>
      </c>
      <c r="BQ82" s="11" t="n">
        <f aca="false">(BL82/AU82)</f>
        <v>0.205128205128205</v>
      </c>
      <c r="BR82" s="11" t="n">
        <f aca="false">(BM82/AV82)</f>
        <v>0.253731343283582</v>
      </c>
      <c r="BS82" s="11" t="n">
        <f aca="false">(100*BR82)</f>
        <v>25.3731343283582</v>
      </c>
      <c r="BT82" s="9" t="n">
        <v>2</v>
      </c>
      <c r="BU82" s="9" t="n">
        <v>4</v>
      </c>
      <c r="BV82" s="9" t="n">
        <v>0</v>
      </c>
      <c r="BW82" s="9" t="n">
        <v>0</v>
      </c>
      <c r="BX82" s="9" t="n">
        <v>0</v>
      </c>
      <c r="BY82" s="11" t="n">
        <f aca="false">(BU82+BV82+BW82+BX82)/4</f>
        <v>1</v>
      </c>
      <c r="BZ82" s="11" t="n">
        <f aca="false">(BU82/AR82)</f>
        <v>0.25</v>
      </c>
      <c r="CA82" s="11" t="n">
        <f aca="false">(BV82/AS82)</f>
        <v>0</v>
      </c>
      <c r="CB82" s="11" t="n">
        <f aca="false">(BW82/AT82)</f>
        <v>0</v>
      </c>
      <c r="CC82" s="11" t="n">
        <f aca="false">(BX82/AU82)</f>
        <v>0</v>
      </c>
      <c r="CD82" s="11" t="n">
        <f aca="false">(BY82/AV82)</f>
        <v>0.0597014925373134</v>
      </c>
      <c r="CE82" s="11" t="n">
        <f aca="false">(100*CD82)</f>
        <v>5.97014925373134</v>
      </c>
      <c r="CF82" s="9" t="n">
        <v>1</v>
      </c>
      <c r="CG82" s="9" t="n">
        <v>5</v>
      </c>
      <c r="CH82" s="9" t="n">
        <v>7</v>
      </c>
      <c r="CI82" s="9" t="n">
        <v>3</v>
      </c>
      <c r="CJ82" s="9" t="n">
        <v>3</v>
      </c>
      <c r="CK82" s="11" t="n">
        <f aca="false">(CG82+CH82+CI82+CJ82)/4</f>
        <v>4.5</v>
      </c>
      <c r="CL82" s="11" t="n">
        <f aca="false">(CG82/AM82)</f>
        <v>0.555555555555556</v>
      </c>
      <c r="CM82" s="11" t="n">
        <f aca="false">(CH82/AN82)</f>
        <v>0.132075471698113</v>
      </c>
      <c r="CN82" s="11" t="n">
        <f aca="false">(CI82/AO82)</f>
        <v>0.0315789473684211</v>
      </c>
      <c r="CO82" s="9" t="n">
        <f aca="false">(CJ82/AP82)</f>
        <v>0.0394736842105263</v>
      </c>
      <c r="CP82" s="9" t="n">
        <f aca="false">(CK82/AQ82)</f>
        <v>0.0772532188841202</v>
      </c>
      <c r="CQ82" s="9" t="n">
        <f aca="false">(100*CP82)</f>
        <v>7.72532188841202</v>
      </c>
      <c r="CR82" s="18" t="n">
        <v>1</v>
      </c>
      <c r="CS82" s="9" t="n">
        <v>47.7</v>
      </c>
      <c r="CT82" s="9" t="n">
        <v>65.6</v>
      </c>
      <c r="CU82" s="9" t="n">
        <v>76.6</v>
      </c>
      <c r="CV82" s="9" t="n">
        <v>75.7</v>
      </c>
      <c r="CW82" s="11" t="n">
        <f aca="false">(CS82+CT82+CU82+CV82)/4</f>
        <v>66.4</v>
      </c>
      <c r="CX82" s="9" t="n">
        <v>0</v>
      </c>
      <c r="CY82" s="9" t="n">
        <v>0</v>
      </c>
      <c r="CZ82" s="9" t="n">
        <v>0</v>
      </c>
      <c r="DA82" s="9" t="n">
        <v>0</v>
      </c>
      <c r="DB82" s="11" t="n">
        <f aca="false">(CX82+CY82+CZ82+DA82)/4</f>
        <v>0</v>
      </c>
      <c r="DC82" s="9" t="n">
        <v>1</v>
      </c>
      <c r="DD82" s="9" t="n">
        <v>1</v>
      </c>
      <c r="DE82" s="9" t="n">
        <v>1</v>
      </c>
      <c r="DF82" s="9" t="n">
        <v>1</v>
      </c>
      <c r="DG82" s="11" t="n">
        <f aca="false">(DC82+DD82+DE82+DF82)/4</f>
        <v>1</v>
      </c>
      <c r="DH82" s="9" t="n">
        <v>1</v>
      </c>
      <c r="DI82" s="9" t="n">
        <v>1</v>
      </c>
      <c r="DJ82" s="9" t="n">
        <v>1</v>
      </c>
      <c r="DK82" s="9" t="n">
        <v>1</v>
      </c>
      <c r="DL82" s="11" t="n">
        <f aca="false">(DH82+DI82+DJ82+DK82)/4</f>
        <v>1</v>
      </c>
      <c r="DM82" s="9" t="n">
        <v>53</v>
      </c>
      <c r="DN82" s="9" t="n">
        <v>52</v>
      </c>
      <c r="DO82" s="9" t="n">
        <v>119</v>
      </c>
      <c r="DP82" s="9" t="n">
        <v>12</v>
      </c>
      <c r="DQ82" s="11" t="n">
        <f aca="false">(DM82+DN82+DO82+DP82)/4</f>
        <v>59</v>
      </c>
      <c r="DR82" s="9" t="n">
        <v>14</v>
      </c>
      <c r="DS82" s="9" t="n">
        <v>15</v>
      </c>
      <c r="DT82" s="9" t="n">
        <v>16</v>
      </c>
      <c r="DU82" s="9" t="n">
        <v>17</v>
      </c>
      <c r="DV82" s="11" t="n">
        <f aca="false">(DR82+DS82+DT82+DU82)/4</f>
        <v>15.5</v>
      </c>
      <c r="DW82" s="9" t="n">
        <v>0</v>
      </c>
      <c r="DX82" s="9" t="n">
        <v>0</v>
      </c>
      <c r="DY82" s="9" t="n">
        <v>0</v>
      </c>
      <c r="DZ82" s="9" t="n">
        <v>0</v>
      </c>
      <c r="EA82" s="11" t="n">
        <f aca="false">(DW82+DX82+DY82+DZ82)/4</f>
        <v>0</v>
      </c>
      <c r="EB82" s="11" t="n">
        <f aca="false">(DW82/DR82)</f>
        <v>0</v>
      </c>
      <c r="EC82" s="11" t="n">
        <f aca="false">(DX82/DS82)</f>
        <v>0</v>
      </c>
      <c r="ED82" s="11" t="n">
        <f aca="false">(DY82/DT82)</f>
        <v>0</v>
      </c>
      <c r="EE82" s="11" t="n">
        <f aca="false">(DZ82/DU82)</f>
        <v>0</v>
      </c>
      <c r="EF82" s="11" t="n">
        <f aca="false">(EA82/DV82)</f>
        <v>0</v>
      </c>
      <c r="EG82" s="11" t="n">
        <f aca="false">(100*EF82)</f>
        <v>0</v>
      </c>
      <c r="EH82" s="9" t="n">
        <v>0</v>
      </c>
      <c r="EI82" s="9" t="n">
        <v>6</v>
      </c>
      <c r="EJ82" s="9" t="n">
        <v>4</v>
      </c>
      <c r="EK82" s="19" t="n">
        <v>3</v>
      </c>
      <c r="EL82" s="9" t="n">
        <v>4</v>
      </c>
      <c r="EM82" s="9" t="n">
        <f aca="false">(EI82+EJ82+EK82+EL82)/4</f>
        <v>4.25</v>
      </c>
      <c r="EN82" s="9" t="n">
        <f aca="false">(EI82/DR82)</f>
        <v>0.428571428571429</v>
      </c>
      <c r="EO82" s="9" t="n">
        <f aca="false">(EJ82/DS82)</f>
        <v>0.266666666666667</v>
      </c>
      <c r="EP82" s="9" t="n">
        <f aca="false">(EK82/DT82)</f>
        <v>0.1875</v>
      </c>
      <c r="EQ82" s="9" t="n">
        <f aca="false">(EL82/DU82)</f>
        <v>0.235294117647059</v>
      </c>
      <c r="ER82" s="9" t="n">
        <f aca="false">EM82/DV82</f>
        <v>0.274193548387097</v>
      </c>
      <c r="ES82" s="9" t="n">
        <f aca="false">(100*ER82)</f>
        <v>27.4193548387097</v>
      </c>
      <c r="ET82" s="9" t="n">
        <v>2</v>
      </c>
      <c r="EU82" s="18" t="n">
        <v>8</v>
      </c>
      <c r="EV82" s="9" t="n">
        <v>0</v>
      </c>
      <c r="EW82" s="9" t="n">
        <v>0</v>
      </c>
      <c r="EX82" s="9" t="n">
        <v>0</v>
      </c>
      <c r="EY82" s="11" t="n">
        <f aca="false">(EU82+EV82+EW82+EX82)/4</f>
        <v>2</v>
      </c>
      <c r="EZ82" s="11" t="n">
        <f aca="false">(EU82/DR82)</f>
        <v>0.571428571428571</v>
      </c>
      <c r="FA82" s="11" t="n">
        <f aca="false">(EV82/DS82)</f>
        <v>0</v>
      </c>
      <c r="FB82" s="11" t="n">
        <f aca="false">(EW82/DT82)</f>
        <v>0</v>
      </c>
      <c r="FC82" s="11" t="n">
        <f aca="false">(EX82/DU82)</f>
        <v>0</v>
      </c>
      <c r="FD82" s="11" t="n">
        <f aca="false">(EY82/DV82)</f>
        <v>0.129032258064516</v>
      </c>
      <c r="FE82" s="11" t="n">
        <f aca="false">(100*FD82)</f>
        <v>12.9032258064516</v>
      </c>
      <c r="FF82" s="9" t="n">
        <v>2</v>
      </c>
      <c r="FG82" s="9" t="n">
        <v>0</v>
      </c>
      <c r="FH82" s="9" t="n">
        <v>9</v>
      </c>
      <c r="FI82" s="9" t="n">
        <v>2</v>
      </c>
      <c r="FJ82" s="9" t="n">
        <v>3</v>
      </c>
      <c r="FK82" s="11" t="n">
        <f aca="false">(FG82+FH82+FI82+FJ82)/4</f>
        <v>3.5</v>
      </c>
      <c r="FL82" s="11" t="n">
        <f aca="false">(FG82/DR82)</f>
        <v>0</v>
      </c>
      <c r="FM82" s="11" t="n">
        <f aca="false">(FH82/DS82)</f>
        <v>0.6</v>
      </c>
      <c r="FN82" s="11" t="n">
        <f aca="false">(FI82/DT82)</f>
        <v>0.125</v>
      </c>
      <c r="FO82" s="11" t="n">
        <f aca="false">(FJ82/DU82)</f>
        <v>0.176470588235294</v>
      </c>
      <c r="FP82" s="11" t="n">
        <f aca="false">(FK82/DV82)</f>
        <v>0.225806451612903</v>
      </c>
      <c r="FQ82" s="11" t="n">
        <f aca="false">(100*FP82)</f>
        <v>22.5806451612903</v>
      </c>
      <c r="FR82" s="9" t="n">
        <v>2</v>
      </c>
      <c r="FS82" s="9" t="n">
        <v>80.4</v>
      </c>
      <c r="FT82" s="9" t="n">
        <v>70.6</v>
      </c>
      <c r="FU82" s="9" t="n">
        <v>49.4</v>
      </c>
      <c r="FV82" s="9" t="n">
        <v>59.1</v>
      </c>
      <c r="FW82" s="11" t="n">
        <f aca="false">(FS82+FT82+FU82+FV82)/4</f>
        <v>64.875</v>
      </c>
      <c r="FX82" s="9" t="n">
        <v>0</v>
      </c>
      <c r="FY82" s="9" t="n">
        <v>0</v>
      </c>
      <c r="FZ82" s="9" t="n">
        <v>0</v>
      </c>
      <c r="GA82" s="9" t="n">
        <v>0</v>
      </c>
      <c r="GB82" s="11" t="n">
        <f aca="false">(FX82+FY82+FZ82+GA82)/4</f>
        <v>0</v>
      </c>
      <c r="GC82" s="9" t="n">
        <v>1</v>
      </c>
      <c r="GD82" s="9" t="n">
        <v>1</v>
      </c>
      <c r="GE82" s="9" t="n">
        <v>1</v>
      </c>
      <c r="GF82" s="9" t="n">
        <v>1</v>
      </c>
      <c r="GG82" s="11" t="n">
        <f aca="false">(GC82+GD82+GE82+GF82)/4</f>
        <v>1</v>
      </c>
      <c r="GH82" s="9" t="n">
        <v>1</v>
      </c>
      <c r="GI82" s="9" t="n">
        <v>1</v>
      </c>
      <c r="GJ82" s="9" t="n">
        <v>1</v>
      </c>
      <c r="GK82" s="9" t="n">
        <v>1</v>
      </c>
      <c r="GL82" s="11" t="n">
        <f aca="false">(GH82+GI82+GJ82+GK82)/4</f>
        <v>1</v>
      </c>
      <c r="GM82" s="9" t="n">
        <v>22</v>
      </c>
      <c r="GN82" s="9" t="n">
        <v>50</v>
      </c>
      <c r="GO82" s="9" t="n">
        <v>19</v>
      </c>
      <c r="GP82" s="9" t="n">
        <v>185</v>
      </c>
      <c r="GQ82" s="11" t="n">
        <f aca="false">(GM82+GN82+GO82+GP82)/4</f>
        <v>69</v>
      </c>
      <c r="GR82" s="9" t="n">
        <v>5</v>
      </c>
      <c r="GS82" s="9" t="n">
        <v>6</v>
      </c>
      <c r="GT82" s="9" t="n">
        <v>5</v>
      </c>
      <c r="GU82" s="9" t="n">
        <v>6</v>
      </c>
      <c r="GV82" s="11" t="n">
        <f aca="false">(GR82+GS82+GT82+GU82)/4</f>
        <v>5.5</v>
      </c>
      <c r="GW82" s="9" t="n">
        <v>0</v>
      </c>
      <c r="GX82" s="9" t="n">
        <v>0</v>
      </c>
      <c r="GY82" s="9" t="n">
        <v>0</v>
      </c>
      <c r="GZ82" s="9" t="n">
        <v>0</v>
      </c>
      <c r="HA82" s="11" t="n">
        <f aca="false">(GW82+GX82+GY82+GZ82)/4</f>
        <v>0</v>
      </c>
      <c r="HB82" s="9" t="n">
        <f aca="false">(GW82/GR82)</f>
        <v>0</v>
      </c>
      <c r="HC82" s="9" t="n">
        <f aca="false">(GX82/GS82)</f>
        <v>0</v>
      </c>
      <c r="HD82" s="9" t="n">
        <f aca="false">(GY82/GT82)</f>
        <v>0</v>
      </c>
      <c r="HE82" s="9" t="n">
        <f aca="false">(GZ82/GU82)/4</f>
        <v>0</v>
      </c>
      <c r="HF82" s="9" t="n">
        <f aca="false">(HB82+HC82+HD82+HE82)/4</f>
        <v>0</v>
      </c>
      <c r="HG82" s="9" t="n">
        <f aca="false">(100*HF82)</f>
        <v>0</v>
      </c>
      <c r="HH82" s="18" t="n">
        <v>0</v>
      </c>
      <c r="HI82" s="9" t="n">
        <v>3</v>
      </c>
      <c r="HJ82" s="9" t="n">
        <v>4</v>
      </c>
      <c r="HK82" s="9" t="n">
        <v>2</v>
      </c>
      <c r="HL82" s="19" t="n">
        <v>2</v>
      </c>
      <c r="HM82" s="9" t="n">
        <f aca="false">(HI82+HJ82+HK82+HL82)/4</f>
        <v>2.75</v>
      </c>
      <c r="HN82" s="9" t="n">
        <f aca="false">(HI82/GR82)</f>
        <v>0.6</v>
      </c>
      <c r="HO82" s="9" t="n">
        <f aca="false">(HJ82/GS82)</f>
        <v>0.666666666666667</v>
      </c>
      <c r="HP82" s="9" t="n">
        <f aca="false">(HK82/GT82)</f>
        <v>0.4</v>
      </c>
      <c r="HQ82" s="9" t="n">
        <f aca="false">(HL82/GU82)</f>
        <v>0.333333333333333</v>
      </c>
      <c r="HR82" s="9" t="n">
        <f aca="false">(HM82/GV82)</f>
        <v>0.5</v>
      </c>
      <c r="HS82" s="9" t="n">
        <f aca="false">(100*HR82)</f>
        <v>50</v>
      </c>
      <c r="HT82" s="18" t="n">
        <v>3</v>
      </c>
      <c r="HU82" s="9" t="n">
        <v>0</v>
      </c>
      <c r="HV82" s="9" t="n">
        <v>0</v>
      </c>
      <c r="HW82" s="9" t="n">
        <v>0</v>
      </c>
      <c r="HX82" s="19" t="n">
        <v>0</v>
      </c>
      <c r="HY82" s="9" t="n">
        <f aca="false">(HU82+HV82+HW82+HX82)/4</f>
        <v>0</v>
      </c>
      <c r="HZ82" s="9" t="n">
        <f aca="false">(HU82/GR82)</f>
        <v>0</v>
      </c>
      <c r="IA82" s="9" t="n">
        <f aca="false">HV82/GS82</f>
        <v>0</v>
      </c>
      <c r="IB82" s="9" t="n">
        <f aca="false">(HW82/GT82)</f>
        <v>0</v>
      </c>
      <c r="IC82" s="9" t="n">
        <f aca="false">(HX82/GU82)</f>
        <v>0</v>
      </c>
      <c r="ID82" s="9" t="n">
        <f aca="false">(HY82/GV82)</f>
        <v>0</v>
      </c>
      <c r="IE82" s="9" t="n">
        <f aca="false">(100*ID82)</f>
        <v>0</v>
      </c>
      <c r="IF82" s="18" t="n">
        <v>0</v>
      </c>
      <c r="IG82" s="9" t="n">
        <v>4</v>
      </c>
      <c r="IH82" s="9" t="n">
        <v>8</v>
      </c>
      <c r="II82" s="19" t="n">
        <v>8</v>
      </c>
      <c r="IJ82" s="9" t="n">
        <v>3</v>
      </c>
      <c r="IK82" s="9" t="n">
        <f aca="false">(IG82+IH82+II82+IJ82)/4</f>
        <v>5.75</v>
      </c>
      <c r="IL82" s="9" t="n">
        <f aca="false">(IG82/GM82)</f>
        <v>0.181818181818182</v>
      </c>
      <c r="IM82" s="9" t="n">
        <f aca="false">(IH82/GN82)</f>
        <v>0.16</v>
      </c>
      <c r="IN82" s="9" t="n">
        <f aca="false">(II82/GO82)</f>
        <v>0.421052631578947</v>
      </c>
      <c r="IO82" s="9" t="n">
        <f aca="false">(IJ82/GP82)</f>
        <v>0.0162162162162162</v>
      </c>
      <c r="IP82" s="9" t="n">
        <f aca="false">(IK82/GQ82)</f>
        <v>0.0833333333333333</v>
      </c>
      <c r="IQ82" s="9" t="n">
        <f aca="false">(100*IP82)</f>
        <v>8.33333333333333</v>
      </c>
      <c r="IR82" s="18" t="n">
        <v>1</v>
      </c>
      <c r="IS82" s="9" t="n">
        <v>77.6</v>
      </c>
      <c r="IT82" s="9" t="n">
        <v>67.8</v>
      </c>
      <c r="IU82" s="19" t="n">
        <v>46.8</v>
      </c>
      <c r="IV82" s="9" t="n">
        <v>41.9</v>
      </c>
      <c r="IW82" s="9" t="n">
        <f aca="false">(IS82+IT82+IU82+IV82)/4</f>
        <v>58.525</v>
      </c>
      <c r="IX82" s="16" t="n">
        <v>45241</v>
      </c>
      <c r="IY82" s="10" t="s">
        <v>268</v>
      </c>
    </row>
    <row r="83" customFormat="false" ht="15.75" hidden="false" customHeight="true" outlineLevel="0" collapsed="false">
      <c r="A83" s="9" t="s">
        <v>343</v>
      </c>
      <c r="B83" s="10" t="s">
        <v>458</v>
      </c>
      <c r="C83" s="10" t="s">
        <v>400</v>
      </c>
      <c r="D83" s="9" t="n">
        <v>1</v>
      </c>
      <c r="E83" s="9" t="n">
        <v>28</v>
      </c>
      <c r="F83" s="10" t="s">
        <v>459</v>
      </c>
      <c r="G83" s="10" t="s">
        <v>320</v>
      </c>
      <c r="H83" s="9" t="n">
        <v>21</v>
      </c>
      <c r="I83" s="9" t="n">
        <v>5</v>
      </c>
      <c r="J83" s="12" t="s">
        <v>264</v>
      </c>
      <c r="K83" s="13" t="s">
        <v>460</v>
      </c>
      <c r="L83" s="13" t="s">
        <v>461</v>
      </c>
      <c r="M83" s="14" t="n">
        <v>1314</v>
      </c>
      <c r="N83" s="15" t="n">
        <v>45133</v>
      </c>
      <c r="O83" s="10" t="s">
        <v>267</v>
      </c>
      <c r="P83" s="9"/>
      <c r="Q83" s="9" t="n">
        <v>66.93</v>
      </c>
      <c r="R83" s="9" t="n">
        <v>15</v>
      </c>
      <c r="S83" s="9" t="n">
        <v>-7</v>
      </c>
      <c r="T83" s="9" t="n">
        <v>80</v>
      </c>
      <c r="U83" s="9"/>
      <c r="V83" s="9" t="n">
        <f aca="false">(35.75/100)</f>
        <v>0.3575</v>
      </c>
      <c r="W83" s="9" t="s">
        <v>462</v>
      </c>
      <c r="X83" s="9" t="n">
        <v>0</v>
      </c>
      <c r="Y83" s="9" t="n">
        <v>0</v>
      </c>
      <c r="Z83" s="9" t="n">
        <v>0</v>
      </c>
      <c r="AA83" s="9" t="n">
        <v>0</v>
      </c>
      <c r="AB83" s="11" t="n">
        <f aca="false">(X83+Y83+Z83+AA83)/4</f>
        <v>0</v>
      </c>
      <c r="AC83" s="9" t="n">
        <v>1</v>
      </c>
      <c r="AD83" s="9" t="n">
        <v>1</v>
      </c>
      <c r="AE83" s="9" t="n">
        <v>0</v>
      </c>
      <c r="AF83" s="9" t="n">
        <v>1</v>
      </c>
      <c r="AG83" s="11" t="n">
        <f aca="false">(AC83+AD83+AE83+AF83)/4</f>
        <v>0.75</v>
      </c>
      <c r="AH83" s="9" t="n">
        <v>0</v>
      </c>
      <c r="AI83" s="9" t="n">
        <v>0</v>
      </c>
      <c r="AJ83" s="9" t="n">
        <v>1</v>
      </c>
      <c r="AK83" s="9" t="n">
        <v>0</v>
      </c>
      <c r="AL83" s="11" t="n">
        <f aca="false">(AH83+AI83+AJ83+AK83)/4</f>
        <v>0.25</v>
      </c>
      <c r="AM83" s="9" t="n">
        <v>0</v>
      </c>
      <c r="AN83" s="9" t="n">
        <v>0</v>
      </c>
      <c r="AO83" s="9" t="n">
        <v>0</v>
      </c>
      <c r="AP83" s="9" t="n">
        <v>1</v>
      </c>
      <c r="AQ83" s="11" t="n">
        <f aca="false">(AM83+AN83+AO83+AP83)/4</f>
        <v>0.25</v>
      </c>
      <c r="AR83" s="9" t="n">
        <v>28</v>
      </c>
      <c r="AS83" s="9" t="n">
        <v>26</v>
      </c>
      <c r="AT83" s="9" t="n">
        <v>17</v>
      </c>
      <c r="AU83" s="9" t="n">
        <v>7</v>
      </c>
      <c r="AV83" s="11" t="n">
        <f aca="false">(AR83+AS83+AT83+AU83)/4</f>
        <v>19.5</v>
      </c>
      <c r="AW83" s="9" t="n">
        <v>0</v>
      </c>
      <c r="AX83" s="9" t="n">
        <v>0</v>
      </c>
      <c r="AY83" s="9" t="n">
        <v>0</v>
      </c>
      <c r="AZ83" s="9" t="n">
        <v>0</v>
      </c>
      <c r="BA83" s="11" t="n">
        <f aca="false">(AW83+AX83+AY83+AZ83)/4</f>
        <v>0</v>
      </c>
      <c r="BB83" s="11" t="n">
        <f aca="false">(AW83/AR83)</f>
        <v>0</v>
      </c>
      <c r="BC83" s="11" t="n">
        <f aca="false">(AX83/AS83)</f>
        <v>0</v>
      </c>
      <c r="BD83" s="11" t="n">
        <f aca="false">(AY83/AT83)</f>
        <v>0</v>
      </c>
      <c r="BE83" s="11" t="n">
        <f aca="false">(AZ83/AU83)</f>
        <v>0</v>
      </c>
      <c r="BF83" s="11" t="n">
        <f aca="false">(BA83/AV83)</f>
        <v>0</v>
      </c>
      <c r="BG83" s="11" t="n">
        <f aca="false">(BF83*100)</f>
        <v>0</v>
      </c>
      <c r="BH83" s="9" t="n">
        <v>0</v>
      </c>
      <c r="BI83" s="9" t="n">
        <v>3</v>
      </c>
      <c r="BJ83" s="9" t="n">
        <v>2</v>
      </c>
      <c r="BK83" s="9" t="n">
        <v>0</v>
      </c>
      <c r="BL83" s="9" t="n">
        <v>2</v>
      </c>
      <c r="BM83" s="11" t="n">
        <f aca="false">(BI83+BJ83+BK83+BL83)/4</f>
        <v>1.75</v>
      </c>
      <c r="BN83" s="11" t="n">
        <f aca="false">(BI83/AR83)</f>
        <v>0.107142857142857</v>
      </c>
      <c r="BO83" s="11" t="n">
        <f aca="false">(BJ83/AS83)</f>
        <v>0.0769230769230769</v>
      </c>
      <c r="BP83" s="11" t="n">
        <f aca="false">(BK83/AT83)</f>
        <v>0</v>
      </c>
      <c r="BQ83" s="11" t="n">
        <f aca="false">(BL83/AU83)</f>
        <v>0.285714285714286</v>
      </c>
      <c r="BR83" s="11" t="n">
        <f aca="false">(BM83/AV83)</f>
        <v>0.0897435897435897</v>
      </c>
      <c r="BS83" s="11" t="n">
        <f aca="false">(100*BR83)</f>
        <v>8.97435897435897</v>
      </c>
      <c r="BT83" s="9" t="n">
        <v>1</v>
      </c>
      <c r="BU83" s="9" t="n">
        <v>0</v>
      </c>
      <c r="BV83" s="9" t="n">
        <v>0</v>
      </c>
      <c r="BW83" s="9" t="n">
        <v>2</v>
      </c>
      <c r="BX83" s="9" t="n">
        <v>0</v>
      </c>
      <c r="BY83" s="11" t="n">
        <f aca="false">(BU83+BV83+BW83+BX83)/4</f>
        <v>0.5</v>
      </c>
      <c r="BZ83" s="11" t="n">
        <f aca="false">(BU83/AR83)</f>
        <v>0</v>
      </c>
      <c r="CA83" s="11" t="n">
        <f aca="false">(BV83/AS83)</f>
        <v>0</v>
      </c>
      <c r="CB83" s="11" t="n">
        <f aca="false">(BW83/AT83)</f>
        <v>0.117647058823529</v>
      </c>
      <c r="CC83" s="11" t="n">
        <f aca="false">(BX83/AU83)</f>
        <v>0</v>
      </c>
      <c r="CD83" s="11" t="n">
        <f aca="false">(BY83/AV83)</f>
        <v>0.0256410256410256</v>
      </c>
      <c r="CE83" s="11" t="n">
        <f aca="false">(100*CD83)</f>
        <v>2.56410256410256</v>
      </c>
      <c r="CF83" s="9" t="n">
        <v>1</v>
      </c>
      <c r="CG83" s="9" t="n">
        <v>0</v>
      </c>
      <c r="CH83" s="9" t="n">
        <v>0</v>
      </c>
      <c r="CI83" s="9" t="n">
        <v>0</v>
      </c>
      <c r="CJ83" s="9" t="n">
        <v>0</v>
      </c>
      <c r="CK83" s="11" t="n">
        <f aca="false">(CG83+CH83+CI83+CJ83)/4</f>
        <v>0</v>
      </c>
      <c r="CL83" s="11" t="e">
        <f aca="false">(CG83/AM83)</f>
        <v>#DIV/0!</v>
      </c>
      <c r="CM83" s="11" t="e">
        <f aca="false">(CH83/AN83)</f>
        <v>#DIV/0!</v>
      </c>
      <c r="CN83" s="11" t="e">
        <f aca="false">(CI83/AO83)</f>
        <v>#DIV/0!</v>
      </c>
      <c r="CO83" s="9" t="n">
        <f aca="false">(CJ83/AP83)</f>
        <v>0</v>
      </c>
      <c r="CP83" s="9" t="n">
        <f aca="false">(CK83/AQ83)</f>
        <v>0</v>
      </c>
      <c r="CQ83" s="9" t="n">
        <f aca="false">(100*CP83)</f>
        <v>0</v>
      </c>
      <c r="CR83" s="18" t="n">
        <v>0</v>
      </c>
      <c r="CS83" s="9" t="n">
        <v>64.2</v>
      </c>
      <c r="CT83" s="9" t="n">
        <v>59.5</v>
      </c>
      <c r="CU83" s="9" t="n">
        <v>61.3</v>
      </c>
      <c r="CV83" s="9" t="n">
        <v>47.4</v>
      </c>
      <c r="CW83" s="11" t="n">
        <f aca="false">(CS83+CT83+CU83+CV83)/4</f>
        <v>58.1</v>
      </c>
      <c r="CX83" s="9" t="n">
        <v>1</v>
      </c>
      <c r="CY83" s="9" t="n">
        <v>0</v>
      </c>
      <c r="CZ83" s="9" t="n">
        <v>0</v>
      </c>
      <c r="DA83" s="9" t="n">
        <v>0</v>
      </c>
      <c r="DB83" s="11" t="n">
        <f aca="false">(CX83+CY83+CZ83+DA83)/4</f>
        <v>0.25</v>
      </c>
      <c r="DC83" s="9" t="n">
        <v>0</v>
      </c>
      <c r="DD83" s="9" t="n">
        <v>1</v>
      </c>
      <c r="DE83" s="9" t="n">
        <v>1</v>
      </c>
      <c r="DF83" s="9" t="n">
        <v>0</v>
      </c>
      <c r="DG83" s="11" t="n">
        <f aca="false">(DC83+DD83+DE83+DF83)/4</f>
        <v>0.5</v>
      </c>
      <c r="DH83" s="9" t="n">
        <v>0</v>
      </c>
      <c r="DI83" s="9" t="n">
        <v>0</v>
      </c>
      <c r="DJ83" s="9" t="n">
        <v>0</v>
      </c>
      <c r="DK83" s="9" t="n">
        <v>1</v>
      </c>
      <c r="DL83" s="11" t="n">
        <f aca="false">(DH83+DI83+DJ83+DK83)/4</f>
        <v>0.25</v>
      </c>
      <c r="DM83" s="9" t="n">
        <v>4</v>
      </c>
      <c r="DN83" s="9" t="n">
        <v>18</v>
      </c>
      <c r="DO83" s="9" t="n">
        <v>0</v>
      </c>
      <c r="DP83" s="9" t="n">
        <v>0</v>
      </c>
      <c r="DQ83" s="11" t="n">
        <f aca="false">(DM83+DN83+DO83+DP83)/4</f>
        <v>5.5</v>
      </c>
      <c r="DR83" s="9" t="n">
        <v>17</v>
      </c>
      <c r="DS83" s="9" t="n">
        <v>16</v>
      </c>
      <c r="DT83" s="9" t="n">
        <v>15</v>
      </c>
      <c r="DU83" s="9" t="n">
        <v>7</v>
      </c>
      <c r="DV83" s="11" t="n">
        <f aca="false">(DR83+DS83+DT83+DU83)/4</f>
        <v>13.75</v>
      </c>
      <c r="DW83" s="9" t="n">
        <v>2</v>
      </c>
      <c r="DX83" s="9" t="n">
        <v>0</v>
      </c>
      <c r="DY83" s="9" t="n">
        <v>0</v>
      </c>
      <c r="DZ83" s="9" t="n">
        <v>0</v>
      </c>
      <c r="EA83" s="11" t="n">
        <f aca="false">(DW83+DX83+DY83+DZ83)/4</f>
        <v>0.5</v>
      </c>
      <c r="EB83" s="11" t="n">
        <f aca="false">(DW83/DR83)</f>
        <v>0.117647058823529</v>
      </c>
      <c r="EC83" s="11" t="n">
        <f aca="false">(DX83/DS83)</f>
        <v>0</v>
      </c>
      <c r="ED83" s="11" t="n">
        <f aca="false">(DY83/DT83)</f>
        <v>0</v>
      </c>
      <c r="EE83" s="11" t="n">
        <f aca="false">(DZ83/DU83)</f>
        <v>0</v>
      </c>
      <c r="EF83" s="11" t="n">
        <f aca="false">(EA83/DV83)</f>
        <v>0.0363636363636364</v>
      </c>
      <c r="EG83" s="11" t="n">
        <f aca="false">(100*EF83)</f>
        <v>3.63636363636364</v>
      </c>
      <c r="EH83" s="9" t="n">
        <v>1</v>
      </c>
      <c r="EI83" s="9" t="n">
        <v>0</v>
      </c>
      <c r="EJ83" s="9" t="n">
        <v>2</v>
      </c>
      <c r="EK83" s="19" t="n">
        <v>1</v>
      </c>
      <c r="EL83" s="9" t="n">
        <v>0</v>
      </c>
      <c r="EM83" s="9" t="n">
        <f aca="false">(EI83+EJ83+EK83+EL83)/4</f>
        <v>0.75</v>
      </c>
      <c r="EN83" s="9" t="n">
        <f aca="false">(EI83/DR83)</f>
        <v>0</v>
      </c>
      <c r="EO83" s="9" t="n">
        <f aca="false">(EJ83/DS83)</f>
        <v>0.125</v>
      </c>
      <c r="EP83" s="9" t="n">
        <f aca="false">(EK83/DT83)</f>
        <v>0.0666666666666667</v>
      </c>
      <c r="EQ83" s="9" t="n">
        <f aca="false">(EL83/DU83)</f>
        <v>0</v>
      </c>
      <c r="ER83" s="9" t="n">
        <f aca="false">EM83/DV83</f>
        <v>0.0545454545454545</v>
      </c>
      <c r="ES83" s="9" t="n">
        <f aca="false">(100*ER83)</f>
        <v>5.45454545454545</v>
      </c>
      <c r="ET83" s="9" t="n">
        <v>1</v>
      </c>
      <c r="EU83" s="18" t="n">
        <v>0</v>
      </c>
      <c r="EV83" s="9" t="n">
        <v>0</v>
      </c>
      <c r="EW83" s="9" t="n">
        <v>0</v>
      </c>
      <c r="EX83" s="9" t="n">
        <v>1</v>
      </c>
      <c r="EY83" s="11" t="n">
        <f aca="false">(EU83+EV83+EW83+EX83)/4</f>
        <v>0.25</v>
      </c>
      <c r="EZ83" s="11" t="n">
        <f aca="false">(EU83/DR83)</f>
        <v>0</v>
      </c>
      <c r="FA83" s="11" t="n">
        <f aca="false">(EV83/DS83)</f>
        <v>0</v>
      </c>
      <c r="FB83" s="11" t="n">
        <f aca="false">(EW83/DT83)</f>
        <v>0</v>
      </c>
      <c r="FC83" s="11" t="n">
        <f aca="false">(EX83/DU83)</f>
        <v>0.142857142857143</v>
      </c>
      <c r="FD83" s="11" t="n">
        <f aca="false">(EY83/DV83)</f>
        <v>0.0181818181818182</v>
      </c>
      <c r="FE83" s="11" t="n">
        <f aca="false">(100*FD83)</f>
        <v>1.81818181818182</v>
      </c>
      <c r="FF83" s="9" t="n">
        <v>1</v>
      </c>
      <c r="FG83" s="9" t="n">
        <v>0</v>
      </c>
      <c r="FH83" s="9" t="n">
        <v>0</v>
      </c>
      <c r="FI83" s="9" t="n">
        <v>0</v>
      </c>
      <c r="FJ83" s="9" t="n">
        <v>0</v>
      </c>
      <c r="FK83" s="11" t="n">
        <f aca="false">(FG83+FH83+FI83+FJ83)/4</f>
        <v>0</v>
      </c>
      <c r="FL83" s="11" t="n">
        <f aca="false">(FG83/DR83)</f>
        <v>0</v>
      </c>
      <c r="FM83" s="11" t="n">
        <f aca="false">(FH83/DS83)</f>
        <v>0</v>
      </c>
      <c r="FN83" s="11" t="n">
        <f aca="false">(FI83/DT83)</f>
        <v>0</v>
      </c>
      <c r="FO83" s="11" t="n">
        <f aca="false">(FJ83/DU83)</f>
        <v>0</v>
      </c>
      <c r="FP83" s="11" t="n">
        <f aca="false">(FK83/DV83)</f>
        <v>0</v>
      </c>
      <c r="FQ83" s="11" t="n">
        <f aca="false">(100*FP83)</f>
        <v>0</v>
      </c>
      <c r="FR83" s="9" t="n">
        <v>0</v>
      </c>
      <c r="FS83" s="9" t="n">
        <v>46.8</v>
      </c>
      <c r="FT83" s="9" t="n">
        <v>59.6</v>
      </c>
      <c r="FU83" s="9" t="n">
        <v>59.9</v>
      </c>
      <c r="FV83" s="9" t="n">
        <v>51.4</v>
      </c>
      <c r="FW83" s="11" t="n">
        <f aca="false">(FS83+FT83+FU83+FV83)/4</f>
        <v>54.425</v>
      </c>
      <c r="FX83" s="9" t="n">
        <v>0</v>
      </c>
      <c r="FY83" s="9" t="n">
        <v>0</v>
      </c>
      <c r="FZ83" s="9" t="n">
        <v>0</v>
      </c>
      <c r="GA83" s="9" t="n">
        <v>1</v>
      </c>
      <c r="GB83" s="11" t="n">
        <f aca="false">(FX83+FY83+FZ83+GA83)/4</f>
        <v>0.25</v>
      </c>
      <c r="GC83" s="9" t="n">
        <v>0</v>
      </c>
      <c r="GD83" s="9" t="n">
        <v>0</v>
      </c>
      <c r="GE83" s="9" t="n">
        <v>1</v>
      </c>
      <c r="GF83" s="9" t="n">
        <v>0</v>
      </c>
      <c r="GG83" s="11" t="n">
        <f aca="false">(GC83+GD83+GE83+GF83)/4</f>
        <v>0.25</v>
      </c>
      <c r="GH83" s="9" t="n">
        <v>1</v>
      </c>
      <c r="GI83" s="9" t="n">
        <v>0</v>
      </c>
      <c r="GJ83" s="9" t="n">
        <v>0</v>
      </c>
      <c r="GK83" s="9" t="n">
        <v>0</v>
      </c>
      <c r="GL83" s="11" t="n">
        <f aca="false">(GH83+GI83+GJ83+GK83)/4</f>
        <v>0.25</v>
      </c>
      <c r="GM83" s="9" t="n">
        <v>6</v>
      </c>
      <c r="GN83" s="9" t="n">
        <v>0</v>
      </c>
      <c r="GO83" s="9" t="n">
        <v>0</v>
      </c>
      <c r="GP83" s="9" t="n">
        <v>0</v>
      </c>
      <c r="GQ83" s="11" t="n">
        <f aca="false">(GM83+GN83+GO83+GP83)/4</f>
        <v>1.5</v>
      </c>
      <c r="GR83" s="9" t="n">
        <v>18</v>
      </c>
      <c r="GS83" s="9" t="n">
        <v>18</v>
      </c>
      <c r="GT83" s="9" t="n">
        <v>19</v>
      </c>
      <c r="GU83" s="9" t="n">
        <v>16</v>
      </c>
      <c r="GV83" s="11" t="n">
        <f aca="false">(GR83+GS83+GT83+GU83)/4</f>
        <v>17.75</v>
      </c>
      <c r="GW83" s="9" t="n">
        <v>0</v>
      </c>
      <c r="GX83" s="9" t="n">
        <v>0</v>
      </c>
      <c r="GY83" s="9" t="n">
        <v>0</v>
      </c>
      <c r="GZ83" s="9" t="n">
        <v>1</v>
      </c>
      <c r="HA83" s="11" t="n">
        <f aca="false">(GW83+GX83+GY83+GZ83)/4</f>
        <v>0.25</v>
      </c>
      <c r="HB83" s="9" t="n">
        <f aca="false">(GW83/GR83)</f>
        <v>0</v>
      </c>
      <c r="HC83" s="9" t="n">
        <f aca="false">(GX83/GS83)</f>
        <v>0</v>
      </c>
      <c r="HD83" s="9" t="n">
        <f aca="false">(GY83/GT83)</f>
        <v>0</v>
      </c>
      <c r="HE83" s="9" t="n">
        <f aca="false">(GZ83/GU83)/4</f>
        <v>0.015625</v>
      </c>
      <c r="HF83" s="9" t="n">
        <f aca="false">(HB83+HC83+HD83+HE83)/4</f>
        <v>0.00390625</v>
      </c>
      <c r="HG83" s="9" t="n">
        <f aca="false">(100*HF83)</f>
        <v>0.390625</v>
      </c>
      <c r="HH83" s="18" t="n">
        <v>1</v>
      </c>
      <c r="HI83" s="9" t="n">
        <v>0</v>
      </c>
      <c r="HJ83" s="9" t="n">
        <v>0</v>
      </c>
      <c r="HK83" s="9" t="n">
        <v>2</v>
      </c>
      <c r="HL83" s="19" t="n">
        <v>0</v>
      </c>
      <c r="HM83" s="9" t="n">
        <f aca="false">(HI83+HJ83+HK83+HL83)/4</f>
        <v>0.5</v>
      </c>
      <c r="HN83" s="9" t="n">
        <f aca="false">(HI83/GR83)</f>
        <v>0</v>
      </c>
      <c r="HO83" s="9" t="n">
        <f aca="false">(HJ83/GS83)</f>
        <v>0</v>
      </c>
      <c r="HP83" s="9" t="n">
        <f aca="false">(HK83/GT83)</f>
        <v>0.105263157894737</v>
      </c>
      <c r="HQ83" s="9" t="n">
        <f aca="false">(HL83/GU83)</f>
        <v>0</v>
      </c>
      <c r="HR83" s="9" t="n">
        <f aca="false">(HM83/GV83)</f>
        <v>0.028169014084507</v>
      </c>
      <c r="HS83" s="9" t="n">
        <f aca="false">(100*HR83)</f>
        <v>2.8169014084507</v>
      </c>
      <c r="HT83" s="18" t="n">
        <v>1</v>
      </c>
      <c r="HU83" s="9" t="n">
        <v>1</v>
      </c>
      <c r="HV83" s="9" t="n">
        <v>0</v>
      </c>
      <c r="HW83" s="9" t="n">
        <v>0</v>
      </c>
      <c r="HX83" s="19" t="n">
        <v>0</v>
      </c>
      <c r="HY83" s="9" t="n">
        <f aca="false">(HU83+HV83+HW83+HX83)/4</f>
        <v>0.25</v>
      </c>
      <c r="HZ83" s="9" t="n">
        <f aca="false">(HU83/GR83)</f>
        <v>0.0555555555555556</v>
      </c>
      <c r="IA83" s="9" t="n">
        <f aca="false">HV83/GS83</f>
        <v>0</v>
      </c>
      <c r="IB83" s="9" t="n">
        <f aca="false">(HW83/GT83)</f>
        <v>0</v>
      </c>
      <c r="IC83" s="9" t="n">
        <f aca="false">(HX83/GU83)</f>
        <v>0</v>
      </c>
      <c r="ID83" s="9" t="n">
        <f aca="false">(HY83/GV83)</f>
        <v>0.0140845070422535</v>
      </c>
      <c r="IE83" s="9" t="n">
        <f aca="false">(100*ID83)</f>
        <v>1.40845070422535</v>
      </c>
      <c r="IF83" s="18" t="n">
        <v>1</v>
      </c>
      <c r="IG83" s="9" t="n">
        <v>0</v>
      </c>
      <c r="IH83" s="9" t="n">
        <v>0</v>
      </c>
      <c r="II83" s="19" t="n">
        <v>0</v>
      </c>
      <c r="IJ83" s="9" t="n">
        <v>0</v>
      </c>
      <c r="IK83" s="9" t="n">
        <f aca="false">(IG83+IH83+II83+IJ83)/4</f>
        <v>0</v>
      </c>
      <c r="IL83" s="9" t="n">
        <f aca="false">(IG83/GM83)</f>
        <v>0</v>
      </c>
      <c r="IM83" s="9" t="e">
        <f aca="false">(IH83/GN83)</f>
        <v>#DIV/0!</v>
      </c>
      <c r="IN83" s="9" t="e">
        <f aca="false">(II83/GO83)</f>
        <v>#DIV/0!</v>
      </c>
      <c r="IO83" s="9" t="e">
        <f aca="false">(IJ83/GP83)</f>
        <v>#DIV/0!</v>
      </c>
      <c r="IP83" s="9" t="n">
        <f aca="false">(IK83/GQ83)</f>
        <v>0</v>
      </c>
      <c r="IQ83" s="9" t="n">
        <f aca="false">(100*IP83)</f>
        <v>0</v>
      </c>
      <c r="IR83" s="18" t="n">
        <v>0</v>
      </c>
      <c r="IS83" s="9" t="n">
        <v>63.4</v>
      </c>
      <c r="IT83" s="9" t="n">
        <v>64</v>
      </c>
      <c r="IU83" s="19" t="n">
        <v>71.7</v>
      </c>
      <c r="IV83" s="9" t="n">
        <v>65.3</v>
      </c>
      <c r="IW83" s="9" t="n">
        <f aca="false">(IS83+IT83+IU83+IV83)/4</f>
        <v>66.1</v>
      </c>
      <c r="IX83" s="16" t="n">
        <v>45204</v>
      </c>
      <c r="IY83" s="10" t="s">
        <v>268</v>
      </c>
    </row>
    <row r="84" customFormat="false" ht="15.75" hidden="false" customHeight="true" outlineLevel="0" collapsed="false">
      <c r="A84" s="9" t="s">
        <v>343</v>
      </c>
      <c r="B84" s="10" t="s">
        <v>458</v>
      </c>
      <c r="C84" s="10" t="s">
        <v>400</v>
      </c>
      <c r="D84" s="9" t="n">
        <v>1</v>
      </c>
      <c r="E84" s="9" t="n">
        <v>28</v>
      </c>
      <c r="F84" s="10" t="s">
        <v>463</v>
      </c>
      <c r="G84" s="10" t="s">
        <v>297</v>
      </c>
      <c r="H84" s="9" t="n">
        <v>21</v>
      </c>
      <c r="I84" s="9" t="n">
        <v>11</v>
      </c>
      <c r="J84" s="12" t="s">
        <v>270</v>
      </c>
      <c r="K84" s="20"/>
      <c r="L84" s="20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 t="n">
        <v>0</v>
      </c>
      <c r="Y84" s="9" t="n">
        <v>0</v>
      </c>
      <c r="Z84" s="9" t="n">
        <v>0</v>
      </c>
      <c r="AA84" s="9" t="n">
        <v>0</v>
      </c>
      <c r="AB84" s="11" t="n">
        <f aca="false">(X84+Y84+Z84+AA84)/4</f>
        <v>0</v>
      </c>
      <c r="AC84" s="9" t="n">
        <v>1</v>
      </c>
      <c r="AD84" s="9" t="n">
        <v>1</v>
      </c>
      <c r="AE84" s="9" t="n">
        <v>1</v>
      </c>
      <c r="AF84" s="9" t="n">
        <v>1</v>
      </c>
      <c r="AG84" s="11" t="n">
        <f aca="false">(AC84+AD84+AE84+AF84)/4</f>
        <v>1</v>
      </c>
      <c r="AH84" s="9" t="n">
        <v>0</v>
      </c>
      <c r="AI84" s="9" t="n">
        <v>0</v>
      </c>
      <c r="AJ84" s="9" t="n">
        <v>1</v>
      </c>
      <c r="AK84" s="9" t="n">
        <v>0</v>
      </c>
      <c r="AL84" s="11" t="n">
        <f aca="false">(AH84+AI84+AJ84+AK84)/4</f>
        <v>0.25</v>
      </c>
      <c r="AM84" s="9" t="n">
        <v>1</v>
      </c>
      <c r="AN84" s="9" t="n">
        <v>0</v>
      </c>
      <c r="AO84" s="9" t="n">
        <v>16</v>
      </c>
      <c r="AP84" s="9" t="n">
        <v>0</v>
      </c>
      <c r="AQ84" s="11" t="n">
        <f aca="false">(AM84+AN84+AO84+AP84)/4</f>
        <v>4.25</v>
      </c>
      <c r="AR84" s="9" t="n">
        <v>8</v>
      </c>
      <c r="AS84" s="9" t="n">
        <v>22</v>
      </c>
      <c r="AT84" s="9" t="n">
        <v>48</v>
      </c>
      <c r="AU84" s="9" t="n">
        <v>19</v>
      </c>
      <c r="AV84" s="11" t="n">
        <f aca="false">(AR84+AS84+AT84+AU84)/4</f>
        <v>24.25</v>
      </c>
      <c r="AW84" s="9" t="n">
        <v>0</v>
      </c>
      <c r="AX84" s="9" t="n">
        <v>0</v>
      </c>
      <c r="AY84" s="9" t="n">
        <v>0</v>
      </c>
      <c r="AZ84" s="9" t="n">
        <v>0</v>
      </c>
      <c r="BA84" s="11" t="n">
        <f aca="false">(AW84+AX84+AY84+AZ84)/4</f>
        <v>0</v>
      </c>
      <c r="BB84" s="11" t="n">
        <f aca="false">(AW84/AR84)</f>
        <v>0</v>
      </c>
      <c r="BC84" s="11" t="n">
        <f aca="false">(AX84/AS84)</f>
        <v>0</v>
      </c>
      <c r="BD84" s="11" t="n">
        <f aca="false">(AY84/AT84)</f>
        <v>0</v>
      </c>
      <c r="BE84" s="11" t="n">
        <f aca="false">(AZ84/AU84)</f>
        <v>0</v>
      </c>
      <c r="BF84" s="11" t="n">
        <f aca="false">(BA84/AV84)</f>
        <v>0</v>
      </c>
      <c r="BG84" s="11" t="n">
        <f aca="false">(BF84*100)</f>
        <v>0</v>
      </c>
      <c r="BH84" s="9" t="n">
        <v>0</v>
      </c>
      <c r="BI84" s="9" t="n">
        <v>2</v>
      </c>
      <c r="BJ84" s="9" t="n">
        <v>5</v>
      </c>
      <c r="BK84" s="9" t="n">
        <v>15</v>
      </c>
      <c r="BL84" s="9" t="n">
        <v>7</v>
      </c>
      <c r="BM84" s="11" t="n">
        <f aca="false">(BI84+BJ84+BK84+BL84)/4</f>
        <v>7.25</v>
      </c>
      <c r="BN84" s="11" t="n">
        <f aca="false">(BI84/AR84)</f>
        <v>0.25</v>
      </c>
      <c r="BO84" s="11" t="n">
        <f aca="false">(BJ84/AS84)</f>
        <v>0.227272727272727</v>
      </c>
      <c r="BP84" s="11" t="n">
        <f aca="false">(BK84/AT84)</f>
        <v>0.3125</v>
      </c>
      <c r="BQ84" s="11" t="n">
        <f aca="false">(BL84/AU84)</f>
        <v>0.368421052631579</v>
      </c>
      <c r="BR84" s="11" t="n">
        <f aca="false">(BM84/AV84)</f>
        <v>0.298969072164948</v>
      </c>
      <c r="BS84" s="11" t="n">
        <f aca="false">(100*BR84)</f>
        <v>29.8969072164948</v>
      </c>
      <c r="BT84" s="9" t="n">
        <v>2</v>
      </c>
      <c r="BU84" s="9" t="n">
        <v>0</v>
      </c>
      <c r="BV84" s="9" t="n">
        <v>0</v>
      </c>
      <c r="BW84" s="9" t="n">
        <v>0</v>
      </c>
      <c r="BX84" s="9" t="n">
        <v>0</v>
      </c>
      <c r="BY84" s="11" t="n">
        <f aca="false">(BU84+BV84+BW84+BX84)/4</f>
        <v>0</v>
      </c>
      <c r="BZ84" s="11" t="n">
        <f aca="false">(BU84/AR84)</f>
        <v>0</v>
      </c>
      <c r="CA84" s="11" t="n">
        <f aca="false">(BV84/AS84)</f>
        <v>0</v>
      </c>
      <c r="CB84" s="11" t="n">
        <f aca="false">(BW84/AT84)</f>
        <v>0</v>
      </c>
      <c r="CC84" s="11" t="n">
        <f aca="false">(BX84/AU84)</f>
        <v>0</v>
      </c>
      <c r="CD84" s="11" t="n">
        <f aca="false">(BY84/AV84)</f>
        <v>0</v>
      </c>
      <c r="CE84" s="11" t="n">
        <f aca="false">(100*CD84)</f>
        <v>0</v>
      </c>
      <c r="CF84" s="9" t="n">
        <v>0</v>
      </c>
      <c r="CG84" s="9" t="n">
        <v>0</v>
      </c>
      <c r="CH84" s="9" t="n">
        <v>0</v>
      </c>
      <c r="CI84" s="9" t="n">
        <v>9</v>
      </c>
      <c r="CJ84" s="9" t="n">
        <v>0</v>
      </c>
      <c r="CK84" s="11" t="n">
        <f aca="false">(CG84+CH84+CI84+CJ84)/4</f>
        <v>2.25</v>
      </c>
      <c r="CL84" s="11" t="n">
        <f aca="false">(CG84/AM84)</f>
        <v>0</v>
      </c>
      <c r="CM84" s="11" t="e">
        <f aca="false">(CH84/AN84)</f>
        <v>#DIV/0!</v>
      </c>
      <c r="CN84" s="11" t="n">
        <f aca="false">(CI84/AO84)</f>
        <v>0.5625</v>
      </c>
      <c r="CO84" s="9" t="e">
        <f aca="false">(CJ84/AP84)</f>
        <v>#DIV/0!</v>
      </c>
      <c r="CP84" s="9" t="n">
        <f aca="false">(CK84/AQ84)</f>
        <v>0.529411764705882</v>
      </c>
      <c r="CQ84" s="9" t="n">
        <f aca="false">(100*CP84)</f>
        <v>52.9411764705882</v>
      </c>
      <c r="CR84" s="18" t="n">
        <v>3</v>
      </c>
      <c r="CS84" s="9" t="n">
        <v>64.2</v>
      </c>
      <c r="CT84" s="9" t="n">
        <v>62.5</v>
      </c>
      <c r="CU84" s="9" t="n">
        <v>73.5</v>
      </c>
      <c r="CV84" s="9" t="n">
        <v>59.1</v>
      </c>
      <c r="CW84" s="11" t="n">
        <f aca="false">(CS84+CT84+CU84+CV84)/4</f>
        <v>64.825</v>
      </c>
      <c r="CX84" s="9" t="n">
        <v>0</v>
      </c>
      <c r="CY84" s="9" t="n">
        <v>0</v>
      </c>
      <c r="CZ84" s="9" t="n">
        <v>0</v>
      </c>
      <c r="DA84" s="9" t="n">
        <v>0</v>
      </c>
      <c r="DB84" s="11" t="n">
        <f aca="false">(CX84+CY84+CZ84+DA84)/4</f>
        <v>0</v>
      </c>
      <c r="DC84" s="9" t="n">
        <v>1</v>
      </c>
      <c r="DD84" s="9" t="n">
        <v>1</v>
      </c>
      <c r="DE84" s="9" t="n">
        <v>1</v>
      </c>
      <c r="DF84" s="9" t="n">
        <v>1</v>
      </c>
      <c r="DG84" s="11" t="n">
        <f aca="false">(DC84+DD84+DE84+DF84)/4</f>
        <v>1</v>
      </c>
      <c r="DH84" s="9" t="n">
        <v>0</v>
      </c>
      <c r="DI84" s="9" t="n">
        <v>0</v>
      </c>
      <c r="DJ84" s="9" t="n">
        <v>0</v>
      </c>
      <c r="DK84" s="9" t="n">
        <v>0</v>
      </c>
      <c r="DL84" s="11" t="n">
        <f aca="false">(DH84+DI84+DJ84+DK84)/4</f>
        <v>0</v>
      </c>
      <c r="DM84" s="9" t="n">
        <v>2</v>
      </c>
      <c r="DN84" s="9" t="n">
        <v>0</v>
      </c>
      <c r="DO84" s="9" t="n">
        <v>0</v>
      </c>
      <c r="DP84" s="9" t="n">
        <v>0</v>
      </c>
      <c r="DQ84" s="11" t="n">
        <f aca="false">(DM84+DN84+DO84+DP84)/4</f>
        <v>0.5</v>
      </c>
      <c r="DR84" s="9" t="n">
        <v>16</v>
      </c>
      <c r="DS84" s="9" t="n">
        <v>14</v>
      </c>
      <c r="DT84" s="9" t="n">
        <v>17</v>
      </c>
      <c r="DU84" s="9" t="n">
        <v>9</v>
      </c>
      <c r="DV84" s="11" t="n">
        <f aca="false">(DR84+DS84+DT84+DU84)/4</f>
        <v>14</v>
      </c>
      <c r="DW84" s="9" t="n">
        <v>0</v>
      </c>
      <c r="DX84" s="9" t="n">
        <v>0</v>
      </c>
      <c r="DY84" s="9" t="n">
        <v>0</v>
      </c>
      <c r="DZ84" s="9" t="n">
        <v>0</v>
      </c>
      <c r="EA84" s="11" t="n">
        <f aca="false">(DW84+DX84+DY84+DZ84)/4</f>
        <v>0</v>
      </c>
      <c r="EB84" s="11" t="n">
        <f aca="false">(DW84/DR84)</f>
        <v>0</v>
      </c>
      <c r="EC84" s="11" t="n">
        <f aca="false">(DX84/DS84)</f>
        <v>0</v>
      </c>
      <c r="ED84" s="11" t="n">
        <f aca="false">(DY84/DT84)</f>
        <v>0</v>
      </c>
      <c r="EE84" s="11" t="n">
        <f aca="false">(DZ84/DU84)</f>
        <v>0</v>
      </c>
      <c r="EF84" s="11" t="n">
        <f aca="false">(EA84/DV84)</f>
        <v>0</v>
      </c>
      <c r="EG84" s="11" t="n">
        <f aca="false">(100*EF84)</f>
        <v>0</v>
      </c>
      <c r="EH84" s="9" t="n">
        <v>0</v>
      </c>
      <c r="EI84" s="9" t="n">
        <v>3</v>
      </c>
      <c r="EJ84" s="9" t="n">
        <v>3</v>
      </c>
      <c r="EK84" s="19" t="n">
        <v>2</v>
      </c>
      <c r="EL84" s="9" t="n">
        <v>4</v>
      </c>
      <c r="EM84" s="9" t="n">
        <f aca="false">(EI84+EJ84+EK84+EL84)/4</f>
        <v>3</v>
      </c>
      <c r="EN84" s="9" t="n">
        <f aca="false">(EI84/DR84)</f>
        <v>0.1875</v>
      </c>
      <c r="EO84" s="9" t="n">
        <f aca="false">(EJ84/DS84)</f>
        <v>0.214285714285714</v>
      </c>
      <c r="EP84" s="9" t="n">
        <f aca="false">(EK84/DT84)</f>
        <v>0.117647058823529</v>
      </c>
      <c r="EQ84" s="9" t="n">
        <f aca="false">(EL84/DU84)</f>
        <v>0.444444444444444</v>
      </c>
      <c r="ER84" s="9" t="n">
        <f aca="false">EM84/DV84</f>
        <v>0.214285714285714</v>
      </c>
      <c r="ES84" s="9" t="n">
        <f aca="false">(100*ER84)</f>
        <v>21.4285714285714</v>
      </c>
      <c r="ET84" s="9" t="n">
        <v>2</v>
      </c>
      <c r="EU84" s="18" t="n">
        <v>0</v>
      </c>
      <c r="EV84" s="9" t="n">
        <v>0</v>
      </c>
      <c r="EW84" s="9" t="n">
        <v>0</v>
      </c>
      <c r="EX84" s="9" t="n">
        <v>0</v>
      </c>
      <c r="EY84" s="11" t="n">
        <f aca="false">(EU84+EV84+EW84+EX84)/4</f>
        <v>0</v>
      </c>
      <c r="EZ84" s="11" t="n">
        <f aca="false">(EU84/DR84)</f>
        <v>0</v>
      </c>
      <c r="FA84" s="11" t="n">
        <f aca="false">(EV84/DS84)</f>
        <v>0</v>
      </c>
      <c r="FB84" s="11" t="n">
        <f aca="false">(EW84/DT84)</f>
        <v>0</v>
      </c>
      <c r="FC84" s="11" t="n">
        <f aca="false">(EX84/DU84)</f>
        <v>0</v>
      </c>
      <c r="FD84" s="11" t="n">
        <f aca="false">(EY84/DV84)</f>
        <v>0</v>
      </c>
      <c r="FE84" s="11" t="n">
        <f aca="false">(100*FD84)</f>
        <v>0</v>
      </c>
      <c r="FF84" s="9" t="n">
        <v>0</v>
      </c>
      <c r="FG84" s="9" t="n">
        <v>0</v>
      </c>
      <c r="FH84" s="9" t="n">
        <v>0</v>
      </c>
      <c r="FI84" s="9" t="n">
        <v>0</v>
      </c>
      <c r="FJ84" s="9" t="n">
        <v>0</v>
      </c>
      <c r="FK84" s="11" t="n">
        <f aca="false">(FG84+FH84+FI84+FJ84)/4</f>
        <v>0</v>
      </c>
      <c r="FL84" s="11" t="n">
        <f aca="false">(FG84/DR84)</f>
        <v>0</v>
      </c>
      <c r="FM84" s="11" t="n">
        <f aca="false">(FH84/DS84)</f>
        <v>0</v>
      </c>
      <c r="FN84" s="11" t="n">
        <f aca="false">(FI84/DT84)</f>
        <v>0</v>
      </c>
      <c r="FO84" s="11" t="n">
        <f aca="false">(FJ84/DU84)</f>
        <v>0</v>
      </c>
      <c r="FP84" s="11" t="n">
        <f aca="false">(FK84/DV84)</f>
        <v>0</v>
      </c>
      <c r="FQ84" s="11" t="n">
        <f aca="false">(100*FP84)</f>
        <v>0</v>
      </c>
      <c r="FR84" s="9" t="n">
        <v>0</v>
      </c>
      <c r="FS84" s="9" t="n">
        <v>66.7</v>
      </c>
      <c r="FT84" s="9" t="n">
        <v>70.3</v>
      </c>
      <c r="FU84" s="9" t="n">
        <v>64.6</v>
      </c>
      <c r="FV84" s="9" t="n">
        <v>63.4</v>
      </c>
      <c r="FW84" s="11" t="n">
        <f aca="false">(FS84+FT84+FU84+FV84)/4</f>
        <v>66.25</v>
      </c>
      <c r="FX84" s="9" t="n">
        <v>0</v>
      </c>
      <c r="FY84" s="9" t="n">
        <v>0</v>
      </c>
      <c r="FZ84" s="9" t="n">
        <v>0</v>
      </c>
      <c r="GA84" s="9" t="n">
        <v>0</v>
      </c>
      <c r="GB84" s="11" t="n">
        <f aca="false">(FX84+FY84+FZ84+GA84)/4</f>
        <v>0</v>
      </c>
      <c r="GC84" s="9" t="n">
        <v>1</v>
      </c>
      <c r="GD84" s="9" t="n">
        <v>1</v>
      </c>
      <c r="GE84" s="9" t="n">
        <v>1</v>
      </c>
      <c r="GF84" s="9" t="n">
        <v>1</v>
      </c>
      <c r="GG84" s="11" t="n">
        <f aca="false">(GC84+GD84+GE84+GF84)/4</f>
        <v>1</v>
      </c>
      <c r="GH84" s="9" t="n">
        <v>0</v>
      </c>
      <c r="GI84" s="9" t="n">
        <v>0</v>
      </c>
      <c r="GJ84" s="9" t="n">
        <v>1</v>
      </c>
      <c r="GK84" s="9" t="n">
        <v>1</v>
      </c>
      <c r="GL84" s="11" t="n">
        <f aca="false">(GH84+GI84+GJ84+GK84)/4</f>
        <v>0.5</v>
      </c>
      <c r="GM84" s="9" t="n">
        <v>0</v>
      </c>
      <c r="GN84" s="9" t="n">
        <v>0</v>
      </c>
      <c r="GO84" s="9" t="n">
        <v>15</v>
      </c>
      <c r="GP84" s="9" t="n">
        <v>14</v>
      </c>
      <c r="GQ84" s="11" t="n">
        <f aca="false">(GM84+GN84+GO84+GP84)/4</f>
        <v>7.25</v>
      </c>
      <c r="GR84" s="9" t="n">
        <v>8</v>
      </c>
      <c r="GS84" s="9" t="n">
        <v>14</v>
      </c>
      <c r="GT84" s="9" t="n">
        <v>11</v>
      </c>
      <c r="GU84" s="9" t="n">
        <v>15</v>
      </c>
      <c r="GV84" s="11" t="n">
        <f aca="false">(GR84+GS84+GT84+GU84)/4</f>
        <v>12</v>
      </c>
      <c r="GW84" s="9" t="n">
        <v>0</v>
      </c>
      <c r="GX84" s="9" t="n">
        <v>0</v>
      </c>
      <c r="GY84" s="9" t="n">
        <v>0</v>
      </c>
      <c r="GZ84" s="9" t="n">
        <v>0</v>
      </c>
      <c r="HA84" s="11" t="n">
        <f aca="false">(GW84+GX84+GY84+GZ84)/4</f>
        <v>0</v>
      </c>
      <c r="HB84" s="9" t="n">
        <f aca="false">(GW84/GR84)</f>
        <v>0</v>
      </c>
      <c r="HC84" s="9" t="n">
        <f aca="false">(GX84/GS84)</f>
        <v>0</v>
      </c>
      <c r="HD84" s="9" t="n">
        <f aca="false">(GY84/GT84)</f>
        <v>0</v>
      </c>
      <c r="HE84" s="9" t="n">
        <f aca="false">(GZ84/GU84)/4</f>
        <v>0</v>
      </c>
      <c r="HF84" s="9" t="n">
        <f aca="false">(HB84+HC84+HD84+HE84)/4</f>
        <v>0</v>
      </c>
      <c r="HG84" s="9" t="n">
        <f aca="false">(100*HF84)</f>
        <v>0</v>
      </c>
      <c r="HH84" s="18" t="n">
        <v>0</v>
      </c>
      <c r="HI84" s="9" t="n">
        <v>4</v>
      </c>
      <c r="HJ84" s="9" t="n">
        <v>8</v>
      </c>
      <c r="HK84" s="9" t="n">
        <v>6</v>
      </c>
      <c r="HL84" s="19" t="n">
        <v>5</v>
      </c>
      <c r="HM84" s="9" t="n">
        <f aca="false">(HI84+HJ84+HK84+HL84)/4</f>
        <v>5.75</v>
      </c>
      <c r="HN84" s="9" t="n">
        <f aca="false">(HI84/GR84)</f>
        <v>0.5</v>
      </c>
      <c r="HO84" s="9" t="n">
        <f aca="false">(HJ84/GS84)</f>
        <v>0.571428571428571</v>
      </c>
      <c r="HP84" s="9" t="n">
        <f aca="false">(HK84/GT84)</f>
        <v>0.545454545454545</v>
      </c>
      <c r="HQ84" s="9" t="n">
        <f aca="false">(HL84/GU84)</f>
        <v>0.333333333333333</v>
      </c>
      <c r="HR84" s="9" t="n">
        <f aca="false">(HM84/GV84)</f>
        <v>0.479166666666667</v>
      </c>
      <c r="HS84" s="9" t="n">
        <f aca="false">(100*HR84)</f>
        <v>47.9166666666667</v>
      </c>
      <c r="HT84" s="18" t="n">
        <v>3</v>
      </c>
      <c r="HU84" s="9" t="n">
        <v>0</v>
      </c>
      <c r="HV84" s="9" t="n">
        <v>0</v>
      </c>
      <c r="HW84" s="9" t="n">
        <v>0</v>
      </c>
      <c r="HX84" s="19" t="n">
        <v>0</v>
      </c>
      <c r="HY84" s="9" t="n">
        <f aca="false">(HU84+HV84+HW84+HX84)/4</f>
        <v>0</v>
      </c>
      <c r="HZ84" s="9" t="n">
        <f aca="false">(HU84/GR84)</f>
        <v>0</v>
      </c>
      <c r="IA84" s="9" t="n">
        <f aca="false">HV84/GS84</f>
        <v>0</v>
      </c>
      <c r="IB84" s="9" t="n">
        <f aca="false">(HW84/GT84)</f>
        <v>0</v>
      </c>
      <c r="IC84" s="9" t="n">
        <f aca="false">(HX84/GU84)</f>
        <v>0</v>
      </c>
      <c r="ID84" s="9" t="n">
        <f aca="false">(HY84/GV84)</f>
        <v>0</v>
      </c>
      <c r="IE84" s="9" t="n">
        <f aca="false">(100*ID84)</f>
        <v>0</v>
      </c>
      <c r="IF84" s="18" t="n">
        <v>0</v>
      </c>
      <c r="IG84" s="9" t="n">
        <v>0</v>
      </c>
      <c r="IH84" s="9" t="n">
        <v>0</v>
      </c>
      <c r="II84" s="19" t="n">
        <v>6</v>
      </c>
      <c r="IJ84" s="9" t="n">
        <v>6</v>
      </c>
      <c r="IK84" s="9" t="n">
        <f aca="false">(IG84+IH84+II84+IJ84)/4</f>
        <v>3</v>
      </c>
      <c r="IL84" s="9" t="e">
        <f aca="false">(IG84/GM84)</f>
        <v>#DIV/0!</v>
      </c>
      <c r="IM84" s="9" t="e">
        <f aca="false">(IH84/GN84)</f>
        <v>#DIV/0!</v>
      </c>
      <c r="IN84" s="9" t="n">
        <f aca="false">(II84/GO84)</f>
        <v>0.4</v>
      </c>
      <c r="IO84" s="9" t="n">
        <f aca="false">(IJ84/GP84)</f>
        <v>0.428571428571429</v>
      </c>
      <c r="IP84" s="9" t="n">
        <f aca="false">(IK84/GQ84)</f>
        <v>0.413793103448276</v>
      </c>
      <c r="IQ84" s="9" t="n">
        <f aca="false">(100*IP84)</f>
        <v>41.3793103448276</v>
      </c>
      <c r="IR84" s="18" t="n">
        <v>3</v>
      </c>
      <c r="IS84" s="9" t="n">
        <v>62.5</v>
      </c>
      <c r="IT84" s="9" t="n">
        <v>58.4</v>
      </c>
      <c r="IU84" s="19" t="n">
        <v>71.3</v>
      </c>
      <c r="IV84" s="9" t="n">
        <v>68.9</v>
      </c>
      <c r="IW84" s="9" t="n">
        <f aca="false">(IS84+IT84+IU84+IV84)/4</f>
        <v>65.275</v>
      </c>
      <c r="IX84" s="16" t="n">
        <v>45204</v>
      </c>
      <c r="IY84" s="10" t="s">
        <v>268</v>
      </c>
    </row>
    <row r="85" customFormat="false" ht="15.75" hidden="false" customHeight="true" outlineLevel="0" collapsed="false">
      <c r="A85" s="9" t="s">
        <v>343</v>
      </c>
      <c r="B85" s="10" t="s">
        <v>458</v>
      </c>
      <c r="C85" s="10" t="s">
        <v>400</v>
      </c>
      <c r="D85" s="9" t="n">
        <v>1</v>
      </c>
      <c r="E85" s="9" t="n">
        <v>28</v>
      </c>
      <c r="F85" s="10" t="s">
        <v>464</v>
      </c>
      <c r="G85" s="10" t="s">
        <v>275</v>
      </c>
      <c r="H85" s="9" t="n">
        <v>21</v>
      </c>
      <c r="I85" s="9" t="n">
        <v>20</v>
      </c>
      <c r="J85" s="10" t="s">
        <v>272</v>
      </c>
      <c r="K85" s="20"/>
      <c r="L85" s="20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 t="n">
        <v>0</v>
      </c>
      <c r="Y85" s="9" t="n">
        <v>0</v>
      </c>
      <c r="Z85" s="9" t="n">
        <v>0</v>
      </c>
      <c r="AA85" s="9" t="n">
        <v>0</v>
      </c>
      <c r="AB85" s="11" t="n">
        <f aca="false">(X85+Y85+Z85+AA85)/4</f>
        <v>0</v>
      </c>
      <c r="AC85" s="9" t="n">
        <v>1</v>
      </c>
      <c r="AD85" s="9" t="n">
        <v>1</v>
      </c>
      <c r="AE85" s="9" t="n">
        <v>1</v>
      </c>
      <c r="AF85" s="9" t="n">
        <v>1</v>
      </c>
      <c r="AG85" s="11" t="n">
        <f aca="false">(AC85+AD85+AE85+AF85)/4</f>
        <v>1</v>
      </c>
      <c r="AH85" s="9" t="n">
        <v>1</v>
      </c>
      <c r="AI85" s="9" t="n">
        <v>1</v>
      </c>
      <c r="AJ85" s="9" t="n">
        <v>1</v>
      </c>
      <c r="AK85" s="9" t="n">
        <v>1</v>
      </c>
      <c r="AL85" s="11" t="n">
        <f aca="false">(AH85+AI85+AJ85+AK85)/4</f>
        <v>1</v>
      </c>
      <c r="AM85" s="9" t="n">
        <v>2</v>
      </c>
      <c r="AN85" s="9" t="n">
        <v>14</v>
      </c>
      <c r="AO85" s="9" t="n">
        <v>18</v>
      </c>
      <c r="AP85" s="9" t="n">
        <v>10</v>
      </c>
      <c r="AQ85" s="11" t="n">
        <f aca="false">(AM85+AN85+AO85+AP85)/4</f>
        <v>11</v>
      </c>
      <c r="AR85" s="9" t="n">
        <v>12</v>
      </c>
      <c r="AS85" s="9" t="n">
        <v>10</v>
      </c>
      <c r="AT85" s="9" t="n">
        <v>5</v>
      </c>
      <c r="AU85" s="9" t="n">
        <v>9</v>
      </c>
      <c r="AV85" s="11" t="n">
        <f aca="false">(AR85+AS85+AT85+AU85)/4</f>
        <v>9</v>
      </c>
      <c r="AW85" s="9" t="n">
        <v>0</v>
      </c>
      <c r="AX85" s="9" t="n">
        <v>0</v>
      </c>
      <c r="AY85" s="9" t="n">
        <v>0</v>
      </c>
      <c r="AZ85" s="9" t="n">
        <v>0</v>
      </c>
      <c r="BA85" s="11" t="n">
        <f aca="false">(AW85+AX85+AY85+AZ85)/4</f>
        <v>0</v>
      </c>
      <c r="BB85" s="11" t="n">
        <f aca="false">(AW85/AR85)</f>
        <v>0</v>
      </c>
      <c r="BC85" s="11" t="n">
        <f aca="false">(AX85/AS85)</f>
        <v>0</v>
      </c>
      <c r="BD85" s="11" t="n">
        <f aca="false">(AY85/AT85)</f>
        <v>0</v>
      </c>
      <c r="BE85" s="11" t="n">
        <f aca="false">(AZ85/AU85)</f>
        <v>0</v>
      </c>
      <c r="BF85" s="11" t="n">
        <f aca="false">(BA85/AV85)</f>
        <v>0</v>
      </c>
      <c r="BG85" s="11" t="n">
        <f aca="false">(BF85*100)</f>
        <v>0</v>
      </c>
      <c r="BH85" s="9" t="n">
        <v>0</v>
      </c>
      <c r="BI85" s="9" t="n">
        <v>4</v>
      </c>
      <c r="BJ85" s="9" t="n">
        <v>2</v>
      </c>
      <c r="BK85" s="9" t="n">
        <v>1</v>
      </c>
      <c r="BL85" s="9" t="n">
        <v>2</v>
      </c>
      <c r="BM85" s="11" t="n">
        <f aca="false">(BI85+BJ85+BK85+BL85)/4</f>
        <v>2.25</v>
      </c>
      <c r="BN85" s="11" t="n">
        <f aca="false">(BI85/AR85)</f>
        <v>0.333333333333333</v>
      </c>
      <c r="BO85" s="11" t="n">
        <f aca="false">(BJ85/AS85)</f>
        <v>0.2</v>
      </c>
      <c r="BP85" s="11" t="n">
        <f aca="false">(BK85/AT85)</f>
        <v>0.2</v>
      </c>
      <c r="BQ85" s="11" t="n">
        <f aca="false">(BL85/AU85)</f>
        <v>0.222222222222222</v>
      </c>
      <c r="BR85" s="11" t="n">
        <f aca="false">(BM85/AV85)</f>
        <v>0.25</v>
      </c>
      <c r="BS85" s="11" t="n">
        <f aca="false">(100*BR85)</f>
        <v>25</v>
      </c>
      <c r="BT85" s="9" t="n">
        <v>2</v>
      </c>
      <c r="BU85" s="9" t="n">
        <v>0</v>
      </c>
      <c r="BV85" s="9" t="n">
        <v>0</v>
      </c>
      <c r="BW85" s="9" t="n">
        <v>0</v>
      </c>
      <c r="BX85" s="9" t="n">
        <v>0</v>
      </c>
      <c r="BY85" s="11" t="n">
        <f aca="false">(BU85+BV85+BW85+BX85)/4</f>
        <v>0</v>
      </c>
      <c r="BZ85" s="11" t="n">
        <f aca="false">(BU85/AR85)</f>
        <v>0</v>
      </c>
      <c r="CA85" s="11" t="n">
        <f aca="false">(BV85/AS85)</f>
        <v>0</v>
      </c>
      <c r="CB85" s="11" t="n">
        <f aca="false">(BW85/AT85)</f>
        <v>0</v>
      </c>
      <c r="CC85" s="11" t="n">
        <f aca="false">(BX85/AU85)</f>
        <v>0</v>
      </c>
      <c r="CD85" s="11" t="n">
        <f aca="false">(BY85/AV85)</f>
        <v>0</v>
      </c>
      <c r="CE85" s="11" t="n">
        <f aca="false">(100*CD85)</f>
        <v>0</v>
      </c>
      <c r="CF85" s="9" t="n">
        <v>0</v>
      </c>
      <c r="CG85" s="9" t="n">
        <v>2</v>
      </c>
      <c r="CH85" s="9" t="n">
        <v>10</v>
      </c>
      <c r="CI85" s="9" t="n">
        <v>12</v>
      </c>
      <c r="CJ85" s="9" t="n">
        <v>9</v>
      </c>
      <c r="CK85" s="11" t="n">
        <f aca="false">(CG85+CH85+CI85+CJ85)/4</f>
        <v>8.25</v>
      </c>
      <c r="CL85" s="11" t="n">
        <f aca="false">(CG85/AM85)</f>
        <v>1</v>
      </c>
      <c r="CM85" s="11" t="n">
        <f aca="false">(CH85/AN85)</f>
        <v>0.714285714285714</v>
      </c>
      <c r="CN85" s="11" t="n">
        <f aca="false">(CI85/AO85)</f>
        <v>0.666666666666667</v>
      </c>
      <c r="CO85" s="9" t="n">
        <f aca="false">(CJ85/AP85)</f>
        <v>0.9</v>
      </c>
      <c r="CP85" s="9" t="n">
        <f aca="false">(CK85/AQ85)</f>
        <v>0.75</v>
      </c>
      <c r="CQ85" s="9" t="n">
        <f aca="false">(100*CP85)</f>
        <v>75</v>
      </c>
      <c r="CR85" s="18" t="n">
        <v>3</v>
      </c>
      <c r="CS85" s="9" t="n">
        <v>40.9</v>
      </c>
      <c r="CT85" s="9" t="n">
        <v>48.9</v>
      </c>
      <c r="CU85" s="9" t="n">
        <v>35.8</v>
      </c>
      <c r="CV85" s="9" t="n">
        <v>44.7</v>
      </c>
      <c r="CW85" s="11" t="n">
        <f aca="false">(CS85+CT85+CU85+CV85)/4</f>
        <v>42.575</v>
      </c>
      <c r="CX85" s="9" t="n">
        <v>0</v>
      </c>
      <c r="CY85" s="9" t="n">
        <v>0</v>
      </c>
      <c r="CZ85" s="9" t="n">
        <v>0</v>
      </c>
      <c r="DA85" s="9" t="n">
        <v>0</v>
      </c>
      <c r="DB85" s="11" t="n">
        <f aca="false">(CX85+CY85+CZ85+DA85)/4</f>
        <v>0</v>
      </c>
      <c r="DC85" s="9" t="n">
        <v>1</v>
      </c>
      <c r="DD85" s="9" t="n">
        <v>0</v>
      </c>
      <c r="DE85" s="9" t="n">
        <v>1</v>
      </c>
      <c r="DF85" s="9" t="n">
        <v>1</v>
      </c>
      <c r="DG85" s="11" t="n">
        <f aca="false">(DC85+DD85+DE85+DF85)/4</f>
        <v>0.75</v>
      </c>
      <c r="DH85" s="9" t="n">
        <v>1</v>
      </c>
      <c r="DI85" s="9" t="n">
        <v>1</v>
      </c>
      <c r="DJ85" s="9" t="n">
        <v>1</v>
      </c>
      <c r="DK85" s="9" t="n">
        <v>1</v>
      </c>
      <c r="DL85" s="11" t="n">
        <f aca="false">(DH85+DI85+DJ85+DK85)/4</f>
        <v>1</v>
      </c>
      <c r="DM85" s="9" t="n">
        <v>35</v>
      </c>
      <c r="DN85" s="9" t="n">
        <v>11</v>
      </c>
      <c r="DO85" s="9" t="n">
        <v>17</v>
      </c>
      <c r="DP85" s="9" t="n">
        <v>53</v>
      </c>
      <c r="DQ85" s="11" t="n">
        <f aca="false">(DM85+DN85+DO85+DP85)/4</f>
        <v>29</v>
      </c>
      <c r="DR85" s="9" t="n">
        <v>8</v>
      </c>
      <c r="DS85" s="9" t="n">
        <v>5</v>
      </c>
      <c r="DT85" s="9" t="n">
        <v>7</v>
      </c>
      <c r="DU85" s="9" t="n">
        <v>10</v>
      </c>
      <c r="DV85" s="11" t="n">
        <f aca="false">(DR85+DS85+DT85+DU85)/4</f>
        <v>7.5</v>
      </c>
      <c r="DW85" s="9" t="n">
        <v>0</v>
      </c>
      <c r="DX85" s="9" t="n">
        <v>0</v>
      </c>
      <c r="DY85" s="9" t="n">
        <v>0</v>
      </c>
      <c r="DZ85" s="9" t="n">
        <v>0</v>
      </c>
      <c r="EA85" s="11" t="n">
        <f aca="false">(DW85+DX85+DY85+DZ85)/4</f>
        <v>0</v>
      </c>
      <c r="EB85" s="11" t="n">
        <f aca="false">(DW85/DR85)</f>
        <v>0</v>
      </c>
      <c r="EC85" s="11" t="n">
        <f aca="false">(DX85/DS85)</f>
        <v>0</v>
      </c>
      <c r="ED85" s="11" t="n">
        <f aca="false">(DY85/DT85)</f>
        <v>0</v>
      </c>
      <c r="EE85" s="11" t="n">
        <f aca="false">(DZ85/DU85)</f>
        <v>0</v>
      </c>
      <c r="EF85" s="11" t="n">
        <f aca="false">(EA85/DV85)</f>
        <v>0</v>
      </c>
      <c r="EG85" s="11" t="n">
        <f aca="false">(100*EF85)</f>
        <v>0</v>
      </c>
      <c r="EH85" s="9" t="n">
        <v>0</v>
      </c>
      <c r="EI85" s="9" t="n">
        <v>2</v>
      </c>
      <c r="EJ85" s="9" t="n">
        <v>0</v>
      </c>
      <c r="EK85" s="19" t="n">
        <v>3</v>
      </c>
      <c r="EL85" s="9" t="n">
        <v>4</v>
      </c>
      <c r="EM85" s="9" t="n">
        <f aca="false">(EI85+EJ85+EK85+EL85)/4</f>
        <v>2.25</v>
      </c>
      <c r="EN85" s="9" t="n">
        <f aca="false">(EI85/DR85)</f>
        <v>0.25</v>
      </c>
      <c r="EO85" s="9" t="n">
        <f aca="false">(EJ85/DS85)</f>
        <v>0</v>
      </c>
      <c r="EP85" s="9" t="n">
        <f aca="false">(EK85/DT85)</f>
        <v>0.428571428571429</v>
      </c>
      <c r="EQ85" s="9" t="n">
        <f aca="false">(EL85/DU85)</f>
        <v>0.4</v>
      </c>
      <c r="ER85" s="9" t="n">
        <f aca="false">EM85/DV85</f>
        <v>0.3</v>
      </c>
      <c r="ES85" s="9" t="n">
        <f aca="false">(100*ER85)</f>
        <v>30</v>
      </c>
      <c r="ET85" s="9" t="n">
        <v>3</v>
      </c>
      <c r="EU85" s="18" t="n">
        <v>0</v>
      </c>
      <c r="EV85" s="9" t="n">
        <v>0</v>
      </c>
      <c r="EW85" s="9" t="n">
        <v>0</v>
      </c>
      <c r="EX85" s="9" t="n">
        <v>0</v>
      </c>
      <c r="EY85" s="11" t="n">
        <f aca="false">(EU85+EV85+EW85+EX85)/4</f>
        <v>0</v>
      </c>
      <c r="EZ85" s="11" t="n">
        <f aca="false">(EU85/DR85)</f>
        <v>0</v>
      </c>
      <c r="FA85" s="11" t="n">
        <f aca="false">(EV85/DS85)</f>
        <v>0</v>
      </c>
      <c r="FB85" s="11" t="n">
        <f aca="false">(EW85/DT85)</f>
        <v>0</v>
      </c>
      <c r="FC85" s="11" t="n">
        <f aca="false">(EX85/DU85)</f>
        <v>0</v>
      </c>
      <c r="FD85" s="11" t="n">
        <f aca="false">(EY85/DV85)</f>
        <v>0</v>
      </c>
      <c r="FE85" s="11" t="n">
        <f aca="false">(100*FD85)</f>
        <v>0</v>
      </c>
      <c r="FF85" s="9" t="n">
        <v>0</v>
      </c>
      <c r="FG85" s="9" t="n">
        <v>13</v>
      </c>
      <c r="FH85" s="9" t="n">
        <v>6</v>
      </c>
      <c r="FI85" s="9" t="n">
        <v>14</v>
      </c>
      <c r="FJ85" s="9" t="n">
        <v>38</v>
      </c>
      <c r="FK85" s="11" t="n">
        <f aca="false">(FG85+FH85+FI85+FJ85)/4</f>
        <v>17.75</v>
      </c>
      <c r="FL85" s="11" t="n">
        <f aca="false">(FG85/DR85)</f>
        <v>1.625</v>
      </c>
      <c r="FM85" s="11" t="n">
        <f aca="false">(FH85/DS85)</f>
        <v>1.2</v>
      </c>
      <c r="FN85" s="11" t="n">
        <f aca="false">(FI85/DT85)</f>
        <v>2</v>
      </c>
      <c r="FO85" s="11" t="n">
        <f aca="false">(FJ85/DU85)</f>
        <v>3.8</v>
      </c>
      <c r="FP85" s="11" t="n">
        <f aca="false">(FK85/DV85)</f>
        <v>2.36666666666667</v>
      </c>
      <c r="FQ85" s="11" t="n">
        <f aca="false">(100*FP85)</f>
        <v>236.666666666667</v>
      </c>
      <c r="FR85" s="9" t="n">
        <v>3</v>
      </c>
      <c r="FS85" s="9" t="n">
        <v>48.1</v>
      </c>
      <c r="FT85" s="9" t="n">
        <v>36.9</v>
      </c>
      <c r="FU85" s="9" t="n">
        <v>52.4</v>
      </c>
      <c r="FV85" s="9" t="n">
        <v>55.8</v>
      </c>
      <c r="FW85" s="11" t="n">
        <f aca="false">(FS85+FT85+FU85+FV85)/4</f>
        <v>48.3</v>
      </c>
      <c r="FX85" s="9" t="n">
        <v>0</v>
      </c>
      <c r="FY85" s="9" t="n">
        <v>0</v>
      </c>
      <c r="FZ85" s="9" t="n">
        <v>0</v>
      </c>
      <c r="GA85" s="9" t="n">
        <v>0</v>
      </c>
      <c r="GB85" s="11" t="n">
        <f aca="false">(FX85+FY85+FZ85+GA85)/4</f>
        <v>0</v>
      </c>
      <c r="GC85" s="9" t="n">
        <v>1</v>
      </c>
      <c r="GD85" s="9" t="n">
        <v>1</v>
      </c>
      <c r="GE85" s="9" t="n">
        <v>1</v>
      </c>
      <c r="GF85" s="9" t="n">
        <v>1</v>
      </c>
      <c r="GG85" s="11" t="n">
        <f aca="false">(GC85+GD85+GE85+GF85)/4</f>
        <v>1</v>
      </c>
      <c r="GH85" s="9" t="n">
        <v>1</v>
      </c>
      <c r="GI85" s="9" t="n">
        <v>1</v>
      </c>
      <c r="GJ85" s="9" t="n">
        <v>1</v>
      </c>
      <c r="GK85" s="9" t="n">
        <v>1</v>
      </c>
      <c r="GL85" s="11" t="n">
        <f aca="false">(GH85+GI85+GJ85+GK85)/4</f>
        <v>1</v>
      </c>
      <c r="GM85" s="9" t="n">
        <v>59</v>
      </c>
      <c r="GN85" s="9" t="n">
        <v>104</v>
      </c>
      <c r="GO85" s="9" t="n">
        <v>101</v>
      </c>
      <c r="GP85" s="9" t="n">
        <v>33</v>
      </c>
      <c r="GQ85" s="11" t="n">
        <f aca="false">(GM85+GN85+GO85+GP85)/4</f>
        <v>74.25</v>
      </c>
      <c r="GR85" s="9" t="n">
        <v>11</v>
      </c>
      <c r="GS85" s="9" t="n">
        <v>10</v>
      </c>
      <c r="GT85" s="9" t="n">
        <v>11</v>
      </c>
      <c r="GU85" s="9" t="n">
        <v>12</v>
      </c>
      <c r="GV85" s="11" t="n">
        <f aca="false">(GR85+GS85+GT85+GU85)/4</f>
        <v>11</v>
      </c>
      <c r="GW85" s="9" t="n">
        <v>0</v>
      </c>
      <c r="GX85" s="9" t="n">
        <v>0</v>
      </c>
      <c r="GY85" s="9" t="n">
        <v>0</v>
      </c>
      <c r="GZ85" s="9" t="n">
        <v>0</v>
      </c>
      <c r="HA85" s="11" t="n">
        <f aca="false">(GW85+GX85+GY85+GZ85)/4</f>
        <v>0</v>
      </c>
      <c r="HB85" s="9" t="n">
        <f aca="false">(GW85/GR85)</f>
        <v>0</v>
      </c>
      <c r="HC85" s="9" t="n">
        <f aca="false">(GX85/GS85)</f>
        <v>0</v>
      </c>
      <c r="HD85" s="9" t="n">
        <f aca="false">(GY85/GT85)</f>
        <v>0</v>
      </c>
      <c r="HE85" s="9" t="n">
        <f aca="false">(GZ85/GU85)/4</f>
        <v>0</v>
      </c>
      <c r="HF85" s="9" t="n">
        <f aca="false">(HB85+HC85+HD85+HE85)/4</f>
        <v>0</v>
      </c>
      <c r="HG85" s="9" t="n">
        <f aca="false">(100*HF85)</f>
        <v>0</v>
      </c>
      <c r="HH85" s="18" t="n">
        <v>0</v>
      </c>
      <c r="HI85" s="9" t="n">
        <v>1</v>
      </c>
      <c r="HJ85" s="9" t="n">
        <v>2</v>
      </c>
      <c r="HK85" s="9" t="n">
        <v>2</v>
      </c>
      <c r="HL85" s="19" t="n">
        <v>3</v>
      </c>
      <c r="HM85" s="9" t="n">
        <f aca="false">(HI85+HJ85+HK85+HL85)/4</f>
        <v>2</v>
      </c>
      <c r="HN85" s="9" t="n">
        <f aca="false">(HI85/GR85)</f>
        <v>0.0909090909090909</v>
      </c>
      <c r="HO85" s="9" t="n">
        <f aca="false">(HJ85/GS85)</f>
        <v>0.2</v>
      </c>
      <c r="HP85" s="9" t="n">
        <f aca="false">(HK85/GT85)</f>
        <v>0.181818181818182</v>
      </c>
      <c r="HQ85" s="9" t="n">
        <f aca="false">(HL85/GU85)</f>
        <v>0.25</v>
      </c>
      <c r="HR85" s="9" t="n">
        <f aca="false">(HM85/GV85)</f>
        <v>0.181818181818182</v>
      </c>
      <c r="HS85" s="9" t="n">
        <f aca="false">(100*HR85)</f>
        <v>18.1818181818182</v>
      </c>
      <c r="HT85" s="11" t="n">
        <v>2</v>
      </c>
      <c r="HU85" s="11" t="n">
        <v>0</v>
      </c>
      <c r="HV85" s="11" t="n">
        <v>0</v>
      </c>
      <c r="HW85" s="11" t="n">
        <v>0</v>
      </c>
      <c r="HX85" s="11" t="n">
        <v>0</v>
      </c>
      <c r="HY85" s="9" t="n">
        <f aca="false">(HU85+HV85+HW85+HX85)/4</f>
        <v>0</v>
      </c>
      <c r="HZ85" s="9" t="n">
        <f aca="false">(HU85/GR85)</f>
        <v>0</v>
      </c>
      <c r="IA85" s="9" t="n">
        <f aca="false">HV85/GS85</f>
        <v>0</v>
      </c>
      <c r="IB85" s="9" t="n">
        <f aca="false">(HW85/GT85)</f>
        <v>0</v>
      </c>
      <c r="IC85" s="9" t="n">
        <f aca="false">(HX85/GU85)</f>
        <v>0</v>
      </c>
      <c r="ID85" s="9" t="n">
        <f aca="false">(HY85/GV85)</f>
        <v>0</v>
      </c>
      <c r="IE85" s="9" t="n">
        <f aca="false">(100*ID85)</f>
        <v>0</v>
      </c>
      <c r="IF85" s="18" t="n">
        <v>0</v>
      </c>
      <c r="IG85" s="9" t="n">
        <v>48</v>
      </c>
      <c r="IH85" s="9" t="n">
        <v>73</v>
      </c>
      <c r="II85" s="19" t="n">
        <v>35</v>
      </c>
      <c r="IJ85" s="9" t="n">
        <v>13</v>
      </c>
      <c r="IK85" s="9" t="n">
        <f aca="false">(IG85+IH85+II85+IJ85)/4</f>
        <v>42.25</v>
      </c>
      <c r="IL85" s="9" t="n">
        <f aca="false">(IG85/GM85)</f>
        <v>0.813559322033898</v>
      </c>
      <c r="IM85" s="9" t="n">
        <f aca="false">(IH85/GN85)</f>
        <v>0.701923076923077</v>
      </c>
      <c r="IN85" s="9" t="n">
        <f aca="false">(II85/GO85)</f>
        <v>0.346534653465347</v>
      </c>
      <c r="IO85" s="9" t="n">
        <f aca="false">(IJ85/GP85)</f>
        <v>0.393939393939394</v>
      </c>
      <c r="IP85" s="9" t="n">
        <f aca="false">(IK85/GQ85)</f>
        <v>0.569023569023569</v>
      </c>
      <c r="IQ85" s="9" t="n">
        <f aca="false">(100*IP85)</f>
        <v>56.9023569023569</v>
      </c>
      <c r="IR85" s="18" t="n">
        <v>3</v>
      </c>
      <c r="IS85" s="9" t="n">
        <v>65.5</v>
      </c>
      <c r="IT85" s="9" t="n">
        <v>56.3</v>
      </c>
      <c r="IU85" s="19" t="n">
        <v>59.1</v>
      </c>
      <c r="IV85" s="9" t="n">
        <v>57.9</v>
      </c>
      <c r="IW85" s="9" t="n">
        <f aca="false">(IS85+IT85+IU85+IV85)/4</f>
        <v>59.7</v>
      </c>
      <c r="IX85" s="16" t="n">
        <v>45204</v>
      </c>
      <c r="IY85" s="10" t="s">
        <v>268</v>
      </c>
    </row>
    <row r="86" customFormat="false" ht="15.75" hidden="false" customHeight="true" outlineLevel="0" collapsed="false">
      <c r="A86" s="9" t="s">
        <v>343</v>
      </c>
      <c r="B86" s="10" t="s">
        <v>465</v>
      </c>
      <c r="C86" s="10" t="s">
        <v>400</v>
      </c>
      <c r="D86" s="9" t="n">
        <v>2</v>
      </c>
      <c r="E86" s="9" t="n">
        <v>29</v>
      </c>
      <c r="F86" s="10" t="s">
        <v>466</v>
      </c>
      <c r="G86" s="10" t="s">
        <v>275</v>
      </c>
      <c r="H86" s="9" t="n">
        <v>21</v>
      </c>
      <c r="I86" s="9" t="n">
        <v>0</v>
      </c>
      <c r="J86" s="12" t="s">
        <v>264</v>
      </c>
      <c r="K86" s="13" t="s">
        <v>467</v>
      </c>
      <c r="L86" s="13" t="s">
        <v>468</v>
      </c>
      <c r="M86" s="14" t="n">
        <v>1313</v>
      </c>
      <c r="N86" s="15" t="n">
        <v>45133</v>
      </c>
      <c r="O86" s="10" t="s">
        <v>267</v>
      </c>
      <c r="P86" s="9"/>
      <c r="Q86" s="9" t="n">
        <v>33.03</v>
      </c>
      <c r="R86" s="9" t="n">
        <v>10</v>
      </c>
      <c r="S86" s="9" t="n">
        <v>-15</v>
      </c>
      <c r="T86" s="9" t="n">
        <v>20</v>
      </c>
      <c r="U86" s="9"/>
      <c r="V86" s="9" t="n">
        <f aca="false">(19.5/100)</f>
        <v>0.195</v>
      </c>
      <c r="W86" s="22" t="s">
        <v>469</v>
      </c>
      <c r="X86" s="9" t="n">
        <v>0</v>
      </c>
      <c r="Y86" s="9" t="n">
        <v>0</v>
      </c>
      <c r="Z86" s="9" t="n">
        <v>0</v>
      </c>
      <c r="AA86" s="9" t="n">
        <v>0</v>
      </c>
      <c r="AB86" s="11" t="n">
        <f aca="false">(X86+Y86+Z86+AA86)/4</f>
        <v>0</v>
      </c>
      <c r="AC86" s="9" t="n">
        <v>0</v>
      </c>
      <c r="AD86" s="9" t="n">
        <v>0</v>
      </c>
      <c r="AE86" s="9" t="n">
        <v>0</v>
      </c>
      <c r="AF86" s="9" t="n">
        <v>0</v>
      </c>
      <c r="AG86" s="11" t="n">
        <f aca="false">(AC86+AD86+AE86+AF86)/4</f>
        <v>0</v>
      </c>
      <c r="AH86" s="9" t="n">
        <v>1</v>
      </c>
      <c r="AI86" s="9" t="n">
        <v>1</v>
      </c>
      <c r="AJ86" s="9" t="n">
        <v>0</v>
      </c>
      <c r="AK86" s="9" t="n">
        <v>1</v>
      </c>
      <c r="AL86" s="11" t="n">
        <f aca="false">(AH86+AI86+AJ86+AK86)/4</f>
        <v>0.75</v>
      </c>
      <c r="AM86" s="9" t="n">
        <v>50</v>
      </c>
      <c r="AN86" s="9" t="n">
        <v>0</v>
      </c>
      <c r="AO86" s="9" t="n">
        <v>0</v>
      </c>
      <c r="AP86" s="2" t="n">
        <v>0</v>
      </c>
      <c r="AQ86" s="11" t="n">
        <f aca="false">(AM86+AN86+AO86+AP86)/4</f>
        <v>12.5</v>
      </c>
      <c r="AR86" s="11" t="n">
        <v>0</v>
      </c>
      <c r="AS86" s="11" t="n">
        <v>51</v>
      </c>
      <c r="AT86" s="11" t="n">
        <v>7</v>
      </c>
      <c r="AU86" s="11" t="n">
        <v>17</v>
      </c>
      <c r="AV86" s="11" t="n">
        <f aca="false">(AR86+AS86+AT86+AU86)/4</f>
        <v>18.75</v>
      </c>
      <c r="AW86" s="9" t="n">
        <v>0</v>
      </c>
      <c r="AX86" s="9" t="n">
        <v>0</v>
      </c>
      <c r="AY86" s="9" t="n">
        <v>0</v>
      </c>
      <c r="AZ86" s="9" t="n">
        <v>0</v>
      </c>
      <c r="BA86" s="11" t="n">
        <f aca="false">(AW86+AX86+AY86+AZ86)/4</f>
        <v>0</v>
      </c>
      <c r="BB86" s="11" t="e">
        <f aca="false">(AW86/AR86)</f>
        <v>#DIV/0!</v>
      </c>
      <c r="BC86" s="11" t="n">
        <f aca="false">(AX86/AS86)</f>
        <v>0</v>
      </c>
      <c r="BD86" s="11" t="n">
        <f aca="false">(AY86/AT86)</f>
        <v>0</v>
      </c>
      <c r="BE86" s="11" t="n">
        <f aca="false">(AZ86/AU86)</f>
        <v>0</v>
      </c>
      <c r="BF86" s="11" t="n">
        <f aca="false">(BA86/AV86)</f>
        <v>0</v>
      </c>
      <c r="BG86" s="11" t="n">
        <f aca="false">(BF86*100)</f>
        <v>0</v>
      </c>
      <c r="BH86" s="9" t="n">
        <v>0</v>
      </c>
      <c r="BI86" s="9" t="n">
        <v>0</v>
      </c>
      <c r="BJ86" s="9" t="n">
        <v>0</v>
      </c>
      <c r="BK86" s="9" t="n">
        <v>0</v>
      </c>
      <c r="BL86" s="9" t="n">
        <v>0</v>
      </c>
      <c r="BM86" s="11" t="n">
        <f aca="false">(BI86+BJ86+BK86+BL86)/4</f>
        <v>0</v>
      </c>
      <c r="BN86" s="11" t="e">
        <f aca="false">(BI86/AR86)</f>
        <v>#DIV/0!</v>
      </c>
      <c r="BO86" s="11" t="n">
        <f aca="false">(BJ86/AS86)</f>
        <v>0</v>
      </c>
      <c r="BP86" s="11" t="n">
        <f aca="false">(BK86/AT86)</f>
        <v>0</v>
      </c>
      <c r="BQ86" s="11" t="n">
        <f aca="false">(BL86/AU86)</f>
        <v>0</v>
      </c>
      <c r="BR86" s="11" t="n">
        <f aca="false">(BM86/AV86)</f>
        <v>0</v>
      </c>
      <c r="BS86" s="11" t="n">
        <f aca="false">(100*BR86)</f>
        <v>0</v>
      </c>
      <c r="BT86" s="9" t="n">
        <v>0</v>
      </c>
      <c r="BU86" s="9" t="n">
        <v>0</v>
      </c>
      <c r="BV86" s="9" t="n">
        <v>3</v>
      </c>
      <c r="BW86" s="9" t="n">
        <v>0</v>
      </c>
      <c r="BX86" s="9" t="n">
        <v>3</v>
      </c>
      <c r="BY86" s="11" t="n">
        <f aca="false">(BU86+BV86+BW86+BX86)/4</f>
        <v>1.5</v>
      </c>
      <c r="BZ86" s="11" t="e">
        <f aca="false">(BU86/AR86)</f>
        <v>#DIV/0!</v>
      </c>
      <c r="CA86" s="11" t="n">
        <f aca="false">(BV86/AS86)</f>
        <v>0.0588235294117647</v>
      </c>
      <c r="CB86" s="11" t="n">
        <f aca="false">(BW86/AT86)</f>
        <v>0</v>
      </c>
      <c r="CC86" s="11" t="n">
        <f aca="false">(BX86/AU86)</f>
        <v>0.176470588235294</v>
      </c>
      <c r="CD86" s="11" t="n">
        <f aca="false">(BY86/AV86)</f>
        <v>0.08</v>
      </c>
      <c r="CE86" s="11" t="n">
        <f aca="false">(100*CD86)</f>
        <v>8</v>
      </c>
      <c r="CF86" s="9" t="n">
        <v>1</v>
      </c>
      <c r="CG86" s="9" t="n">
        <v>36</v>
      </c>
      <c r="CH86" s="9" t="n">
        <v>0</v>
      </c>
      <c r="CI86" s="9" t="n">
        <v>0</v>
      </c>
      <c r="CJ86" s="9" t="n">
        <v>0</v>
      </c>
      <c r="CK86" s="11" t="n">
        <f aca="false">(CG86+CH86+CI86+CJ86)/4</f>
        <v>9</v>
      </c>
      <c r="CL86" s="11" t="n">
        <f aca="false">(CG86/AM86)</f>
        <v>0.72</v>
      </c>
      <c r="CM86" s="11" t="e">
        <f aca="false">(CH86/AN86)</f>
        <v>#DIV/0!</v>
      </c>
      <c r="CN86" s="11" t="e">
        <f aca="false">(CI86/AO86)</f>
        <v>#DIV/0!</v>
      </c>
      <c r="CO86" s="9" t="e">
        <f aca="false">(CJ86/AP86)</f>
        <v>#DIV/0!</v>
      </c>
      <c r="CP86" s="9" t="n">
        <f aca="false">(CK86/AQ86)</f>
        <v>0.72</v>
      </c>
      <c r="CQ86" s="9" t="n">
        <f aca="false">(100*CP86)</f>
        <v>72</v>
      </c>
      <c r="CR86" s="18" t="n">
        <v>3</v>
      </c>
      <c r="CS86" s="9" t="n">
        <v>55.1</v>
      </c>
      <c r="CT86" s="9" t="n">
        <v>42.3</v>
      </c>
      <c r="CU86" s="9" t="n">
        <v>53.6</v>
      </c>
      <c r="CV86" s="9" t="n">
        <v>45.2</v>
      </c>
      <c r="CW86" s="11" t="n">
        <f aca="false">(CS86+CT86+CU86+CV86)/4</f>
        <v>49.05</v>
      </c>
      <c r="CX86" s="9" t="n">
        <v>0</v>
      </c>
      <c r="CY86" s="9" t="n">
        <v>0</v>
      </c>
      <c r="CZ86" s="9" t="n">
        <v>0</v>
      </c>
      <c r="DA86" s="9" t="n">
        <v>0</v>
      </c>
      <c r="DB86" s="11" t="n">
        <f aca="false">(CX86+CY86+CZ86+DA86)/4</f>
        <v>0</v>
      </c>
      <c r="DC86" s="9" t="n">
        <v>0</v>
      </c>
      <c r="DD86" s="9" t="n">
        <v>0</v>
      </c>
      <c r="DE86" s="9" t="n">
        <v>0</v>
      </c>
      <c r="DF86" s="9" t="n">
        <v>0</v>
      </c>
      <c r="DG86" s="11" t="n">
        <f aca="false">(DC86+DD86+DE86+DF86)/4</f>
        <v>0</v>
      </c>
      <c r="DH86" s="9" t="n">
        <v>1</v>
      </c>
      <c r="DI86" s="9" t="n">
        <v>1</v>
      </c>
      <c r="DJ86" s="9" t="n">
        <v>1</v>
      </c>
      <c r="DK86" s="9" t="n">
        <v>1</v>
      </c>
      <c r="DL86" s="11" t="n">
        <f aca="false">(DH86+DI86+DJ86+DK86)/4</f>
        <v>1</v>
      </c>
      <c r="DM86" s="9" t="n">
        <v>7</v>
      </c>
      <c r="DN86" s="9" t="n">
        <v>19</v>
      </c>
      <c r="DO86" s="9" t="n">
        <v>18</v>
      </c>
      <c r="DP86" s="9" t="n">
        <v>23</v>
      </c>
      <c r="DQ86" s="11" t="n">
        <f aca="false">(DM86+DN86+DO86+DP86)/4</f>
        <v>16.75</v>
      </c>
      <c r="DR86" s="9" t="n">
        <v>4</v>
      </c>
      <c r="DS86" s="9" t="n">
        <v>6</v>
      </c>
      <c r="DT86" s="9" t="n">
        <v>8</v>
      </c>
      <c r="DU86" s="9" t="n">
        <v>4</v>
      </c>
      <c r="DV86" s="11" t="n">
        <f aca="false">(DR86+DS86+DT86+DU86)/4</f>
        <v>5.5</v>
      </c>
      <c r="DW86" s="9" t="n">
        <v>0</v>
      </c>
      <c r="DX86" s="9" t="n">
        <v>0</v>
      </c>
      <c r="DY86" s="9" t="n">
        <v>0</v>
      </c>
      <c r="DZ86" s="9" t="n">
        <v>0</v>
      </c>
      <c r="EA86" s="11" t="n">
        <f aca="false">(DW86+DX86+DY86+DZ86)/4</f>
        <v>0</v>
      </c>
      <c r="EB86" s="11" t="n">
        <f aca="false">(DW86/DR86)</f>
        <v>0</v>
      </c>
      <c r="EC86" s="11" t="n">
        <f aca="false">(DX86/DS86)</f>
        <v>0</v>
      </c>
      <c r="ED86" s="11" t="n">
        <f aca="false">(DY86/DT86)</f>
        <v>0</v>
      </c>
      <c r="EE86" s="11" t="n">
        <f aca="false">(DZ86/DU86)</f>
        <v>0</v>
      </c>
      <c r="EF86" s="11" t="n">
        <f aca="false">(EA86/DV86)</f>
        <v>0</v>
      </c>
      <c r="EG86" s="11" t="n">
        <f aca="false">(100*EF86)</f>
        <v>0</v>
      </c>
      <c r="EH86" s="9" t="n">
        <v>0</v>
      </c>
      <c r="EI86" s="9" t="n">
        <v>0</v>
      </c>
      <c r="EJ86" s="9" t="n">
        <v>0</v>
      </c>
      <c r="EK86" s="19" t="n">
        <v>0</v>
      </c>
      <c r="EL86" s="9" t="n">
        <v>0</v>
      </c>
      <c r="EM86" s="9" t="n">
        <f aca="false">(EI86+EJ86+EK86+EL86)/4</f>
        <v>0</v>
      </c>
      <c r="EN86" s="9" t="n">
        <f aca="false">(EI86/DR86)</f>
        <v>0</v>
      </c>
      <c r="EO86" s="9" t="n">
        <f aca="false">(EJ86/DS86)</f>
        <v>0</v>
      </c>
      <c r="EP86" s="9" t="n">
        <f aca="false">(EK86/DT86)</f>
        <v>0</v>
      </c>
      <c r="EQ86" s="9" t="n">
        <f aca="false">(EL86/DU86)</f>
        <v>0</v>
      </c>
      <c r="ER86" s="9" t="n">
        <f aca="false">EM86/DV86</f>
        <v>0</v>
      </c>
      <c r="ES86" s="9" t="n">
        <f aca="false">(100*ER86)</f>
        <v>0</v>
      </c>
      <c r="ET86" s="9" t="n">
        <v>0</v>
      </c>
      <c r="EU86" s="18" t="n">
        <v>2</v>
      </c>
      <c r="EV86" s="9" t="n">
        <v>0</v>
      </c>
      <c r="EW86" s="9" t="n">
        <v>2</v>
      </c>
      <c r="EX86" s="9" t="n">
        <v>2</v>
      </c>
      <c r="EY86" s="11" t="n">
        <f aca="false">(EU86+EV86+EW86+EX86)/4</f>
        <v>1.5</v>
      </c>
      <c r="EZ86" s="11" t="n">
        <f aca="false">(EU86/DR86)</f>
        <v>0.5</v>
      </c>
      <c r="FA86" s="11" t="n">
        <f aca="false">(EV86/DS86)</f>
        <v>0</v>
      </c>
      <c r="FB86" s="11" t="n">
        <f aca="false">(EW86/DT86)</f>
        <v>0.25</v>
      </c>
      <c r="FC86" s="11" t="n">
        <f aca="false">(EX86/DU86)</f>
        <v>0.5</v>
      </c>
      <c r="FD86" s="11" t="n">
        <f aca="false">(EY86/DV86)</f>
        <v>0.272727272727273</v>
      </c>
      <c r="FE86" s="11" t="n">
        <f aca="false">(100*FD86)</f>
        <v>27.2727272727273</v>
      </c>
      <c r="FF86" s="9" t="n">
        <v>2</v>
      </c>
      <c r="FG86" s="9" t="n">
        <v>6</v>
      </c>
      <c r="FH86" s="9" t="n">
        <v>3</v>
      </c>
      <c r="FI86" s="9" t="n">
        <v>14</v>
      </c>
      <c r="FJ86" s="9" t="n">
        <v>15</v>
      </c>
      <c r="FK86" s="11" t="n">
        <f aca="false">(FG86+FH86+FI86+FJ86)/4</f>
        <v>9.5</v>
      </c>
      <c r="FL86" s="11" t="n">
        <f aca="false">(FG86/DR86)</f>
        <v>1.5</v>
      </c>
      <c r="FM86" s="11" t="n">
        <f aca="false">(FH86/DS86)</f>
        <v>0.5</v>
      </c>
      <c r="FN86" s="11" t="n">
        <f aca="false">(FI86/DT86)</f>
        <v>1.75</v>
      </c>
      <c r="FO86" s="11" t="n">
        <f aca="false">(FJ86/DU86)</f>
        <v>3.75</v>
      </c>
      <c r="FP86" s="11" t="n">
        <f aca="false">(FK86/DV86)</f>
        <v>1.72727272727273</v>
      </c>
      <c r="FQ86" s="11" t="n">
        <f aca="false">(100*FP86)</f>
        <v>172.727272727273</v>
      </c>
      <c r="FR86" s="9" t="n">
        <v>3</v>
      </c>
      <c r="FS86" s="9" t="n">
        <v>44.9</v>
      </c>
      <c r="FT86" s="9" t="n">
        <v>47.9</v>
      </c>
      <c r="FU86" s="9" t="n">
        <v>49.5</v>
      </c>
      <c r="FV86" s="9" t="n">
        <v>46.6</v>
      </c>
      <c r="FW86" s="11" t="n">
        <f aca="false">(FS86+FT86+FU86+FV86)/4</f>
        <v>47.225</v>
      </c>
      <c r="FX86" s="9" t="n">
        <v>0</v>
      </c>
      <c r="FY86" s="9" t="n">
        <v>0</v>
      </c>
      <c r="FZ86" s="9" t="n">
        <v>0</v>
      </c>
      <c r="GA86" s="9" t="n">
        <v>0</v>
      </c>
      <c r="GB86" s="11" t="n">
        <f aca="false">(FX86+FY86+FZ86+GA86)/4</f>
        <v>0</v>
      </c>
      <c r="GC86" s="9" t="n">
        <v>1</v>
      </c>
      <c r="GD86" s="9" t="n">
        <v>0</v>
      </c>
      <c r="GE86" s="9" t="n">
        <v>1</v>
      </c>
      <c r="GF86" s="9" t="n">
        <v>0</v>
      </c>
      <c r="GG86" s="11" t="n">
        <f aca="false">(GC86+GD86+GE86+GF86)/4</f>
        <v>0.5</v>
      </c>
      <c r="GH86" s="9" t="n">
        <v>0</v>
      </c>
      <c r="GI86" s="9" t="n">
        <v>1</v>
      </c>
      <c r="GJ86" s="9" t="n">
        <v>1</v>
      </c>
      <c r="GK86" s="9" t="n">
        <v>0</v>
      </c>
      <c r="GL86" s="11" t="n">
        <f aca="false">(GH86+GI86+GJ86+GK86)/4</f>
        <v>0.5</v>
      </c>
      <c r="GM86" s="9" t="n">
        <v>3</v>
      </c>
      <c r="GN86" s="9" t="n">
        <v>120</v>
      </c>
      <c r="GO86" s="9" t="n">
        <v>40</v>
      </c>
      <c r="GP86" s="9" t="n">
        <v>16</v>
      </c>
      <c r="GQ86" s="11" t="n">
        <f aca="false">(GM86+GN86+GO86+GP86)/4</f>
        <v>44.75</v>
      </c>
      <c r="GR86" s="9" t="n">
        <v>16</v>
      </c>
      <c r="GS86" s="9" t="n">
        <v>10</v>
      </c>
      <c r="GT86" s="9" t="n">
        <v>15</v>
      </c>
      <c r="GU86" s="9" t="n">
        <v>14</v>
      </c>
      <c r="GV86" s="11" t="n">
        <f aca="false">(GR86+GS86+GT86+GU86)/4</f>
        <v>13.75</v>
      </c>
      <c r="GW86" s="9" t="n">
        <v>0</v>
      </c>
      <c r="GX86" s="9" t="n">
        <v>0</v>
      </c>
      <c r="GY86" s="9" t="n">
        <v>0</v>
      </c>
      <c r="GZ86" s="9" t="n">
        <v>0</v>
      </c>
      <c r="HA86" s="11" t="n">
        <f aca="false">(GW86+GX86+GY86+GZ86)/4</f>
        <v>0</v>
      </c>
      <c r="HB86" s="9" t="n">
        <f aca="false">(GW86/GR86)</f>
        <v>0</v>
      </c>
      <c r="HC86" s="9" t="n">
        <f aca="false">(GX86/GS86)</f>
        <v>0</v>
      </c>
      <c r="HD86" s="9" t="n">
        <f aca="false">(GY86/GT86)</f>
        <v>0</v>
      </c>
      <c r="HE86" s="9" t="n">
        <f aca="false">(GZ86/GU86)/4</f>
        <v>0</v>
      </c>
      <c r="HF86" s="9" t="n">
        <f aca="false">(HB86+HC86+HD86+HE86)/4</f>
        <v>0</v>
      </c>
      <c r="HG86" s="9" t="n">
        <f aca="false">(100*HF86)</f>
        <v>0</v>
      </c>
      <c r="HH86" s="18" t="n">
        <v>0</v>
      </c>
      <c r="HI86" s="9" t="n">
        <v>8</v>
      </c>
      <c r="HJ86" s="9" t="n">
        <v>0</v>
      </c>
      <c r="HK86" s="9" t="n">
        <v>4</v>
      </c>
      <c r="HL86" s="19" t="n">
        <v>3</v>
      </c>
      <c r="HM86" s="9" t="n">
        <f aca="false">(HI86+HJ86+HK86+HL86)/4</f>
        <v>3.75</v>
      </c>
      <c r="HN86" s="9" t="n">
        <f aca="false">(HI86/GR86)</f>
        <v>0.5</v>
      </c>
      <c r="HO86" s="9" t="n">
        <f aca="false">(HJ86/GS86)</f>
        <v>0</v>
      </c>
      <c r="HP86" s="9" t="n">
        <f aca="false">(HK86/GT86)</f>
        <v>0.266666666666667</v>
      </c>
      <c r="HQ86" s="9" t="n">
        <f aca="false">(HL86/GU86)</f>
        <v>0.214285714285714</v>
      </c>
      <c r="HR86" s="9" t="n">
        <f aca="false">(HM86/GV86)</f>
        <v>0.272727272727273</v>
      </c>
      <c r="HS86" s="9" t="n">
        <f aca="false">(100*HR86)</f>
        <v>27.2727272727273</v>
      </c>
      <c r="HT86" s="18" t="n">
        <v>2</v>
      </c>
      <c r="HU86" s="9" t="n">
        <v>0</v>
      </c>
      <c r="HV86" s="9" t="n">
        <v>4</v>
      </c>
      <c r="HW86" s="9" t="n">
        <v>0</v>
      </c>
      <c r="HX86" s="19" t="n">
        <v>0</v>
      </c>
      <c r="HY86" s="9" t="n">
        <f aca="false">(HU86+HV86+HW86+HX86)/4</f>
        <v>1</v>
      </c>
      <c r="HZ86" s="9" t="n">
        <f aca="false">(HU86/GR86)</f>
        <v>0</v>
      </c>
      <c r="IA86" s="9" t="n">
        <f aca="false">HV86/GS86</f>
        <v>0.4</v>
      </c>
      <c r="IB86" s="9" t="n">
        <f aca="false">(HW86/GT86)</f>
        <v>0</v>
      </c>
      <c r="IC86" s="9" t="n">
        <f aca="false">(HX86/GU86)</f>
        <v>0</v>
      </c>
      <c r="ID86" s="9" t="n">
        <f aca="false">(HY86/GV86)</f>
        <v>0.0727272727272727</v>
      </c>
      <c r="IE86" s="9" t="n">
        <f aca="false">(100*ID86)</f>
        <v>7.27272727272727</v>
      </c>
      <c r="IF86" s="18" t="n">
        <v>1</v>
      </c>
      <c r="IG86" s="9" t="n">
        <v>0</v>
      </c>
      <c r="IH86" s="9" t="n">
        <v>14</v>
      </c>
      <c r="II86" s="19" t="n">
        <v>2</v>
      </c>
      <c r="IJ86" s="9" t="n">
        <v>0</v>
      </c>
      <c r="IK86" s="9" t="n">
        <f aca="false">(IG86+IH86+II86+IJ86)/4</f>
        <v>4</v>
      </c>
      <c r="IL86" s="9" t="n">
        <f aca="false">(IG86/GM86)</f>
        <v>0</v>
      </c>
      <c r="IM86" s="9" t="n">
        <f aca="false">(IH86/GN86)</f>
        <v>0.116666666666667</v>
      </c>
      <c r="IN86" s="9" t="n">
        <f aca="false">(II86/GO86)</f>
        <v>0.05</v>
      </c>
      <c r="IO86" s="9" t="n">
        <f aca="false">(IJ86/GP86)</f>
        <v>0</v>
      </c>
      <c r="IP86" s="9" t="n">
        <f aca="false">(IK86/GQ86)</f>
        <v>0.0893854748603352</v>
      </c>
      <c r="IQ86" s="9" t="n">
        <f aca="false">(100*IP86)</f>
        <v>8.93854748603352</v>
      </c>
      <c r="IR86" s="18" t="n">
        <v>1</v>
      </c>
      <c r="IS86" s="9" t="n">
        <v>69.3</v>
      </c>
      <c r="IT86" s="9" t="n">
        <v>51.6</v>
      </c>
      <c r="IU86" s="19" t="n">
        <v>42.6</v>
      </c>
      <c r="IV86" s="9" t="n">
        <v>31.9</v>
      </c>
      <c r="IW86" s="9" t="n">
        <f aca="false">(IS86+IT86+IU86+IV86)/4</f>
        <v>48.85</v>
      </c>
      <c r="IX86" s="16" t="n">
        <v>45202</v>
      </c>
      <c r="IY86" s="10" t="s">
        <v>268</v>
      </c>
    </row>
    <row r="87" customFormat="false" ht="15.75" hidden="false" customHeight="true" outlineLevel="0" collapsed="false">
      <c r="A87" s="9" t="s">
        <v>343</v>
      </c>
      <c r="B87" s="10" t="s">
        <v>465</v>
      </c>
      <c r="C87" s="10" t="s">
        <v>400</v>
      </c>
      <c r="D87" s="9" t="n">
        <v>2</v>
      </c>
      <c r="E87" s="9" t="n">
        <v>29</v>
      </c>
      <c r="F87" s="10" t="s">
        <v>470</v>
      </c>
      <c r="G87" s="10" t="s">
        <v>297</v>
      </c>
      <c r="H87" s="9" t="n">
        <v>21</v>
      </c>
      <c r="I87" s="9" t="n">
        <v>10</v>
      </c>
      <c r="J87" s="12" t="s">
        <v>270</v>
      </c>
      <c r="K87" s="20"/>
      <c r="L87" s="20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 t="n">
        <v>0</v>
      </c>
      <c r="Y87" s="9" t="n">
        <v>0</v>
      </c>
      <c r="Z87" s="9" t="n">
        <v>0</v>
      </c>
      <c r="AA87" s="9" t="n">
        <v>0</v>
      </c>
      <c r="AB87" s="11" t="n">
        <f aca="false">(X87+Y87+Z87+AA87)/4</f>
        <v>0</v>
      </c>
      <c r="AC87" s="9" t="n">
        <v>1</v>
      </c>
      <c r="AD87" s="9" t="n">
        <v>1</v>
      </c>
      <c r="AE87" s="9" t="n">
        <v>1</v>
      </c>
      <c r="AF87" s="9" t="n">
        <v>1</v>
      </c>
      <c r="AG87" s="11" t="n">
        <f aca="false">(AC87+AD87+AE87+AF87)/4</f>
        <v>1</v>
      </c>
      <c r="AH87" s="9" t="n">
        <v>1</v>
      </c>
      <c r="AI87" s="9" t="n">
        <v>0</v>
      </c>
      <c r="AJ87" s="9" t="n">
        <v>0</v>
      </c>
      <c r="AK87" s="9" t="n">
        <v>1</v>
      </c>
      <c r="AL87" s="11" t="n">
        <f aca="false">(AH87+AI87+AJ87+AK87)/4</f>
        <v>0.5</v>
      </c>
      <c r="AM87" s="9" t="n">
        <v>108</v>
      </c>
      <c r="AN87" s="9" t="n">
        <v>36</v>
      </c>
      <c r="AO87" s="9" t="n">
        <v>18</v>
      </c>
      <c r="AP87" s="9" t="n">
        <v>10</v>
      </c>
      <c r="AQ87" s="11" t="n">
        <f aca="false">(AM87+AN87+AO87+AP87)/4</f>
        <v>43</v>
      </c>
      <c r="AR87" s="9" t="n">
        <v>9</v>
      </c>
      <c r="AS87" s="9" t="n">
        <v>16</v>
      </c>
      <c r="AT87" s="9" t="n">
        <v>17</v>
      </c>
      <c r="AU87" s="9" t="n">
        <v>57</v>
      </c>
      <c r="AV87" s="11" t="n">
        <f aca="false">(AR87+AS87+AT87+AU87)/4</f>
        <v>24.75</v>
      </c>
      <c r="AW87" s="9" t="n">
        <v>0</v>
      </c>
      <c r="AX87" s="9" t="n">
        <v>0</v>
      </c>
      <c r="AY87" s="9" t="n">
        <v>0</v>
      </c>
      <c r="AZ87" s="9" t="n">
        <v>0</v>
      </c>
      <c r="BA87" s="11" t="n">
        <f aca="false">(AW87+AX87+AY87+AZ87)/4</f>
        <v>0</v>
      </c>
      <c r="BB87" s="11" t="n">
        <f aca="false">(AW87/AR87)</f>
        <v>0</v>
      </c>
      <c r="BC87" s="11" t="n">
        <f aca="false">(AX87/AS87)</f>
        <v>0</v>
      </c>
      <c r="BD87" s="11" t="n">
        <f aca="false">(AY87/AT87)</f>
        <v>0</v>
      </c>
      <c r="BE87" s="11" t="n">
        <f aca="false">(AZ87/AU87)</f>
        <v>0</v>
      </c>
      <c r="BF87" s="11" t="n">
        <f aca="false">(BA87/AV87)</f>
        <v>0</v>
      </c>
      <c r="BG87" s="11" t="n">
        <f aca="false">(BF87*100)</f>
        <v>0</v>
      </c>
      <c r="BH87" s="9" t="n">
        <v>0</v>
      </c>
      <c r="BI87" s="9" t="n">
        <v>2</v>
      </c>
      <c r="BJ87" s="9" t="n">
        <v>3</v>
      </c>
      <c r="BK87" s="9" t="n">
        <v>8</v>
      </c>
      <c r="BL87" s="9" t="n">
        <v>6</v>
      </c>
      <c r="BM87" s="11" t="n">
        <f aca="false">(BI87+BJ87+BK87+BL87)/4</f>
        <v>4.75</v>
      </c>
      <c r="BN87" s="11" t="n">
        <f aca="false">(BI87/AR87)</f>
        <v>0.222222222222222</v>
      </c>
      <c r="BO87" s="11" t="n">
        <f aca="false">(BJ87/AS87)</f>
        <v>0.1875</v>
      </c>
      <c r="BP87" s="11" t="n">
        <f aca="false">(BK87/AT87)</f>
        <v>0.470588235294118</v>
      </c>
      <c r="BQ87" s="11" t="n">
        <f aca="false">(BL87/AU87)</f>
        <v>0.105263157894737</v>
      </c>
      <c r="BR87" s="11" t="n">
        <f aca="false">(BM87/AV87)</f>
        <v>0.191919191919192</v>
      </c>
      <c r="BS87" s="11" t="n">
        <f aca="false">(100*BR87)</f>
        <v>19.1919191919192</v>
      </c>
      <c r="BT87" s="9" t="n">
        <v>2</v>
      </c>
      <c r="BU87" s="9" t="n">
        <v>0</v>
      </c>
      <c r="BV87" s="9" t="n">
        <v>0</v>
      </c>
      <c r="BW87" s="9" t="n">
        <v>0</v>
      </c>
      <c r="BX87" s="9" t="n">
        <v>0</v>
      </c>
      <c r="BY87" s="11" t="n">
        <f aca="false">(BU87+BV87+BW87+BX87)/4</f>
        <v>0</v>
      </c>
      <c r="BZ87" s="11" t="n">
        <f aca="false">(BU87/AR87)</f>
        <v>0</v>
      </c>
      <c r="CA87" s="11" t="n">
        <f aca="false">(BV87/AS87)</f>
        <v>0</v>
      </c>
      <c r="CB87" s="11" t="n">
        <f aca="false">(BW87/AT87)</f>
        <v>0</v>
      </c>
      <c r="CC87" s="11" t="n">
        <f aca="false">(BX87/AU87)</f>
        <v>0</v>
      </c>
      <c r="CD87" s="11" t="n">
        <f aca="false">(BY87/AV87)</f>
        <v>0</v>
      </c>
      <c r="CE87" s="11" t="n">
        <f aca="false">(100*CD87)</f>
        <v>0</v>
      </c>
      <c r="CF87" s="9" t="n">
        <v>0</v>
      </c>
      <c r="CG87" s="9" t="n">
        <v>30</v>
      </c>
      <c r="CH87" s="9" t="n">
        <v>0</v>
      </c>
      <c r="CI87" s="9" t="n">
        <v>0</v>
      </c>
      <c r="CJ87" s="9" t="n">
        <v>1</v>
      </c>
      <c r="CK87" s="11" t="n">
        <f aca="false">(CG87+CH87+CI87+CJ87)/4</f>
        <v>7.75</v>
      </c>
      <c r="CL87" s="11" t="n">
        <f aca="false">(CG87/AM87)</f>
        <v>0.277777777777778</v>
      </c>
      <c r="CM87" s="11" t="n">
        <f aca="false">(CH87/AN87)</f>
        <v>0</v>
      </c>
      <c r="CN87" s="11" t="n">
        <f aca="false">(CI87/AO87)</f>
        <v>0</v>
      </c>
      <c r="CO87" s="9" t="n">
        <f aca="false">(CJ87/AP87)</f>
        <v>0.1</v>
      </c>
      <c r="CP87" s="9" t="n">
        <f aca="false">(CK87/AQ87)</f>
        <v>0.180232558139535</v>
      </c>
      <c r="CQ87" s="9" t="n">
        <f aca="false">(100*CP87)</f>
        <v>18.0232558139535</v>
      </c>
      <c r="CR87" s="18" t="n">
        <v>2</v>
      </c>
      <c r="CS87" s="9" t="n">
        <v>44.8</v>
      </c>
      <c r="CT87" s="9" t="n">
        <v>58.6</v>
      </c>
      <c r="CU87" s="9" t="n">
        <v>51.8</v>
      </c>
      <c r="CV87" s="9" t="n">
        <v>64.1</v>
      </c>
      <c r="CW87" s="11" t="n">
        <f aca="false">(CS87+CT87+CU87+CV87)/4</f>
        <v>54.825</v>
      </c>
      <c r="CX87" s="9" t="n">
        <v>0</v>
      </c>
      <c r="CY87" s="9" t="n">
        <v>0</v>
      </c>
      <c r="CZ87" s="9" t="n">
        <v>0</v>
      </c>
      <c r="DA87" s="9" t="n">
        <v>0</v>
      </c>
      <c r="DB87" s="11" t="n">
        <f aca="false">(CX87+CY87+CZ87+DA87)/4</f>
        <v>0</v>
      </c>
      <c r="DC87" s="9" t="n">
        <v>1</v>
      </c>
      <c r="DD87" s="9" t="n">
        <v>1</v>
      </c>
      <c r="DE87" s="9" t="n">
        <v>1</v>
      </c>
      <c r="DF87" s="9" t="n">
        <v>1</v>
      </c>
      <c r="DG87" s="11" t="n">
        <f aca="false">(DC87+DD87+DE87+DF87)/4</f>
        <v>1</v>
      </c>
      <c r="DH87" s="9" t="n">
        <v>0</v>
      </c>
      <c r="DI87" s="9" t="n">
        <v>1</v>
      </c>
      <c r="DJ87" s="9" t="n">
        <v>0</v>
      </c>
      <c r="DK87" s="9" t="n">
        <v>0</v>
      </c>
      <c r="DL87" s="11" t="n">
        <f aca="false">(DH87+DI87+DJ87+DK87)/4</f>
        <v>0.25</v>
      </c>
      <c r="DM87" s="9" t="n">
        <v>0</v>
      </c>
      <c r="DN87" s="9" t="n">
        <v>2</v>
      </c>
      <c r="DO87" s="9" t="n">
        <v>0</v>
      </c>
      <c r="DP87" s="9" t="n">
        <v>0</v>
      </c>
      <c r="DQ87" s="11" t="n">
        <f aca="false">(DM87+DN87+DO87+DP87)/4</f>
        <v>0.5</v>
      </c>
      <c r="DR87" s="9" t="n">
        <v>19</v>
      </c>
      <c r="DS87" s="9" t="n">
        <v>15</v>
      </c>
      <c r="DT87" s="9" t="n">
        <v>10</v>
      </c>
      <c r="DU87" s="9" t="n">
        <v>15</v>
      </c>
      <c r="DV87" s="11" t="n">
        <f aca="false">(DR87+DS87+DT87+DU87)/4</f>
        <v>14.75</v>
      </c>
      <c r="DW87" s="9" t="n">
        <v>0</v>
      </c>
      <c r="DX87" s="9" t="n">
        <v>0</v>
      </c>
      <c r="DY87" s="9" t="n">
        <v>0</v>
      </c>
      <c r="DZ87" s="9" t="n">
        <v>0</v>
      </c>
      <c r="EA87" s="11" t="n">
        <f aca="false">(DW87+DX87+DY87+DZ87)/4</f>
        <v>0</v>
      </c>
      <c r="EB87" s="11" t="n">
        <f aca="false">(DW87/DR87)</f>
        <v>0</v>
      </c>
      <c r="EC87" s="11" t="n">
        <f aca="false">(DX87/DS87)</f>
        <v>0</v>
      </c>
      <c r="ED87" s="11" t="n">
        <f aca="false">(DY87/DT87)</f>
        <v>0</v>
      </c>
      <c r="EE87" s="11" t="n">
        <f aca="false">(DZ87/DU87)</f>
        <v>0</v>
      </c>
      <c r="EF87" s="11" t="n">
        <f aca="false">(EA87/DV87)</f>
        <v>0</v>
      </c>
      <c r="EG87" s="11" t="n">
        <f aca="false">(100*EF87)</f>
        <v>0</v>
      </c>
      <c r="EH87" s="9" t="n">
        <v>0</v>
      </c>
      <c r="EI87" s="9" t="n">
        <v>8</v>
      </c>
      <c r="EJ87" s="9" t="n">
        <v>6</v>
      </c>
      <c r="EK87" s="19" t="n">
        <v>2</v>
      </c>
      <c r="EL87" s="9" t="n">
        <v>3</v>
      </c>
      <c r="EM87" s="9" t="n">
        <f aca="false">(EI87+EJ87+EK87+EL87)/4</f>
        <v>4.75</v>
      </c>
      <c r="EN87" s="9" t="n">
        <f aca="false">(EI87/DR87)</f>
        <v>0.421052631578947</v>
      </c>
      <c r="EO87" s="9" t="n">
        <f aca="false">(EJ87/DS87)</f>
        <v>0.4</v>
      </c>
      <c r="EP87" s="9" t="n">
        <f aca="false">(EK87/DT87)</f>
        <v>0.2</v>
      </c>
      <c r="EQ87" s="9" t="n">
        <f aca="false">(EL87/DU87)</f>
        <v>0.2</v>
      </c>
      <c r="ER87" s="9" t="n">
        <f aca="false">EM87/DV87</f>
        <v>0.322033898305085</v>
      </c>
      <c r="ES87" s="9" t="n">
        <f aca="false">(100*ER87)</f>
        <v>32.2033898305085</v>
      </c>
      <c r="ET87" s="9" t="n">
        <v>3</v>
      </c>
      <c r="EU87" s="18" t="n">
        <v>0</v>
      </c>
      <c r="EV87" s="9" t="n">
        <v>0</v>
      </c>
      <c r="EW87" s="9" t="n">
        <v>0</v>
      </c>
      <c r="EX87" s="9" t="n">
        <v>0</v>
      </c>
      <c r="EY87" s="11" t="n">
        <f aca="false">(EU87+EV87+EW87+EX87)/4</f>
        <v>0</v>
      </c>
      <c r="EZ87" s="11" t="n">
        <f aca="false">(EU87/DR87)</f>
        <v>0</v>
      </c>
      <c r="FA87" s="11" t="n">
        <f aca="false">(EV87/DS87)</f>
        <v>0</v>
      </c>
      <c r="FB87" s="11" t="n">
        <f aca="false">(EW87/DT87)</f>
        <v>0</v>
      </c>
      <c r="FC87" s="11" t="n">
        <f aca="false">(EX87/DU87)</f>
        <v>0</v>
      </c>
      <c r="FD87" s="11" t="n">
        <f aca="false">(EY87/DV87)</f>
        <v>0</v>
      </c>
      <c r="FE87" s="11" t="n">
        <f aca="false">(100*FD87)</f>
        <v>0</v>
      </c>
      <c r="FF87" s="9" t="n">
        <v>0</v>
      </c>
      <c r="FG87" s="9" t="n">
        <v>0</v>
      </c>
      <c r="FH87" s="9" t="n">
        <v>1</v>
      </c>
      <c r="FI87" s="9" t="n">
        <v>0</v>
      </c>
      <c r="FJ87" s="9" t="n">
        <v>0</v>
      </c>
      <c r="FK87" s="11" t="n">
        <f aca="false">(FG87+FH87+FI87+FJ87)/4</f>
        <v>0.25</v>
      </c>
      <c r="FL87" s="11" t="n">
        <f aca="false">(FG87/DR87)</f>
        <v>0</v>
      </c>
      <c r="FM87" s="11" t="n">
        <f aca="false">(FH87/DS87)</f>
        <v>0.0666666666666667</v>
      </c>
      <c r="FN87" s="11" t="n">
        <f aca="false">(FI87/DT87)</f>
        <v>0</v>
      </c>
      <c r="FO87" s="11" t="n">
        <f aca="false">(FJ87/DU87)</f>
        <v>0</v>
      </c>
      <c r="FP87" s="11" t="n">
        <f aca="false">(FK87/DV87)</f>
        <v>0.0169491525423729</v>
      </c>
      <c r="FQ87" s="11" t="n">
        <f aca="false">(100*FP87)</f>
        <v>1.69491525423729</v>
      </c>
      <c r="FR87" s="9" t="n">
        <v>1</v>
      </c>
      <c r="FS87" s="9" t="n">
        <v>47.8</v>
      </c>
      <c r="FT87" s="9" t="n">
        <v>45.7</v>
      </c>
      <c r="FU87" s="9" t="n">
        <v>50.4</v>
      </c>
      <c r="FV87" s="9" t="n">
        <v>54.6</v>
      </c>
      <c r="FW87" s="11" t="n">
        <f aca="false">(FS87+FT87+FU87+FV87)/4</f>
        <v>49.625</v>
      </c>
      <c r="FX87" s="9" t="n">
        <v>0</v>
      </c>
      <c r="FY87" s="9" t="n">
        <v>0</v>
      </c>
      <c r="FZ87" s="9" t="n">
        <v>0</v>
      </c>
      <c r="GA87" s="9" t="n">
        <v>0</v>
      </c>
      <c r="GB87" s="11" t="n">
        <f aca="false">(FX87+FY87+FZ87+GA87)/4</f>
        <v>0</v>
      </c>
      <c r="GC87" s="9" t="n">
        <v>1</v>
      </c>
      <c r="GD87" s="9" t="n">
        <v>1</v>
      </c>
      <c r="GE87" s="9" t="n">
        <v>1</v>
      </c>
      <c r="GF87" s="9" t="n">
        <v>1</v>
      </c>
      <c r="GG87" s="11" t="n">
        <f aca="false">(GC87+GD87+GE87+GF87)/4</f>
        <v>1</v>
      </c>
      <c r="GH87" s="9" t="n">
        <v>1</v>
      </c>
      <c r="GI87" s="9" t="n">
        <v>1</v>
      </c>
      <c r="GJ87" s="9" t="n">
        <v>1</v>
      </c>
      <c r="GK87" s="9" t="n">
        <v>1</v>
      </c>
      <c r="GL87" s="11" t="n">
        <f aca="false">(GH87+GI87+GJ87+GK87)/4</f>
        <v>1</v>
      </c>
      <c r="GM87" s="9" t="n">
        <v>44</v>
      </c>
      <c r="GN87" s="9" t="n">
        <v>22</v>
      </c>
      <c r="GO87" s="9" t="n">
        <v>6</v>
      </c>
      <c r="GP87" s="9" t="n">
        <v>11</v>
      </c>
      <c r="GQ87" s="11" t="n">
        <f aca="false">(GM87+GN87+GO87+GP87)/4</f>
        <v>20.75</v>
      </c>
      <c r="GR87" s="9" t="n">
        <v>11</v>
      </c>
      <c r="GS87" s="9" t="n">
        <v>6</v>
      </c>
      <c r="GT87" s="9" t="n">
        <v>11</v>
      </c>
      <c r="GU87" s="9" t="n">
        <v>16</v>
      </c>
      <c r="GV87" s="11" t="n">
        <f aca="false">(GR87+GS87+GT87+GU87)/4</f>
        <v>11</v>
      </c>
      <c r="GW87" s="9" t="n">
        <v>0</v>
      </c>
      <c r="GX87" s="9" t="n">
        <v>0</v>
      </c>
      <c r="GY87" s="9" t="n">
        <v>0</v>
      </c>
      <c r="GZ87" s="9" t="n">
        <v>0</v>
      </c>
      <c r="HA87" s="11" t="n">
        <f aca="false">(GW87+GX87+GY87+GZ87)/4</f>
        <v>0</v>
      </c>
      <c r="HB87" s="9" t="n">
        <f aca="false">(GW87/GR87)</f>
        <v>0</v>
      </c>
      <c r="HC87" s="9" t="n">
        <f aca="false">(GX87/GS87)</f>
        <v>0</v>
      </c>
      <c r="HD87" s="9" t="n">
        <f aca="false">(GY87/GT87)</f>
        <v>0</v>
      </c>
      <c r="HE87" s="9" t="n">
        <f aca="false">(GZ87/GU87)/4</f>
        <v>0</v>
      </c>
      <c r="HF87" s="9" t="n">
        <f aca="false">(HB87+HC87+HD87+HE87)/4</f>
        <v>0</v>
      </c>
      <c r="HG87" s="9" t="n">
        <f aca="false">(100*HF87)</f>
        <v>0</v>
      </c>
      <c r="HH87" s="18" t="n">
        <v>0</v>
      </c>
      <c r="HI87" s="9" t="n">
        <v>2</v>
      </c>
      <c r="HJ87" s="9" t="n">
        <v>4</v>
      </c>
      <c r="HK87" s="9" t="n">
        <v>2</v>
      </c>
      <c r="HL87" s="19" t="n">
        <v>3</v>
      </c>
      <c r="HM87" s="9" t="n">
        <f aca="false">(HI87+HJ87+HK87+HL87)/4</f>
        <v>2.75</v>
      </c>
      <c r="HN87" s="9" t="n">
        <f aca="false">(HI87/GR87)</f>
        <v>0.181818181818182</v>
      </c>
      <c r="HO87" s="9" t="n">
        <f aca="false">(HJ87/GS87)</f>
        <v>0.666666666666667</v>
      </c>
      <c r="HP87" s="9" t="n">
        <f aca="false">(HK87/GT87)</f>
        <v>0.181818181818182</v>
      </c>
      <c r="HQ87" s="9" t="n">
        <f aca="false">(HL87/GU87)</f>
        <v>0.1875</v>
      </c>
      <c r="HR87" s="9" t="n">
        <f aca="false">(HM87/GV87)</f>
        <v>0.25</v>
      </c>
      <c r="HS87" s="9" t="n">
        <f aca="false">(100*HR87)</f>
        <v>25</v>
      </c>
      <c r="HT87" s="18" t="n">
        <v>2</v>
      </c>
      <c r="HU87" s="9" t="n">
        <v>0</v>
      </c>
      <c r="HV87" s="9" t="n">
        <v>0</v>
      </c>
      <c r="HW87" s="9" t="n">
        <v>1</v>
      </c>
      <c r="HX87" s="19" t="n">
        <v>1</v>
      </c>
      <c r="HY87" s="9" t="n">
        <f aca="false">(HU87+HV87+HW87+HX87)/4</f>
        <v>0.5</v>
      </c>
      <c r="HZ87" s="9" t="n">
        <f aca="false">(HU87/GR87)</f>
        <v>0</v>
      </c>
      <c r="IA87" s="9" t="n">
        <f aca="false">HV87/GS87</f>
        <v>0</v>
      </c>
      <c r="IB87" s="9" t="n">
        <f aca="false">(HW87/GT87)</f>
        <v>0.0909090909090909</v>
      </c>
      <c r="IC87" s="9" t="n">
        <f aca="false">(HX87/GU87)</f>
        <v>0.0625</v>
      </c>
      <c r="ID87" s="9" t="n">
        <f aca="false">(HY87/GV87)</f>
        <v>0.0454545454545455</v>
      </c>
      <c r="IE87" s="9" t="n">
        <f aca="false">(100*ID87)</f>
        <v>4.54545454545455</v>
      </c>
      <c r="IF87" s="18" t="n">
        <v>1</v>
      </c>
      <c r="IG87" s="9" t="n">
        <v>6</v>
      </c>
      <c r="IH87" s="9" t="n">
        <v>7</v>
      </c>
      <c r="II87" s="19" t="n">
        <v>0</v>
      </c>
      <c r="IJ87" s="9" t="n">
        <v>0</v>
      </c>
      <c r="IK87" s="9" t="n">
        <f aca="false">(IG87+IH87+II87+IJ87)/4</f>
        <v>3.25</v>
      </c>
      <c r="IL87" s="9" t="n">
        <f aca="false">(IG87/GM87)</f>
        <v>0.136363636363636</v>
      </c>
      <c r="IM87" s="9" t="n">
        <f aca="false">(IH87/GN87)</f>
        <v>0.318181818181818</v>
      </c>
      <c r="IN87" s="9" t="n">
        <f aca="false">(II87/GO87)</f>
        <v>0</v>
      </c>
      <c r="IO87" s="9" t="n">
        <f aca="false">(IJ87/GP87)</f>
        <v>0</v>
      </c>
      <c r="IP87" s="9" t="n">
        <f aca="false">(IK87/GQ87)</f>
        <v>0.156626506024096</v>
      </c>
      <c r="IQ87" s="9" t="n">
        <f aca="false">(100*IP87)</f>
        <v>15.6626506024096</v>
      </c>
      <c r="IR87" s="18" t="n">
        <v>2</v>
      </c>
      <c r="IS87" s="9" t="n">
        <v>48.3</v>
      </c>
      <c r="IT87" s="9" t="n">
        <v>47.7</v>
      </c>
      <c r="IU87" s="19" t="n">
        <v>41.9</v>
      </c>
      <c r="IV87" s="9" t="n">
        <v>54.7</v>
      </c>
      <c r="IW87" s="9" t="n">
        <f aca="false">(IS87+IT87+IU87+IV87)/4</f>
        <v>48.15</v>
      </c>
      <c r="IX87" s="16" t="n">
        <v>45202</v>
      </c>
      <c r="IY87" s="10" t="s">
        <v>268</v>
      </c>
    </row>
    <row r="88" customFormat="false" ht="15.75" hidden="false" customHeight="true" outlineLevel="0" collapsed="false">
      <c r="A88" s="9" t="s">
        <v>343</v>
      </c>
      <c r="B88" s="10" t="s">
        <v>465</v>
      </c>
      <c r="C88" s="10" t="s">
        <v>400</v>
      </c>
      <c r="D88" s="9" t="n">
        <v>2</v>
      </c>
      <c r="E88" s="9" t="n">
        <v>29</v>
      </c>
      <c r="F88" s="10" t="s">
        <v>471</v>
      </c>
      <c r="G88" s="10" t="s">
        <v>280</v>
      </c>
      <c r="H88" s="9" t="n">
        <v>21</v>
      </c>
      <c r="I88" s="9" t="n">
        <v>20</v>
      </c>
      <c r="J88" s="10" t="s">
        <v>272</v>
      </c>
      <c r="K88" s="20"/>
      <c r="L88" s="20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 t="n">
        <v>0</v>
      </c>
      <c r="Y88" s="9" t="n">
        <v>0</v>
      </c>
      <c r="Z88" s="9" t="n">
        <v>0</v>
      </c>
      <c r="AA88" s="9" t="n">
        <v>0</v>
      </c>
      <c r="AB88" s="11" t="n">
        <f aca="false">(X88+Y88+Z88+AA88)/4</f>
        <v>0</v>
      </c>
      <c r="AC88" s="9" t="n">
        <v>1</v>
      </c>
      <c r="AD88" s="9" t="n">
        <v>0</v>
      </c>
      <c r="AE88" s="9" t="n">
        <v>0</v>
      </c>
      <c r="AF88" s="9" t="n">
        <v>1</v>
      </c>
      <c r="AG88" s="11" t="n">
        <f aca="false">(AC88+AD88+AE88+AF88)/4</f>
        <v>0.5</v>
      </c>
      <c r="AH88" s="9" t="n">
        <v>1</v>
      </c>
      <c r="AI88" s="9" t="n">
        <v>1</v>
      </c>
      <c r="AJ88" s="9" t="n">
        <v>1</v>
      </c>
      <c r="AK88" s="9" t="n">
        <v>1</v>
      </c>
      <c r="AL88" s="11" t="n">
        <f aca="false">(AH88+AI88+AJ88+AK88)/4</f>
        <v>1</v>
      </c>
      <c r="AM88" s="9" t="n">
        <v>115</v>
      </c>
      <c r="AN88" s="9" t="n">
        <v>12</v>
      </c>
      <c r="AO88" s="9" t="n">
        <v>90</v>
      </c>
      <c r="AP88" s="9" t="n">
        <v>87</v>
      </c>
      <c r="AQ88" s="11" t="n">
        <f aca="false">(AM88+AN88+AO88+AP88)/4</f>
        <v>76</v>
      </c>
      <c r="AR88" s="9" t="n">
        <v>17</v>
      </c>
      <c r="AS88" s="9" t="n">
        <v>32</v>
      </c>
      <c r="AT88" s="9" t="n">
        <v>13</v>
      </c>
      <c r="AU88" s="9" t="n">
        <v>75</v>
      </c>
      <c r="AV88" s="11" t="n">
        <f aca="false">(AR88+AS88+AT88+AU88)/4</f>
        <v>34.25</v>
      </c>
      <c r="AW88" s="9" t="n">
        <v>0</v>
      </c>
      <c r="AX88" s="9" t="n">
        <v>0</v>
      </c>
      <c r="AY88" s="9" t="n">
        <v>0</v>
      </c>
      <c r="AZ88" s="9" t="n">
        <v>0</v>
      </c>
      <c r="BA88" s="11" t="n">
        <f aca="false">(AW88+AX88+AY88+AZ88)/4</f>
        <v>0</v>
      </c>
      <c r="BB88" s="11" t="n">
        <f aca="false">(AW88/AR88)</f>
        <v>0</v>
      </c>
      <c r="BC88" s="11" t="n">
        <f aca="false">(AX88/AS88)</f>
        <v>0</v>
      </c>
      <c r="BD88" s="11" t="n">
        <f aca="false">(AY88/AT88)</f>
        <v>0</v>
      </c>
      <c r="BE88" s="11" t="n">
        <f aca="false">(AZ88/AU88)</f>
        <v>0</v>
      </c>
      <c r="BF88" s="11" t="n">
        <f aca="false">(BA88/AV88)</f>
        <v>0</v>
      </c>
      <c r="BG88" s="11" t="n">
        <f aca="false">(BF88*100)</f>
        <v>0</v>
      </c>
      <c r="BH88" s="9" t="n">
        <v>0</v>
      </c>
      <c r="BI88" s="9" t="n">
        <v>4</v>
      </c>
      <c r="BJ88" s="9" t="n">
        <v>0</v>
      </c>
      <c r="BK88" s="9" t="n">
        <v>0</v>
      </c>
      <c r="BL88" s="9" t="n">
        <v>12</v>
      </c>
      <c r="BM88" s="11" t="n">
        <f aca="false">(BI88+BJ88+BK88+BL88)/4</f>
        <v>4</v>
      </c>
      <c r="BN88" s="11" t="n">
        <f aca="false">(BI88/AR88)</f>
        <v>0.235294117647059</v>
      </c>
      <c r="BO88" s="11" t="n">
        <f aca="false">(BJ88/AS88)</f>
        <v>0</v>
      </c>
      <c r="BP88" s="11" t="n">
        <f aca="false">(BK88/AT88)</f>
        <v>0</v>
      </c>
      <c r="BQ88" s="11" t="n">
        <f aca="false">(BL88/AU88)</f>
        <v>0.16</v>
      </c>
      <c r="BR88" s="11" t="n">
        <f aca="false">(BM88/AV88)</f>
        <v>0.116788321167883</v>
      </c>
      <c r="BS88" s="11" t="n">
        <f aca="false">(100*BR88)</f>
        <v>11.6788321167883</v>
      </c>
      <c r="BT88" s="9" t="n">
        <v>2</v>
      </c>
      <c r="BU88" s="9" t="n">
        <v>3</v>
      </c>
      <c r="BV88" s="9" t="n">
        <v>0</v>
      </c>
      <c r="BW88" s="9" t="n">
        <v>5</v>
      </c>
      <c r="BX88" s="9" t="n">
        <v>0</v>
      </c>
      <c r="BY88" s="11" t="n">
        <f aca="false">(BU88+BV88+BW88+BX88)/4</f>
        <v>2</v>
      </c>
      <c r="BZ88" s="11" t="n">
        <f aca="false">(BU88/AR88)</f>
        <v>0.176470588235294</v>
      </c>
      <c r="CA88" s="11" t="n">
        <f aca="false">(BV88/AS88)</f>
        <v>0</v>
      </c>
      <c r="CB88" s="11" t="n">
        <f aca="false">(BW88/AT88)</f>
        <v>0.384615384615385</v>
      </c>
      <c r="CC88" s="11" t="n">
        <f aca="false">(BX88/AU88)</f>
        <v>0</v>
      </c>
      <c r="CD88" s="11" t="n">
        <f aca="false">(BY88/AV88)</f>
        <v>0.0583941605839416</v>
      </c>
      <c r="CE88" s="11" t="n">
        <f aca="false">(100*CD88)</f>
        <v>5.83941605839416</v>
      </c>
      <c r="CF88" s="9" t="n">
        <v>1</v>
      </c>
      <c r="CG88" s="9" t="n">
        <v>66</v>
      </c>
      <c r="CH88" s="9" t="n">
        <v>4</v>
      </c>
      <c r="CI88" s="9" t="n">
        <v>35</v>
      </c>
      <c r="CJ88" s="9" t="n">
        <v>29</v>
      </c>
      <c r="CK88" s="11" t="n">
        <f aca="false">(CG88+CH88+CI88+CJ88)/4</f>
        <v>33.5</v>
      </c>
      <c r="CL88" s="11" t="n">
        <f aca="false">(CG88/AM88)</f>
        <v>0.573913043478261</v>
      </c>
      <c r="CM88" s="11" t="n">
        <f aca="false">(CH88/AN88)</f>
        <v>0.333333333333333</v>
      </c>
      <c r="CN88" s="11" t="n">
        <f aca="false">(CI88/AO88)</f>
        <v>0.388888888888889</v>
      </c>
      <c r="CO88" s="9" t="n">
        <f aca="false">(CJ88/AP88)</f>
        <v>0.333333333333333</v>
      </c>
      <c r="CP88" s="9" t="n">
        <f aca="false">(CK88/AQ88)</f>
        <v>0.440789473684211</v>
      </c>
      <c r="CQ88" s="9" t="n">
        <f aca="false">(100*CP88)</f>
        <v>44.0789473684211</v>
      </c>
      <c r="CR88" s="18" t="n">
        <v>3</v>
      </c>
      <c r="CS88" s="9" t="n">
        <v>82.3</v>
      </c>
      <c r="CT88" s="9" t="n">
        <v>79.9</v>
      </c>
      <c r="CU88" s="9" t="n">
        <v>79.1</v>
      </c>
      <c r="CV88" s="9" t="n">
        <v>84.1</v>
      </c>
      <c r="CW88" s="11" t="n">
        <f aca="false">(CS88+CT88+CU88+CV88)/4</f>
        <v>81.35</v>
      </c>
      <c r="CX88" s="9" t="n">
        <v>0</v>
      </c>
      <c r="CY88" s="9" t="n">
        <v>0</v>
      </c>
      <c r="CZ88" s="9" t="n">
        <v>0</v>
      </c>
      <c r="DA88" s="9" t="n">
        <v>0</v>
      </c>
      <c r="DB88" s="11" t="n">
        <f aca="false">(CX88+CY88+CZ88+DA88)/4</f>
        <v>0</v>
      </c>
      <c r="DC88" s="9" t="n">
        <v>1</v>
      </c>
      <c r="DD88" s="9" t="n">
        <v>1</v>
      </c>
      <c r="DE88" s="9" t="n">
        <v>1</v>
      </c>
      <c r="DF88" s="9" t="n">
        <v>1</v>
      </c>
      <c r="DG88" s="11" t="n">
        <f aca="false">(DC88+DD88+DE88+DF88)/4</f>
        <v>1</v>
      </c>
      <c r="DH88" s="9" t="n">
        <v>1</v>
      </c>
      <c r="DI88" s="9" t="n">
        <v>1</v>
      </c>
      <c r="DJ88" s="9" t="n">
        <v>1</v>
      </c>
      <c r="DK88" s="9" t="n">
        <v>1</v>
      </c>
      <c r="DL88" s="11" t="n">
        <f aca="false">(DH88+DI88+DJ88+DK88)/4</f>
        <v>1</v>
      </c>
      <c r="DM88" s="9" t="n">
        <v>184</v>
      </c>
      <c r="DN88" s="9" t="n">
        <v>215</v>
      </c>
      <c r="DO88" s="9" t="n">
        <v>154</v>
      </c>
      <c r="DP88" s="9" t="n">
        <v>68</v>
      </c>
      <c r="DQ88" s="11" t="n">
        <f aca="false">(DM88+DN88+DO88+DP88)/4</f>
        <v>155.25</v>
      </c>
      <c r="DR88" s="9" t="n">
        <v>22</v>
      </c>
      <c r="DS88" s="9" t="n">
        <v>18</v>
      </c>
      <c r="DT88" s="9" t="n">
        <v>17</v>
      </c>
      <c r="DU88" s="9" t="n">
        <v>16</v>
      </c>
      <c r="DV88" s="11" t="n">
        <f aca="false">(DR88+DS88+DT88+DU88)/4</f>
        <v>18.25</v>
      </c>
      <c r="DW88" s="9" t="n">
        <v>0</v>
      </c>
      <c r="DX88" s="9" t="n">
        <v>0</v>
      </c>
      <c r="DY88" s="9" t="n">
        <v>0</v>
      </c>
      <c r="DZ88" s="9" t="n">
        <v>0</v>
      </c>
      <c r="EA88" s="11" t="n">
        <f aca="false">(DW88+DX88+DY88+DZ88)/4</f>
        <v>0</v>
      </c>
      <c r="EB88" s="11" t="n">
        <f aca="false">(DW88/DR88)</f>
        <v>0</v>
      </c>
      <c r="EC88" s="11" t="n">
        <f aca="false">(DX88/DS88)</f>
        <v>0</v>
      </c>
      <c r="ED88" s="11" t="n">
        <f aca="false">(DY88/DT88)</f>
        <v>0</v>
      </c>
      <c r="EE88" s="11" t="n">
        <f aca="false">(DZ88/DU88)</f>
        <v>0</v>
      </c>
      <c r="EF88" s="11" t="n">
        <f aca="false">(EA88/DV88)</f>
        <v>0</v>
      </c>
      <c r="EG88" s="11" t="n">
        <f aca="false">(100*EF88)</f>
        <v>0</v>
      </c>
      <c r="EH88" s="9" t="n">
        <v>0</v>
      </c>
      <c r="EI88" s="9" t="n">
        <v>4</v>
      </c>
      <c r="EJ88" s="9" t="n">
        <v>5</v>
      </c>
      <c r="EK88" s="19" t="n">
        <v>2</v>
      </c>
      <c r="EL88" s="9" t="n">
        <v>3</v>
      </c>
      <c r="EM88" s="9" t="n">
        <f aca="false">(EI88+EJ88+EK88+EL88)/4</f>
        <v>3.5</v>
      </c>
      <c r="EN88" s="9" t="n">
        <f aca="false">(EI88/DR88)</f>
        <v>0.181818181818182</v>
      </c>
      <c r="EO88" s="9" t="n">
        <f aca="false">(EJ88/DS88)</f>
        <v>0.277777777777778</v>
      </c>
      <c r="EP88" s="9" t="n">
        <f aca="false">(EK88/DT88)</f>
        <v>0.117647058823529</v>
      </c>
      <c r="EQ88" s="9" t="n">
        <f aca="false">(EL88/DU88)</f>
        <v>0.1875</v>
      </c>
      <c r="ER88" s="9" t="n">
        <f aca="false">EM88/DV88</f>
        <v>0.191780821917808</v>
      </c>
      <c r="ES88" s="9" t="n">
        <f aca="false">(100*ER88)</f>
        <v>19.1780821917808</v>
      </c>
      <c r="ET88" s="9" t="n">
        <v>2</v>
      </c>
      <c r="EU88" s="18" t="n">
        <v>0</v>
      </c>
      <c r="EV88" s="9" t="n">
        <v>0</v>
      </c>
      <c r="EW88" s="9" t="n">
        <v>0</v>
      </c>
      <c r="EX88" s="9" t="n">
        <v>0</v>
      </c>
      <c r="EY88" s="11" t="n">
        <f aca="false">(EU88+EV88+EW88+EX88)/4</f>
        <v>0</v>
      </c>
      <c r="EZ88" s="11" t="n">
        <f aca="false">(EU88/DR88)</f>
        <v>0</v>
      </c>
      <c r="FA88" s="11" t="n">
        <f aca="false">(EV88/DS88)</f>
        <v>0</v>
      </c>
      <c r="FB88" s="11" t="n">
        <f aca="false">(EW88/DT88)</f>
        <v>0</v>
      </c>
      <c r="FC88" s="11" t="n">
        <f aca="false">(EX88/DU88)</f>
        <v>0</v>
      </c>
      <c r="FD88" s="11" t="n">
        <f aca="false">(EY88/DV88)</f>
        <v>0</v>
      </c>
      <c r="FE88" s="11" t="n">
        <f aca="false">(100*FD88)</f>
        <v>0</v>
      </c>
      <c r="FF88" s="9" t="n">
        <v>0</v>
      </c>
      <c r="FG88" s="9" t="n">
        <v>11</v>
      </c>
      <c r="FH88" s="9" t="n">
        <v>16</v>
      </c>
      <c r="FI88" s="9" t="n">
        <v>15</v>
      </c>
      <c r="FJ88" s="9" t="n">
        <v>22</v>
      </c>
      <c r="FK88" s="11" t="n">
        <f aca="false">(FG88+FH88+FI88+FJ88)/4</f>
        <v>16</v>
      </c>
      <c r="FL88" s="11" t="n">
        <f aca="false">(FG88/DR88)</f>
        <v>0.5</v>
      </c>
      <c r="FM88" s="11" t="n">
        <f aca="false">(FH88/DS88)</f>
        <v>0.888888888888889</v>
      </c>
      <c r="FN88" s="11" t="n">
        <f aca="false">(FI88/DT88)</f>
        <v>0.882352941176471</v>
      </c>
      <c r="FO88" s="11" t="n">
        <f aca="false">(FJ88/DU88)</f>
        <v>1.375</v>
      </c>
      <c r="FP88" s="11" t="n">
        <f aca="false">(FK88/DV88)</f>
        <v>0.876712328767123</v>
      </c>
      <c r="FQ88" s="11" t="n">
        <f aca="false">(100*FP88)</f>
        <v>87.6712328767123</v>
      </c>
      <c r="FR88" s="9" t="n">
        <v>3</v>
      </c>
      <c r="FS88" s="9" t="n">
        <v>82.6</v>
      </c>
      <c r="FT88" s="9" t="n">
        <v>76.6</v>
      </c>
      <c r="FU88" s="9" t="n">
        <v>80.3</v>
      </c>
      <c r="FV88" s="9" t="n">
        <v>70.8</v>
      </c>
      <c r="FW88" s="11" t="n">
        <f aca="false">(FS88+FT88+FU88+FV88)/4</f>
        <v>77.575</v>
      </c>
      <c r="FX88" s="9" t="n">
        <v>0</v>
      </c>
      <c r="FY88" s="9" t="n">
        <v>0</v>
      </c>
      <c r="FZ88" s="9" t="n">
        <v>0</v>
      </c>
      <c r="GA88" s="9" t="n">
        <v>0</v>
      </c>
      <c r="GB88" s="11" t="n">
        <f aca="false">(FX88+FY88+FZ88+GA88)/4</f>
        <v>0</v>
      </c>
      <c r="GC88" s="9" t="n">
        <v>1</v>
      </c>
      <c r="GD88" s="9" t="n">
        <v>0</v>
      </c>
      <c r="GE88" s="9" t="n">
        <v>0</v>
      </c>
      <c r="GF88" s="9" t="n">
        <v>0</v>
      </c>
      <c r="GG88" s="11" t="n">
        <f aca="false">(GC88+GD88+GE88+GF88)/4</f>
        <v>0.25</v>
      </c>
      <c r="GH88" s="9" t="n">
        <v>0</v>
      </c>
      <c r="GI88" s="9" t="n">
        <v>1</v>
      </c>
      <c r="GJ88" s="9" t="n">
        <v>0</v>
      </c>
      <c r="GK88" s="9" t="n">
        <v>0</v>
      </c>
      <c r="GL88" s="11" t="n">
        <f aca="false">(GH88+GI88+GJ88+GK88)/4</f>
        <v>0.25</v>
      </c>
      <c r="GM88" s="9" t="n">
        <v>62</v>
      </c>
      <c r="GN88" s="9" t="n">
        <v>73</v>
      </c>
      <c r="GO88" s="9" t="n">
        <v>82</v>
      </c>
      <c r="GP88" s="9" t="n">
        <v>120</v>
      </c>
      <c r="GQ88" s="11" t="n">
        <f aca="false">(GM88+GN88+GO88+GP88)/4</f>
        <v>84.25</v>
      </c>
      <c r="GR88" s="9" t="n">
        <v>19</v>
      </c>
      <c r="GS88" s="9" t="n">
        <v>23</v>
      </c>
      <c r="GT88" s="9" t="n">
        <v>35</v>
      </c>
      <c r="GU88" s="9" t="n">
        <v>17</v>
      </c>
      <c r="GV88" s="11" t="n">
        <f aca="false">(GR88+GS88+GT88+GU88)/4</f>
        <v>23.5</v>
      </c>
      <c r="GW88" s="9" t="n">
        <v>0</v>
      </c>
      <c r="GX88" s="9" t="n">
        <v>0</v>
      </c>
      <c r="GY88" s="9" t="n">
        <v>0</v>
      </c>
      <c r="GZ88" s="9" t="n">
        <v>0</v>
      </c>
      <c r="HA88" s="11" t="n">
        <f aca="false">(GW88+GX88+GY88+GZ88)/4</f>
        <v>0</v>
      </c>
      <c r="HB88" s="9" t="n">
        <f aca="false">(GW88/GR88)</f>
        <v>0</v>
      </c>
      <c r="HC88" s="9" t="n">
        <f aca="false">(GX88/GS88)</f>
        <v>0</v>
      </c>
      <c r="HD88" s="9" t="n">
        <f aca="false">(GY88/GT88)</f>
        <v>0</v>
      </c>
      <c r="HE88" s="9" t="n">
        <f aca="false">(GZ88/GU88)/4</f>
        <v>0</v>
      </c>
      <c r="HF88" s="9" t="n">
        <f aca="false">(HB88+HC88+HD88+HE88)/4</f>
        <v>0</v>
      </c>
      <c r="HG88" s="9" t="n">
        <f aca="false">(100*HF88)</f>
        <v>0</v>
      </c>
      <c r="HH88" s="18" t="n">
        <v>0</v>
      </c>
      <c r="HI88" s="9" t="n">
        <v>1</v>
      </c>
      <c r="HJ88" s="9" t="n">
        <v>0</v>
      </c>
      <c r="HK88" s="9" t="n">
        <v>0</v>
      </c>
      <c r="HL88" s="19" t="n">
        <v>0</v>
      </c>
      <c r="HM88" s="9" t="n">
        <f aca="false">(HI88+HJ88+HK88+HL88)/4</f>
        <v>0.25</v>
      </c>
      <c r="HN88" s="9" t="n">
        <f aca="false">(HI88/GR88)</f>
        <v>0.0526315789473684</v>
      </c>
      <c r="HO88" s="9" t="n">
        <f aca="false">(HJ88/GS88)</f>
        <v>0</v>
      </c>
      <c r="HP88" s="9" t="n">
        <f aca="false">(HK88/GT88)</f>
        <v>0</v>
      </c>
      <c r="HQ88" s="9" t="n">
        <f aca="false">(HL88/GU88)</f>
        <v>0</v>
      </c>
      <c r="HR88" s="9" t="n">
        <f aca="false">(HM88/GV88)</f>
        <v>0.0106382978723404</v>
      </c>
      <c r="HS88" s="9" t="n">
        <f aca="false">(100*HR88)</f>
        <v>1.06382978723404</v>
      </c>
      <c r="HT88" s="18" t="n">
        <v>1</v>
      </c>
      <c r="HU88" s="9" t="n">
        <v>0</v>
      </c>
      <c r="HV88" s="9" t="n">
        <v>1</v>
      </c>
      <c r="HW88" s="9" t="n">
        <v>0</v>
      </c>
      <c r="HX88" s="19" t="n">
        <v>0</v>
      </c>
      <c r="HY88" s="9" t="n">
        <f aca="false">(HU88+HV88+HW88+HX88)/4</f>
        <v>0.25</v>
      </c>
      <c r="HZ88" s="9" t="n">
        <f aca="false">(HU88/GR88)</f>
        <v>0</v>
      </c>
      <c r="IA88" s="9" t="n">
        <f aca="false">HV88/GS88</f>
        <v>0.0434782608695652</v>
      </c>
      <c r="IB88" s="9" t="n">
        <f aca="false">(HW88/GT88)</f>
        <v>0</v>
      </c>
      <c r="IC88" s="9" t="n">
        <f aca="false">(HX88/GU88)</f>
        <v>0</v>
      </c>
      <c r="ID88" s="9" t="n">
        <f aca="false">(HY88/GV88)</f>
        <v>0.0106382978723404</v>
      </c>
      <c r="IE88" s="9" t="n">
        <f aca="false">(100*ID88)</f>
        <v>1.06382978723404</v>
      </c>
      <c r="IF88" s="18" t="n">
        <v>1</v>
      </c>
      <c r="IG88" s="9" t="n">
        <v>0</v>
      </c>
      <c r="IH88" s="9" t="n">
        <v>6</v>
      </c>
      <c r="II88" s="19" t="n">
        <v>0</v>
      </c>
      <c r="IJ88" s="9" t="n">
        <v>0</v>
      </c>
      <c r="IK88" s="9" t="n">
        <f aca="false">(IG88+IH88+II88+IJ88)/4</f>
        <v>1.5</v>
      </c>
      <c r="IL88" s="9" t="n">
        <f aca="false">(IG88/GM88)</f>
        <v>0</v>
      </c>
      <c r="IM88" s="9" t="n">
        <f aca="false">(IH88/GN88)</f>
        <v>0.0821917808219178</v>
      </c>
      <c r="IN88" s="9" t="n">
        <f aca="false">(II88/GO88)</f>
        <v>0</v>
      </c>
      <c r="IO88" s="9" t="n">
        <f aca="false">(IJ88/GP88)</f>
        <v>0</v>
      </c>
      <c r="IP88" s="9" t="n">
        <f aca="false">(IK88/GQ88)</f>
        <v>0.0178041543026706</v>
      </c>
      <c r="IQ88" s="9" t="n">
        <f aca="false">(100*IP88)</f>
        <v>1.78041543026706</v>
      </c>
      <c r="IR88" s="18" t="n">
        <v>1</v>
      </c>
      <c r="IS88" s="9" t="n">
        <v>54.3</v>
      </c>
      <c r="IT88" s="9" t="n">
        <v>84.4</v>
      </c>
      <c r="IU88" s="19" t="n">
        <v>78</v>
      </c>
      <c r="IV88" s="9" t="n">
        <v>75.2</v>
      </c>
      <c r="IW88" s="9" t="n">
        <f aca="false">(IS88+IT88+IU88+IV88)/4</f>
        <v>72.975</v>
      </c>
      <c r="IX88" s="16" t="n">
        <v>45202</v>
      </c>
      <c r="IY88" s="10" t="s">
        <v>268</v>
      </c>
    </row>
    <row r="89" customFormat="false" ht="15.75" hidden="false" customHeight="true" outlineLevel="0" collapsed="false">
      <c r="A89" s="9" t="s">
        <v>343</v>
      </c>
      <c r="B89" s="10" t="s">
        <v>472</v>
      </c>
      <c r="C89" s="10" t="s">
        <v>400</v>
      </c>
      <c r="D89" s="9" t="n">
        <v>3</v>
      </c>
      <c r="E89" s="9" t="n">
        <v>30</v>
      </c>
      <c r="F89" s="10" t="s">
        <v>473</v>
      </c>
      <c r="G89" s="10" t="s">
        <v>297</v>
      </c>
      <c r="H89" s="9" t="n">
        <v>21</v>
      </c>
      <c r="I89" s="9" t="n">
        <v>3</v>
      </c>
      <c r="J89" s="12" t="s">
        <v>264</v>
      </c>
      <c r="K89" s="13" t="s">
        <v>474</v>
      </c>
      <c r="L89" s="13" t="s">
        <v>475</v>
      </c>
      <c r="M89" s="14" t="n">
        <v>1316</v>
      </c>
      <c r="N89" s="15" t="n">
        <v>45133</v>
      </c>
      <c r="O89" s="10" t="s">
        <v>267</v>
      </c>
      <c r="P89" s="9"/>
      <c r="Q89" s="9" t="n">
        <v>31.22</v>
      </c>
      <c r="R89" s="9" t="n">
        <v>12</v>
      </c>
      <c r="S89" s="9" t="n">
        <v>-15</v>
      </c>
      <c r="T89" s="9" t="n">
        <v>80</v>
      </c>
      <c r="U89" s="9"/>
      <c r="V89" s="9" t="n">
        <f aca="false">(34.6/100)</f>
        <v>0.346</v>
      </c>
      <c r="W89" s="9" t="s">
        <v>476</v>
      </c>
      <c r="X89" s="9" t="n">
        <v>0</v>
      </c>
      <c r="Y89" s="9" t="n">
        <v>0</v>
      </c>
      <c r="Z89" s="9" t="n">
        <v>0</v>
      </c>
      <c r="AA89" s="9" t="n">
        <v>0</v>
      </c>
      <c r="AB89" s="11" t="n">
        <f aca="false">(X89+Y89+Z89+AA89)/4</f>
        <v>0</v>
      </c>
      <c r="AC89" s="9" t="n">
        <v>1</v>
      </c>
      <c r="AD89" s="9" t="n">
        <v>1</v>
      </c>
      <c r="AE89" s="9" t="n">
        <v>1</v>
      </c>
      <c r="AF89" s="9" t="n">
        <v>1</v>
      </c>
      <c r="AG89" s="11" t="n">
        <f aca="false">(AC89+AD89+AE89+AF89)/4</f>
        <v>1</v>
      </c>
      <c r="AH89" s="9" t="n">
        <v>1</v>
      </c>
      <c r="AI89" s="9" t="n">
        <v>1</v>
      </c>
      <c r="AJ89" s="9" t="n">
        <v>1</v>
      </c>
      <c r="AK89" s="9" t="n">
        <v>1</v>
      </c>
      <c r="AL89" s="11" t="n">
        <f aca="false">(AH89+AI89+AJ89+AK89)/4</f>
        <v>1</v>
      </c>
      <c r="AM89" s="9" t="n">
        <v>26</v>
      </c>
      <c r="AN89" s="9" t="n">
        <v>20</v>
      </c>
      <c r="AO89" s="9" t="n">
        <v>78</v>
      </c>
      <c r="AP89" s="9" t="n">
        <v>20</v>
      </c>
      <c r="AQ89" s="11" t="n">
        <f aca="false">(AM89+AN89+AO89+AP89)/4</f>
        <v>36</v>
      </c>
      <c r="AR89" s="9" t="n">
        <v>36</v>
      </c>
      <c r="AS89" s="9" t="n">
        <v>30</v>
      </c>
      <c r="AT89" s="9" t="n">
        <v>5</v>
      </c>
      <c r="AU89" s="9" t="n">
        <v>15</v>
      </c>
      <c r="AV89" s="11" t="n">
        <f aca="false">(AR89+AS89+AT89+AU89)/4</f>
        <v>21.5</v>
      </c>
      <c r="AW89" s="9" t="n">
        <v>0</v>
      </c>
      <c r="AX89" s="9" t="n">
        <v>0</v>
      </c>
      <c r="AY89" s="9" t="n">
        <v>0</v>
      </c>
      <c r="AZ89" s="9" t="n">
        <v>0</v>
      </c>
      <c r="BA89" s="11" t="n">
        <f aca="false">(AW89+AX89+AY89+AZ89)/4</f>
        <v>0</v>
      </c>
      <c r="BB89" s="11" t="n">
        <f aca="false">(AW89/AR89)</f>
        <v>0</v>
      </c>
      <c r="BC89" s="11" t="n">
        <f aca="false">(AX89/AS89)</f>
        <v>0</v>
      </c>
      <c r="BD89" s="11" t="n">
        <f aca="false">(AY89/AT89)</f>
        <v>0</v>
      </c>
      <c r="BE89" s="11" t="n">
        <f aca="false">(AZ89/AU89)</f>
        <v>0</v>
      </c>
      <c r="BF89" s="11" t="n">
        <f aca="false">(BA89/AV89)</f>
        <v>0</v>
      </c>
      <c r="BG89" s="11" t="n">
        <f aca="false">(BF89*100)</f>
        <v>0</v>
      </c>
      <c r="BH89" s="9" t="n">
        <v>0</v>
      </c>
      <c r="BI89" s="9" t="n">
        <v>8</v>
      </c>
      <c r="BJ89" s="9" t="n">
        <v>10</v>
      </c>
      <c r="BK89" s="9" t="n">
        <v>3</v>
      </c>
      <c r="BL89" s="9" t="n">
        <v>5</v>
      </c>
      <c r="BM89" s="11" t="n">
        <f aca="false">(BI89+BJ89+BK89+BL89)/4</f>
        <v>6.5</v>
      </c>
      <c r="BN89" s="11" t="n">
        <f aca="false">(BI89/AR89)</f>
        <v>0.222222222222222</v>
      </c>
      <c r="BO89" s="11" t="n">
        <f aca="false">(BJ89/AS89)</f>
        <v>0.333333333333333</v>
      </c>
      <c r="BP89" s="11" t="n">
        <f aca="false">(BK89/AT89)</f>
        <v>0.6</v>
      </c>
      <c r="BQ89" s="11" t="n">
        <f aca="false">(BL89/AU89)</f>
        <v>0.333333333333333</v>
      </c>
      <c r="BR89" s="11" t="n">
        <f aca="false">(BM89/AV89)</f>
        <v>0.302325581395349</v>
      </c>
      <c r="BS89" s="11" t="n">
        <f aca="false">(100*BR89)</f>
        <v>30.2325581395349</v>
      </c>
      <c r="BT89" s="9" t="n">
        <v>3</v>
      </c>
      <c r="BU89" s="9" t="n">
        <v>0</v>
      </c>
      <c r="BV89" s="9" t="n">
        <v>0</v>
      </c>
      <c r="BW89" s="9" t="n">
        <v>0</v>
      </c>
      <c r="BX89" s="9" t="n">
        <v>0</v>
      </c>
      <c r="BY89" s="11" t="n">
        <f aca="false">(BU89+BV89+BW89+BX89)/4</f>
        <v>0</v>
      </c>
      <c r="BZ89" s="11" t="n">
        <f aca="false">(BU89/AR89)</f>
        <v>0</v>
      </c>
      <c r="CA89" s="11" t="n">
        <f aca="false">(BV89/AS89)</f>
        <v>0</v>
      </c>
      <c r="CB89" s="11" t="n">
        <f aca="false">(BW89/AT89)</f>
        <v>0</v>
      </c>
      <c r="CC89" s="11" t="n">
        <f aca="false">(BX89/AU89)</f>
        <v>0</v>
      </c>
      <c r="CD89" s="11" t="n">
        <f aca="false">(BY89/AV89)</f>
        <v>0</v>
      </c>
      <c r="CE89" s="11" t="n">
        <f aca="false">(100*CD89)</f>
        <v>0</v>
      </c>
      <c r="CF89" s="9" t="n">
        <v>0</v>
      </c>
      <c r="CG89" s="9" t="n">
        <v>17</v>
      </c>
      <c r="CH89" s="9" t="n">
        <v>11</v>
      </c>
      <c r="CI89" s="9" t="n">
        <v>26</v>
      </c>
      <c r="CJ89" s="9" t="n">
        <v>4</v>
      </c>
      <c r="CK89" s="11" t="n">
        <f aca="false">(CG89+CH89+CI89+CJ89)/4</f>
        <v>14.5</v>
      </c>
      <c r="CL89" s="11" t="n">
        <f aca="false">(CG89/AM89)</f>
        <v>0.653846153846154</v>
      </c>
      <c r="CM89" s="11" t="n">
        <f aca="false">(CH89/AN89)</f>
        <v>0.55</v>
      </c>
      <c r="CN89" s="11" t="n">
        <f aca="false">(CI89/AO89)</f>
        <v>0.333333333333333</v>
      </c>
      <c r="CO89" s="9" t="n">
        <f aca="false">(CJ89/AP89)</f>
        <v>0.2</v>
      </c>
      <c r="CP89" s="9" t="n">
        <f aca="false">(CK89/AQ89)</f>
        <v>0.402777777777778</v>
      </c>
      <c r="CQ89" s="9" t="n">
        <f aca="false">(100*CP89)</f>
        <v>40.2777777777778</v>
      </c>
      <c r="CR89" s="18" t="n">
        <v>3</v>
      </c>
      <c r="CS89" s="9" t="n">
        <v>68.1</v>
      </c>
      <c r="CT89" s="9" t="n">
        <v>77.9</v>
      </c>
      <c r="CU89" s="9" t="n">
        <v>45.1</v>
      </c>
      <c r="CV89" s="9" t="n">
        <v>66.8</v>
      </c>
      <c r="CW89" s="11" t="n">
        <f aca="false">(CS89+CT89+CU89+CV89)/4</f>
        <v>64.475</v>
      </c>
      <c r="CX89" s="9" t="n">
        <v>0</v>
      </c>
      <c r="CY89" s="9" t="n">
        <v>0</v>
      </c>
      <c r="CZ89" s="9" t="n">
        <v>0</v>
      </c>
      <c r="DA89" s="9" t="n">
        <v>0</v>
      </c>
      <c r="DB89" s="11" t="n">
        <f aca="false">(CX89+CY89+CZ89+DA89)/4</f>
        <v>0</v>
      </c>
      <c r="DC89" s="9" t="n">
        <v>1</v>
      </c>
      <c r="DD89" s="9" t="n">
        <v>1</v>
      </c>
      <c r="DE89" s="9" t="n">
        <v>1</v>
      </c>
      <c r="DF89" s="9" t="n">
        <v>1</v>
      </c>
      <c r="DG89" s="11" t="n">
        <f aca="false">(DC89+DD89+DE89+DF89)/4</f>
        <v>1</v>
      </c>
      <c r="DH89" s="9" t="n">
        <v>1</v>
      </c>
      <c r="DI89" s="9" t="n">
        <v>1</v>
      </c>
      <c r="DJ89" s="9" t="n">
        <v>1</v>
      </c>
      <c r="DK89" s="9" t="n">
        <v>1</v>
      </c>
      <c r="DL89" s="11" t="n">
        <f aca="false">(DH89+DI89+DJ89+DK89)/4</f>
        <v>1</v>
      </c>
      <c r="DM89" s="9" t="n">
        <v>42</v>
      </c>
      <c r="DN89" s="9" t="n">
        <v>104</v>
      </c>
      <c r="DO89" s="9" t="n">
        <v>65</v>
      </c>
      <c r="DP89" s="9" t="n">
        <v>53</v>
      </c>
      <c r="DQ89" s="11" t="n">
        <f aca="false">(DM89+DN89+DO89+DP89)/4</f>
        <v>66</v>
      </c>
      <c r="DR89" s="9" t="n">
        <v>12</v>
      </c>
      <c r="DS89" s="9" t="n">
        <v>16</v>
      </c>
      <c r="DT89" s="9" t="n">
        <v>33</v>
      </c>
      <c r="DU89" s="9" t="n">
        <v>46</v>
      </c>
      <c r="DV89" s="11" t="n">
        <f aca="false">(DR89+DS89+DT89+DU89)/4</f>
        <v>26.75</v>
      </c>
      <c r="DW89" s="9" t="n">
        <v>0</v>
      </c>
      <c r="DX89" s="9" t="n">
        <v>0</v>
      </c>
      <c r="DY89" s="9" t="n">
        <v>0</v>
      </c>
      <c r="DZ89" s="9" t="n">
        <v>0</v>
      </c>
      <c r="EA89" s="11" t="n">
        <f aca="false">(DW89+DX89+DY89+DZ89)/4</f>
        <v>0</v>
      </c>
      <c r="EB89" s="11" t="n">
        <f aca="false">(DW89/DR89)</f>
        <v>0</v>
      </c>
      <c r="EC89" s="11" t="n">
        <f aca="false">(DX89/DS89)</f>
        <v>0</v>
      </c>
      <c r="ED89" s="11" t="n">
        <f aca="false">(DY89/DT89)</f>
        <v>0</v>
      </c>
      <c r="EE89" s="11" t="n">
        <f aca="false">(DZ89/DU89)</f>
        <v>0</v>
      </c>
      <c r="EF89" s="11" t="n">
        <f aca="false">(EA89/DV89)</f>
        <v>0</v>
      </c>
      <c r="EG89" s="11" t="n">
        <f aca="false">(100*EF89)</f>
        <v>0</v>
      </c>
      <c r="EH89" s="9" t="n">
        <v>0</v>
      </c>
      <c r="EI89" s="9" t="n">
        <v>6</v>
      </c>
      <c r="EJ89" s="9" t="n">
        <v>4</v>
      </c>
      <c r="EK89" s="19" t="n">
        <v>6</v>
      </c>
      <c r="EL89" s="9" t="n">
        <v>11</v>
      </c>
      <c r="EM89" s="9" t="n">
        <f aca="false">(EI89+EJ89+EK89+EL89)/4</f>
        <v>6.75</v>
      </c>
      <c r="EN89" s="9" t="n">
        <f aca="false">(EI89/DR89)</f>
        <v>0.5</v>
      </c>
      <c r="EO89" s="9" t="n">
        <f aca="false">(EJ89/DS89)</f>
        <v>0.25</v>
      </c>
      <c r="EP89" s="9" t="n">
        <f aca="false">(EK89/DT89)</f>
        <v>0.181818181818182</v>
      </c>
      <c r="EQ89" s="9" t="n">
        <f aca="false">(EL89/DU89)</f>
        <v>0.239130434782609</v>
      </c>
      <c r="ER89" s="9" t="n">
        <f aca="false">EM89/DV89</f>
        <v>0.252336448598131</v>
      </c>
      <c r="ES89" s="9" t="n">
        <f aca="false">(100*ER89)</f>
        <v>25.2336448598131</v>
      </c>
      <c r="ET89" s="9" t="n">
        <v>2</v>
      </c>
      <c r="EU89" s="18" t="n">
        <v>0</v>
      </c>
      <c r="EV89" s="9" t="n">
        <v>0</v>
      </c>
      <c r="EW89" s="9" t="n">
        <v>0</v>
      </c>
      <c r="EX89" s="9" t="n">
        <v>0</v>
      </c>
      <c r="EY89" s="11" t="n">
        <f aca="false">(EU89+EV89+EW89+EX89)/4</f>
        <v>0</v>
      </c>
      <c r="EZ89" s="11" t="n">
        <f aca="false">(EU89/DR89)</f>
        <v>0</v>
      </c>
      <c r="FA89" s="11" t="n">
        <f aca="false">(EV89/DS89)</f>
        <v>0</v>
      </c>
      <c r="FB89" s="11" t="n">
        <f aca="false">(EW89/DT89)</f>
        <v>0</v>
      </c>
      <c r="FC89" s="11" t="n">
        <f aca="false">(EX89/DU89)</f>
        <v>0</v>
      </c>
      <c r="FD89" s="11" t="n">
        <f aca="false">(EY89/DV89)</f>
        <v>0</v>
      </c>
      <c r="FE89" s="11" t="n">
        <f aca="false">(100*FD89)</f>
        <v>0</v>
      </c>
      <c r="FF89" s="9" t="n">
        <v>0</v>
      </c>
      <c r="FG89" s="9" t="n">
        <v>12</v>
      </c>
      <c r="FH89" s="9" t="n">
        <v>26</v>
      </c>
      <c r="FI89" s="9" t="n">
        <v>21</v>
      </c>
      <c r="FJ89" s="9" t="n">
        <v>18</v>
      </c>
      <c r="FK89" s="11" t="n">
        <f aca="false">(FG89+FH89+FI89+FJ89)/4</f>
        <v>19.25</v>
      </c>
      <c r="FL89" s="11" t="n">
        <f aca="false">(FG89/DR89)</f>
        <v>1</v>
      </c>
      <c r="FM89" s="11" t="n">
        <f aca="false">(FH89/DS89)</f>
        <v>1.625</v>
      </c>
      <c r="FN89" s="11" t="n">
        <f aca="false">(FI89/DT89)</f>
        <v>0.636363636363636</v>
      </c>
      <c r="FO89" s="11" t="n">
        <f aca="false">(FJ89/DU89)</f>
        <v>0.391304347826087</v>
      </c>
      <c r="FP89" s="11" t="n">
        <f aca="false">(FK89/DV89)</f>
        <v>0.719626168224299</v>
      </c>
      <c r="FQ89" s="11" t="n">
        <f aca="false">(100*FP89)</f>
        <v>71.9626168224299</v>
      </c>
      <c r="FR89" s="9" t="n">
        <v>3</v>
      </c>
      <c r="FS89" s="9" t="n">
        <v>68.8</v>
      </c>
      <c r="FT89" s="9" t="n">
        <v>70.1</v>
      </c>
      <c r="FU89" s="9" t="n">
        <v>68.9</v>
      </c>
      <c r="FV89" s="9" t="n">
        <v>70.7</v>
      </c>
      <c r="FW89" s="11" t="n">
        <f aca="false">(FS89+FT89+FU89+FV89)/4</f>
        <v>69.625</v>
      </c>
      <c r="FX89" s="9" t="n">
        <v>0</v>
      </c>
      <c r="FY89" s="9" t="n">
        <v>0</v>
      </c>
      <c r="FZ89" s="9" t="n">
        <v>0</v>
      </c>
      <c r="GA89" s="9" t="n">
        <v>0</v>
      </c>
      <c r="GB89" s="11" t="n">
        <f aca="false">(FX89+FY89+FZ89+GA89)/4</f>
        <v>0</v>
      </c>
      <c r="GC89" s="9" t="n">
        <v>1</v>
      </c>
      <c r="GD89" s="9" t="n">
        <v>1</v>
      </c>
      <c r="GE89" s="9" t="n">
        <v>1</v>
      </c>
      <c r="GF89" s="9" t="n">
        <v>1</v>
      </c>
      <c r="GG89" s="11" t="n">
        <f aca="false">(GC89+GD89+GE89+GF89)/4</f>
        <v>1</v>
      </c>
      <c r="GH89" s="9" t="n">
        <v>1</v>
      </c>
      <c r="GI89" s="9" t="n">
        <v>1</v>
      </c>
      <c r="GJ89" s="9" t="n">
        <v>1</v>
      </c>
      <c r="GK89" s="9" t="n">
        <v>1</v>
      </c>
      <c r="GL89" s="11" t="n">
        <f aca="false">(GH89+GI89+GJ89+GK89)/4</f>
        <v>1</v>
      </c>
      <c r="GM89" s="9" t="n">
        <v>45</v>
      </c>
      <c r="GN89" s="9" t="n">
        <v>100</v>
      </c>
      <c r="GO89" s="9" t="n">
        <v>26</v>
      </c>
      <c r="GP89" s="9" t="n">
        <v>21</v>
      </c>
      <c r="GQ89" s="11" t="n">
        <f aca="false">(GM89+GN89+GO89+GP89)/4</f>
        <v>48</v>
      </c>
      <c r="GR89" s="9" t="n">
        <v>22</v>
      </c>
      <c r="GS89" s="9" t="n">
        <v>9</v>
      </c>
      <c r="GT89" s="9" t="n">
        <v>13</v>
      </c>
      <c r="GU89" s="9" t="n">
        <v>14</v>
      </c>
      <c r="GV89" s="11" t="n">
        <f aca="false">(GR89+GS89+GT89+GU89)/4</f>
        <v>14.5</v>
      </c>
      <c r="GW89" s="9" t="n">
        <v>0</v>
      </c>
      <c r="GX89" s="9" t="n">
        <v>0</v>
      </c>
      <c r="GY89" s="9" t="n">
        <v>0</v>
      </c>
      <c r="GZ89" s="9" t="n">
        <v>0</v>
      </c>
      <c r="HA89" s="11" t="n">
        <f aca="false">(GW89+GX89+GY89+GZ89)/4</f>
        <v>0</v>
      </c>
      <c r="HB89" s="9" t="n">
        <f aca="false">(GW89/GR89)</f>
        <v>0</v>
      </c>
      <c r="HC89" s="9" t="n">
        <f aca="false">(GX89/GS89)</f>
        <v>0</v>
      </c>
      <c r="HD89" s="9" t="n">
        <f aca="false">(GY89/GT89)</f>
        <v>0</v>
      </c>
      <c r="HE89" s="9" t="n">
        <f aca="false">(GZ89/GU89)/4</f>
        <v>0</v>
      </c>
      <c r="HF89" s="9" t="n">
        <f aca="false">(HB89+HC89+HD89+HE89)/4</f>
        <v>0</v>
      </c>
      <c r="HG89" s="9" t="n">
        <f aca="false">(100*HF89)</f>
        <v>0</v>
      </c>
      <c r="HH89" s="18" t="n">
        <v>0</v>
      </c>
      <c r="HI89" s="9" t="n">
        <v>3</v>
      </c>
      <c r="HJ89" s="9" t="n">
        <v>2</v>
      </c>
      <c r="HK89" s="9" t="n">
        <v>3</v>
      </c>
      <c r="HL89" s="19" t="n">
        <v>4</v>
      </c>
      <c r="HM89" s="9" t="n">
        <f aca="false">(HI89+HJ89+HK89+HL89)/4</f>
        <v>3</v>
      </c>
      <c r="HN89" s="9" t="n">
        <f aca="false">(HI89/GR89)</f>
        <v>0.136363636363636</v>
      </c>
      <c r="HO89" s="9" t="n">
        <f aca="false">(HJ89/GS89)</f>
        <v>0.222222222222222</v>
      </c>
      <c r="HP89" s="9" t="n">
        <f aca="false">(HK89/GT89)</f>
        <v>0.230769230769231</v>
      </c>
      <c r="HQ89" s="9" t="n">
        <f aca="false">(HL89/GU89)</f>
        <v>0.285714285714286</v>
      </c>
      <c r="HR89" s="9" t="n">
        <f aca="false">(HM89/GV89)</f>
        <v>0.206896551724138</v>
      </c>
      <c r="HS89" s="9" t="n">
        <f aca="false">(100*HR89)</f>
        <v>20.6896551724138</v>
      </c>
      <c r="HT89" s="18" t="n">
        <v>2</v>
      </c>
      <c r="HU89" s="9" t="n">
        <v>0</v>
      </c>
      <c r="HV89" s="9" t="n">
        <v>0</v>
      </c>
      <c r="HW89" s="9" t="n">
        <v>0</v>
      </c>
      <c r="HX89" s="19" t="n">
        <v>0</v>
      </c>
      <c r="HY89" s="9" t="n">
        <f aca="false">(HU89+HV89+HW89+HX89)/4</f>
        <v>0</v>
      </c>
      <c r="HZ89" s="9" t="n">
        <f aca="false">(HU89/GR89)</f>
        <v>0</v>
      </c>
      <c r="IA89" s="9" t="n">
        <f aca="false">HV89/GS89</f>
        <v>0</v>
      </c>
      <c r="IB89" s="9" t="n">
        <f aca="false">(HW89/GT89)</f>
        <v>0</v>
      </c>
      <c r="IC89" s="9" t="n">
        <f aca="false">(HX89/GU89)</f>
        <v>0</v>
      </c>
      <c r="ID89" s="9" t="n">
        <f aca="false">(HY89/GV89)</f>
        <v>0</v>
      </c>
      <c r="IE89" s="9" t="n">
        <f aca="false">(100*ID89)</f>
        <v>0</v>
      </c>
      <c r="IF89" s="18" t="n">
        <v>0</v>
      </c>
      <c r="IG89" s="9" t="n">
        <v>8</v>
      </c>
      <c r="IH89" s="9" t="n">
        <v>4</v>
      </c>
      <c r="II89" s="19" t="n">
        <v>7</v>
      </c>
      <c r="IJ89" s="9" t="n">
        <v>6</v>
      </c>
      <c r="IK89" s="9" t="n">
        <f aca="false">(IG89+IH89+II89+IJ89)/4</f>
        <v>6.25</v>
      </c>
      <c r="IL89" s="9" t="n">
        <f aca="false">(IG89/GM89)</f>
        <v>0.177777777777778</v>
      </c>
      <c r="IM89" s="9" t="n">
        <f aca="false">(IH89/GN89)</f>
        <v>0.04</v>
      </c>
      <c r="IN89" s="9" t="n">
        <f aca="false">(II89/GO89)</f>
        <v>0.269230769230769</v>
      </c>
      <c r="IO89" s="9" t="n">
        <f aca="false">(IJ89/GP89)</f>
        <v>0.285714285714286</v>
      </c>
      <c r="IP89" s="9" t="n">
        <f aca="false">(IK89/GQ89)</f>
        <v>0.130208333333333</v>
      </c>
      <c r="IQ89" s="9" t="n">
        <f aca="false">(100*IP89)</f>
        <v>13.0208333333333</v>
      </c>
      <c r="IR89" s="18" t="n">
        <v>2</v>
      </c>
      <c r="IS89" s="9" t="n">
        <v>46.7</v>
      </c>
      <c r="IT89" s="9" t="n">
        <v>51</v>
      </c>
      <c r="IU89" s="19" t="n">
        <v>58.5</v>
      </c>
      <c r="IV89" s="9" t="n">
        <v>63.5</v>
      </c>
      <c r="IW89" s="9" t="n">
        <f aca="false">(IS89+IT89+IU89+IV89)/4</f>
        <v>54.925</v>
      </c>
      <c r="IX89" s="16" t="n">
        <v>45204</v>
      </c>
      <c r="IY89" s="10" t="s">
        <v>268</v>
      </c>
    </row>
    <row r="90" customFormat="false" ht="15.75" hidden="false" customHeight="true" outlineLevel="0" collapsed="false">
      <c r="A90" s="9" t="s">
        <v>343</v>
      </c>
      <c r="B90" s="10" t="s">
        <v>472</v>
      </c>
      <c r="C90" s="10" t="s">
        <v>400</v>
      </c>
      <c r="D90" s="9" t="n">
        <v>3</v>
      </c>
      <c r="E90" s="9" t="n">
        <v>30</v>
      </c>
      <c r="F90" s="10" t="s">
        <v>477</v>
      </c>
      <c r="G90" s="10" t="s">
        <v>275</v>
      </c>
      <c r="H90" s="9" t="n">
        <v>21</v>
      </c>
      <c r="I90" s="9" t="n">
        <v>12</v>
      </c>
      <c r="J90" s="12" t="s">
        <v>270</v>
      </c>
      <c r="K90" s="20"/>
      <c r="L90" s="20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 t="n">
        <v>1</v>
      </c>
      <c r="Y90" s="9" t="n">
        <v>1</v>
      </c>
      <c r="Z90" s="9" t="n">
        <v>1</v>
      </c>
      <c r="AA90" s="9" t="n">
        <v>1</v>
      </c>
      <c r="AB90" s="11" t="n">
        <f aca="false">(X90+Y90+Z90+AA90)/4</f>
        <v>1</v>
      </c>
      <c r="AC90" s="9" t="n">
        <v>1</v>
      </c>
      <c r="AD90" s="9" t="n">
        <v>1</v>
      </c>
      <c r="AE90" s="9" t="n">
        <v>1</v>
      </c>
      <c r="AF90" s="9" t="n">
        <v>1</v>
      </c>
      <c r="AG90" s="11" t="n">
        <f aca="false">(AC90+AD90+AE90+AF90)/4</f>
        <v>1</v>
      </c>
      <c r="AH90" s="9" t="n">
        <v>1</v>
      </c>
      <c r="AI90" s="9" t="n">
        <v>1</v>
      </c>
      <c r="AJ90" s="9" t="n">
        <v>1</v>
      </c>
      <c r="AK90" s="9" t="n">
        <v>1</v>
      </c>
      <c r="AL90" s="11" t="n">
        <f aca="false">(AH90+AI90+AJ90+AK90)/4</f>
        <v>1</v>
      </c>
      <c r="AM90" s="9" t="n">
        <v>85</v>
      </c>
      <c r="AN90" s="9" t="n">
        <v>20</v>
      </c>
      <c r="AO90" s="9" t="n">
        <v>24</v>
      </c>
      <c r="AP90" s="9" t="n">
        <v>70</v>
      </c>
      <c r="AQ90" s="11" t="n">
        <f aca="false">(AM90+AN90+AO90+AP90)/4</f>
        <v>49.75</v>
      </c>
      <c r="AR90" s="9" t="n">
        <v>16</v>
      </c>
      <c r="AS90" s="9" t="n">
        <v>18</v>
      </c>
      <c r="AT90" s="9" t="n">
        <v>8</v>
      </c>
      <c r="AU90" s="9" t="n">
        <v>26</v>
      </c>
      <c r="AV90" s="11" t="n">
        <f aca="false">(AR90+AS90+AT90+AU90)/4</f>
        <v>17</v>
      </c>
      <c r="AW90" s="9" t="n">
        <v>0</v>
      </c>
      <c r="AX90" s="9" t="n">
        <v>0</v>
      </c>
      <c r="AY90" s="9" t="n">
        <v>0</v>
      </c>
      <c r="AZ90" s="9" t="n">
        <v>0</v>
      </c>
      <c r="BA90" s="11" t="n">
        <f aca="false">(AW90+AX90+AY90+AZ90)/4</f>
        <v>0</v>
      </c>
      <c r="BB90" s="11" t="n">
        <f aca="false">(AW90/AR90)</f>
        <v>0</v>
      </c>
      <c r="BC90" s="11" t="n">
        <f aca="false">(AX90/AS90)</f>
        <v>0</v>
      </c>
      <c r="BD90" s="11" t="n">
        <f aca="false">(AY90/AT90)</f>
        <v>0</v>
      </c>
      <c r="BE90" s="11" t="n">
        <f aca="false">(AZ90/AU90)</f>
        <v>0</v>
      </c>
      <c r="BF90" s="11" t="n">
        <f aca="false">(BA90/AV90)</f>
        <v>0</v>
      </c>
      <c r="BG90" s="11" t="n">
        <f aca="false">(BF90*100)</f>
        <v>0</v>
      </c>
      <c r="BH90" s="9" t="n">
        <v>0</v>
      </c>
      <c r="BI90" s="9" t="n">
        <v>3</v>
      </c>
      <c r="BJ90" s="9" t="n">
        <v>3</v>
      </c>
      <c r="BK90" s="9" t="n">
        <v>1</v>
      </c>
      <c r="BL90" s="9" t="n">
        <v>10</v>
      </c>
      <c r="BM90" s="11" t="n">
        <f aca="false">(BI90+BJ90+BK90+BL90)/4</f>
        <v>4.25</v>
      </c>
      <c r="BN90" s="11" t="n">
        <f aca="false">(BI90/AR90)</f>
        <v>0.1875</v>
      </c>
      <c r="BO90" s="11" t="n">
        <f aca="false">(BJ90/AS90)</f>
        <v>0.166666666666667</v>
      </c>
      <c r="BP90" s="11" t="n">
        <f aca="false">(BK90/AT90)</f>
        <v>0.125</v>
      </c>
      <c r="BQ90" s="11" t="n">
        <f aca="false">(BL90/AU90)</f>
        <v>0.384615384615385</v>
      </c>
      <c r="BR90" s="11" t="n">
        <f aca="false">(BM90/AV90)</f>
        <v>0.25</v>
      </c>
      <c r="BS90" s="11" t="n">
        <f aca="false">(100*BR90)</f>
        <v>25</v>
      </c>
      <c r="BT90" s="9" t="n">
        <v>2</v>
      </c>
      <c r="BU90" s="9" t="n">
        <v>0</v>
      </c>
      <c r="BV90" s="9" t="n">
        <v>0</v>
      </c>
      <c r="BW90" s="9" t="n">
        <v>0</v>
      </c>
      <c r="BX90" s="9" t="n">
        <v>0</v>
      </c>
      <c r="BY90" s="11" t="n">
        <f aca="false">(BU90+BV90+BW90+BX90)/4</f>
        <v>0</v>
      </c>
      <c r="BZ90" s="11" t="n">
        <f aca="false">(BU90/AR90)</f>
        <v>0</v>
      </c>
      <c r="CA90" s="11" t="n">
        <f aca="false">(BV90/AS90)</f>
        <v>0</v>
      </c>
      <c r="CB90" s="11" t="n">
        <f aca="false">(BW90/AT90)</f>
        <v>0</v>
      </c>
      <c r="CC90" s="11" t="n">
        <f aca="false">(BX90/AU90)</f>
        <v>0</v>
      </c>
      <c r="CD90" s="11" t="n">
        <f aca="false">(BY90/AV90)</f>
        <v>0</v>
      </c>
      <c r="CE90" s="11" t="n">
        <f aca="false">(100*CD90)</f>
        <v>0</v>
      </c>
      <c r="CF90" s="9" t="n">
        <v>0</v>
      </c>
      <c r="CG90" s="9" t="n">
        <v>11</v>
      </c>
      <c r="CH90" s="9" t="n">
        <v>5</v>
      </c>
      <c r="CI90" s="9" t="n">
        <v>10</v>
      </c>
      <c r="CJ90" s="9" t="n">
        <v>13</v>
      </c>
      <c r="CK90" s="11" t="n">
        <f aca="false">(CG90+CH90+CI90+CJ90)/4</f>
        <v>9.75</v>
      </c>
      <c r="CL90" s="11" t="n">
        <f aca="false">(CG90/AM90)</f>
        <v>0.129411764705882</v>
      </c>
      <c r="CM90" s="11" t="n">
        <f aca="false">(CH90/AN90)</f>
        <v>0.25</v>
      </c>
      <c r="CN90" s="11" t="n">
        <f aca="false">(CI90/AO90)</f>
        <v>0.416666666666667</v>
      </c>
      <c r="CO90" s="9" t="n">
        <f aca="false">(CJ90/AP90)</f>
        <v>0.185714285714286</v>
      </c>
      <c r="CP90" s="9" t="n">
        <f aca="false">(CK90/AQ90)</f>
        <v>0.195979899497487</v>
      </c>
      <c r="CQ90" s="9" t="n">
        <f aca="false">(100*CP90)</f>
        <v>19.5979899497487</v>
      </c>
      <c r="CR90" s="18" t="n">
        <v>2</v>
      </c>
      <c r="CS90" s="9" t="n">
        <v>55.8</v>
      </c>
      <c r="CT90" s="9" t="n">
        <v>62.7</v>
      </c>
      <c r="CU90" s="9" t="n">
        <v>48.7</v>
      </c>
      <c r="CV90" s="9" t="n">
        <v>54.9</v>
      </c>
      <c r="CW90" s="11" t="n">
        <f aca="false">(CS90+CT90+CU90+CV90)/4</f>
        <v>55.525</v>
      </c>
      <c r="CX90" s="9" t="n">
        <v>1</v>
      </c>
      <c r="CY90" s="9" t="n">
        <v>1</v>
      </c>
      <c r="CZ90" s="9" t="n">
        <v>1</v>
      </c>
      <c r="DA90" s="9" t="n">
        <v>0</v>
      </c>
      <c r="DB90" s="11" t="n">
        <f aca="false">(CX90+CY90+CZ90+DA90)/4</f>
        <v>0.75</v>
      </c>
      <c r="DC90" s="9" t="n">
        <v>0</v>
      </c>
      <c r="DD90" s="9" t="n">
        <v>0</v>
      </c>
      <c r="DE90" s="9" t="n">
        <v>0</v>
      </c>
      <c r="DF90" s="9" t="n">
        <v>1</v>
      </c>
      <c r="DG90" s="11" t="n">
        <f aca="false">(DC90+DD90+DE90+DF90)/4</f>
        <v>0.25</v>
      </c>
      <c r="DH90" s="9" t="n">
        <v>1</v>
      </c>
      <c r="DI90" s="9" t="n">
        <v>1</v>
      </c>
      <c r="DJ90" s="9" t="n">
        <v>1</v>
      </c>
      <c r="DK90" s="9" t="n">
        <v>1</v>
      </c>
      <c r="DL90" s="11" t="n">
        <f aca="false">(DH90+DI90+DJ90+DK90)/4</f>
        <v>1</v>
      </c>
      <c r="DM90" s="9" t="n">
        <v>115</v>
      </c>
      <c r="DN90" s="9" t="n">
        <v>101</v>
      </c>
      <c r="DO90" s="9" t="n">
        <v>336</v>
      </c>
      <c r="DP90" s="9" t="n">
        <v>196</v>
      </c>
      <c r="DQ90" s="11" t="n">
        <f aca="false">(DM90+DN90+DO90+DP90)/4</f>
        <v>187</v>
      </c>
      <c r="DR90" s="9" t="n">
        <v>7</v>
      </c>
      <c r="DS90" s="9" t="n">
        <v>11</v>
      </c>
      <c r="DT90" s="9" t="n">
        <v>9</v>
      </c>
      <c r="DU90" s="9" t="n">
        <v>14</v>
      </c>
      <c r="DV90" s="11" t="n">
        <f aca="false">(DR90+DS90+DT90+DU90)/4</f>
        <v>10.25</v>
      </c>
      <c r="DW90" s="9" t="n">
        <v>4</v>
      </c>
      <c r="DX90" s="9" t="n">
        <v>5</v>
      </c>
      <c r="DY90" s="9" t="n">
        <v>6</v>
      </c>
      <c r="DZ90" s="9" t="n">
        <v>0</v>
      </c>
      <c r="EA90" s="11" t="n">
        <f aca="false">(DW90+DX90+DY90+DZ90)/4</f>
        <v>3.75</v>
      </c>
      <c r="EB90" s="11" t="n">
        <f aca="false">(DW90/DR90)</f>
        <v>0.571428571428571</v>
      </c>
      <c r="EC90" s="11" t="n">
        <f aca="false">(DX90/DS90)</f>
        <v>0.454545454545455</v>
      </c>
      <c r="ED90" s="11" t="n">
        <f aca="false">(DY90/DT90)</f>
        <v>0.666666666666667</v>
      </c>
      <c r="EE90" s="11" t="n">
        <f aca="false">(DZ90/DU90)</f>
        <v>0</v>
      </c>
      <c r="EF90" s="11" t="n">
        <f aca="false">(EA90/DV90)</f>
        <v>0.365853658536585</v>
      </c>
      <c r="EG90" s="11" t="n">
        <f aca="false">(100*EF90)</f>
        <v>36.5853658536585</v>
      </c>
      <c r="EH90" s="9" t="n">
        <v>3</v>
      </c>
      <c r="EI90" s="9" t="n">
        <v>0</v>
      </c>
      <c r="EJ90" s="9" t="n">
        <v>0</v>
      </c>
      <c r="EK90" s="19" t="n">
        <v>0</v>
      </c>
      <c r="EL90" s="9" t="n">
        <v>2</v>
      </c>
      <c r="EM90" s="9" t="n">
        <f aca="false">(EI90+EJ90+EK90+EL90)/4</f>
        <v>0.5</v>
      </c>
      <c r="EN90" s="9" t="n">
        <f aca="false">(EI90/DR90)</f>
        <v>0</v>
      </c>
      <c r="EO90" s="9" t="n">
        <f aca="false">(EJ90/DS90)</f>
        <v>0</v>
      </c>
      <c r="EP90" s="9" t="n">
        <f aca="false">(EK90/DT90)</f>
        <v>0</v>
      </c>
      <c r="EQ90" s="9" t="n">
        <f aca="false">(EL90/DU90)</f>
        <v>0.142857142857143</v>
      </c>
      <c r="ER90" s="9" t="n">
        <f aca="false">EM90/DV90</f>
        <v>0.0487804878048781</v>
      </c>
      <c r="ES90" s="9" t="n">
        <f aca="false">(100*ER90)</f>
        <v>4.87804878048781</v>
      </c>
      <c r="ET90" s="9" t="n">
        <v>1</v>
      </c>
      <c r="EU90" s="18" t="n">
        <v>0</v>
      </c>
      <c r="EV90" s="9" t="n">
        <v>0</v>
      </c>
      <c r="EW90" s="9" t="n">
        <v>0</v>
      </c>
      <c r="EX90" s="9" t="n">
        <v>0</v>
      </c>
      <c r="EY90" s="11" t="n">
        <f aca="false">(EU90+EV90+EW90+EX90)/4</f>
        <v>0</v>
      </c>
      <c r="EZ90" s="11" t="n">
        <f aca="false">(EU90/DR90)</f>
        <v>0</v>
      </c>
      <c r="FA90" s="11" t="n">
        <f aca="false">(EV90/DS90)</f>
        <v>0</v>
      </c>
      <c r="FB90" s="11" t="n">
        <f aca="false">(EW90/DT90)</f>
        <v>0</v>
      </c>
      <c r="FC90" s="11" t="n">
        <f aca="false">(EX90/DU90)</f>
        <v>0</v>
      </c>
      <c r="FD90" s="11" t="n">
        <f aca="false">(EY90/DV90)</f>
        <v>0</v>
      </c>
      <c r="FE90" s="11" t="n">
        <f aca="false">(100*FD90)</f>
        <v>0</v>
      </c>
      <c r="FF90" s="9" t="n">
        <v>0</v>
      </c>
      <c r="FG90" s="9" t="n">
        <v>18</v>
      </c>
      <c r="FH90" s="9" t="n">
        <v>14</v>
      </c>
      <c r="FI90" s="9" t="n">
        <v>57</v>
      </c>
      <c r="FJ90" s="9" t="n">
        <v>20</v>
      </c>
      <c r="FK90" s="11" t="n">
        <f aca="false">(FG90+FH90+FI90+FJ90)/4</f>
        <v>27.25</v>
      </c>
      <c r="FL90" s="11" t="n">
        <f aca="false">(FG90/DR90)</f>
        <v>2.57142857142857</v>
      </c>
      <c r="FM90" s="11" t="n">
        <f aca="false">(FH90/DS90)</f>
        <v>1.27272727272727</v>
      </c>
      <c r="FN90" s="11" t="n">
        <f aca="false">(FI90/DT90)</f>
        <v>6.33333333333333</v>
      </c>
      <c r="FO90" s="11" t="n">
        <f aca="false">(FJ90/DU90)</f>
        <v>1.42857142857143</v>
      </c>
      <c r="FP90" s="11" t="n">
        <f aca="false">(FK90/DV90)</f>
        <v>2.65853658536585</v>
      </c>
      <c r="FQ90" s="11" t="n">
        <f aca="false">(100*FP90)</f>
        <v>265.853658536585</v>
      </c>
      <c r="FR90" s="9" t="n">
        <v>3</v>
      </c>
      <c r="FS90" s="9" t="n">
        <v>54.6</v>
      </c>
      <c r="FT90" s="9" t="n">
        <v>54.6</v>
      </c>
      <c r="FU90" s="9" t="n">
        <v>48.1</v>
      </c>
      <c r="FV90" s="9" t="n">
        <v>65.2</v>
      </c>
      <c r="FW90" s="11" t="n">
        <f aca="false">(FS90+FT90+FU90+FV90)/4</f>
        <v>55.625</v>
      </c>
      <c r="FX90" s="9" t="n">
        <v>0</v>
      </c>
      <c r="FY90" s="9" t="n">
        <v>0</v>
      </c>
      <c r="FZ90" s="9" t="n">
        <v>0</v>
      </c>
      <c r="GA90" s="9" t="n">
        <v>0</v>
      </c>
      <c r="GB90" s="11" t="n">
        <f aca="false">(FX90+FY90+FZ90+GA90)/4</f>
        <v>0</v>
      </c>
      <c r="GC90" s="9" t="n">
        <v>1</v>
      </c>
      <c r="GD90" s="9" t="n">
        <v>1</v>
      </c>
      <c r="GE90" s="9" t="n">
        <v>0</v>
      </c>
      <c r="GF90" s="9" t="n">
        <v>1</v>
      </c>
      <c r="GG90" s="11" t="n">
        <f aca="false">(GC90+GD90+GE90+GF90)/4</f>
        <v>0.75</v>
      </c>
      <c r="GH90" s="9" t="n">
        <v>1</v>
      </c>
      <c r="GI90" s="9" t="n">
        <v>1</v>
      </c>
      <c r="GJ90" s="9" t="n">
        <v>1</v>
      </c>
      <c r="GK90" s="9" t="n">
        <v>1</v>
      </c>
      <c r="GL90" s="11" t="n">
        <f aca="false">(GH90+GI90+GJ90+GK90)/4</f>
        <v>1</v>
      </c>
      <c r="GM90" s="9" t="n">
        <v>92</v>
      </c>
      <c r="GN90" s="9" t="n">
        <v>231</v>
      </c>
      <c r="GO90" s="9" t="n">
        <v>385</v>
      </c>
      <c r="GP90" s="9" t="n">
        <v>142</v>
      </c>
      <c r="GQ90" s="11" t="n">
        <f aca="false">(GM90+GN90+GO90+GP90)/4</f>
        <v>212.5</v>
      </c>
      <c r="GR90" s="9" t="n">
        <v>23</v>
      </c>
      <c r="GS90" s="9" t="n">
        <v>27</v>
      </c>
      <c r="GT90" s="9" t="n">
        <v>11</v>
      </c>
      <c r="GU90" s="9" t="n">
        <v>22</v>
      </c>
      <c r="GV90" s="11" t="n">
        <f aca="false">(GR90+GS90+GT90+GU90)/4</f>
        <v>20.75</v>
      </c>
      <c r="GW90" s="9" t="n">
        <v>0</v>
      </c>
      <c r="GX90" s="9" t="n">
        <v>0</v>
      </c>
      <c r="GY90" s="9" t="n">
        <v>0</v>
      </c>
      <c r="GZ90" s="9" t="n">
        <v>0</v>
      </c>
      <c r="HA90" s="11" t="n">
        <f aca="false">(GW90+GX90+GY90+GZ90)/4</f>
        <v>0</v>
      </c>
      <c r="HB90" s="9" t="n">
        <f aca="false">(GW90/GR90)</f>
        <v>0</v>
      </c>
      <c r="HC90" s="9" t="n">
        <f aca="false">(GX90/GS90)</f>
        <v>0</v>
      </c>
      <c r="HD90" s="9" t="n">
        <f aca="false">(GY90/GT90)</f>
        <v>0</v>
      </c>
      <c r="HE90" s="9" t="n">
        <f aca="false">(GZ90/GU90)/4</f>
        <v>0</v>
      </c>
      <c r="HF90" s="9" t="n">
        <f aca="false">(HB90+HC90+HD90+HE90)/4</f>
        <v>0</v>
      </c>
      <c r="HG90" s="9" t="n">
        <f aca="false">(100*HF90)</f>
        <v>0</v>
      </c>
      <c r="HH90" s="18" t="n">
        <v>0</v>
      </c>
      <c r="HI90" s="9" t="n">
        <v>3</v>
      </c>
      <c r="HJ90" s="9" t="n">
        <v>2</v>
      </c>
      <c r="HK90" s="9" t="n">
        <v>0</v>
      </c>
      <c r="HL90" s="19" t="n">
        <v>5</v>
      </c>
      <c r="HM90" s="9" t="n">
        <f aca="false">(HI90+HJ90+HK90+HL90)/4</f>
        <v>2.5</v>
      </c>
      <c r="HN90" s="9" t="n">
        <f aca="false">(HI90/GR90)</f>
        <v>0.130434782608696</v>
      </c>
      <c r="HO90" s="9" t="n">
        <f aca="false">(HJ90/GS90)</f>
        <v>0.0740740740740741</v>
      </c>
      <c r="HP90" s="9" t="n">
        <f aca="false">(HK90/GT90)</f>
        <v>0</v>
      </c>
      <c r="HQ90" s="9" t="n">
        <f aca="false">(HL90/GU90)</f>
        <v>0.227272727272727</v>
      </c>
      <c r="HR90" s="9" t="n">
        <f aca="false">(HM90/GV90)</f>
        <v>0.120481927710843</v>
      </c>
      <c r="HS90" s="9" t="n">
        <f aca="false">(100*HR90)</f>
        <v>12.0481927710843</v>
      </c>
      <c r="HT90" s="18" t="n">
        <v>2</v>
      </c>
      <c r="HU90" s="9" t="n">
        <v>0</v>
      </c>
      <c r="HV90" s="9" t="n">
        <v>0</v>
      </c>
      <c r="HW90" s="9" t="n">
        <v>0</v>
      </c>
      <c r="HX90" s="19" t="n">
        <v>0</v>
      </c>
      <c r="HY90" s="9" t="n">
        <f aca="false">(HU90+HV90+HW90+HX90)/4</f>
        <v>0</v>
      </c>
      <c r="HZ90" s="9" t="n">
        <f aca="false">(HU90/GR90)</f>
        <v>0</v>
      </c>
      <c r="IA90" s="9" t="n">
        <f aca="false">HV90/GS90</f>
        <v>0</v>
      </c>
      <c r="IB90" s="9" t="n">
        <f aca="false">(HW90/GT90)</f>
        <v>0</v>
      </c>
      <c r="IC90" s="9" t="n">
        <f aca="false">(HX90/GU90)</f>
        <v>0</v>
      </c>
      <c r="ID90" s="9" t="n">
        <f aca="false">(HY90/GV90)</f>
        <v>0</v>
      </c>
      <c r="IE90" s="9" t="n">
        <f aca="false">(100*ID90)</f>
        <v>0</v>
      </c>
      <c r="IF90" s="18" t="n">
        <v>0</v>
      </c>
      <c r="IG90" s="9" t="n">
        <v>16</v>
      </c>
      <c r="IH90" s="9" t="n">
        <v>22</v>
      </c>
      <c r="II90" s="19" t="n">
        <v>20</v>
      </c>
      <c r="IJ90" s="9" t="n">
        <v>7</v>
      </c>
      <c r="IK90" s="9" t="n">
        <f aca="false">(IG90+IH90+II90+IJ90)/4</f>
        <v>16.25</v>
      </c>
      <c r="IL90" s="9" t="n">
        <f aca="false">(IG90/GM90)</f>
        <v>0.173913043478261</v>
      </c>
      <c r="IM90" s="9" t="n">
        <f aca="false">(IH90/GN90)</f>
        <v>0.0952380952380952</v>
      </c>
      <c r="IN90" s="9" t="n">
        <f aca="false">(II90/GO90)</f>
        <v>0.051948051948052</v>
      </c>
      <c r="IO90" s="9" t="n">
        <f aca="false">(IJ90/GP90)</f>
        <v>0.0492957746478873</v>
      </c>
      <c r="IP90" s="9" t="n">
        <f aca="false">(IK90/GQ90)</f>
        <v>0.0764705882352941</v>
      </c>
      <c r="IQ90" s="9" t="n">
        <f aca="false">(100*IP90)</f>
        <v>7.64705882352941</v>
      </c>
      <c r="IR90" s="18" t="n">
        <v>1</v>
      </c>
      <c r="IS90" s="9" t="n">
        <v>70.5</v>
      </c>
      <c r="IT90" s="9" t="n">
        <v>73</v>
      </c>
      <c r="IU90" s="19" t="n">
        <v>59.2</v>
      </c>
      <c r="IV90" s="9" t="n">
        <v>66.2</v>
      </c>
      <c r="IW90" s="9" t="n">
        <f aca="false">(IS90+IT90+IU90+IV90)/4</f>
        <v>67.225</v>
      </c>
      <c r="IX90" s="16" t="n">
        <v>45204</v>
      </c>
      <c r="IY90" s="10" t="s">
        <v>268</v>
      </c>
    </row>
    <row r="91" customFormat="false" ht="15.75" hidden="false" customHeight="true" outlineLevel="0" collapsed="false">
      <c r="A91" s="9" t="s">
        <v>343</v>
      </c>
      <c r="B91" s="10" t="s">
        <v>472</v>
      </c>
      <c r="C91" s="10" t="s">
        <v>400</v>
      </c>
      <c r="D91" s="9" t="n">
        <v>3</v>
      </c>
      <c r="E91" s="9" t="n">
        <v>30</v>
      </c>
      <c r="F91" s="10" t="s">
        <v>478</v>
      </c>
      <c r="G91" s="10" t="s">
        <v>275</v>
      </c>
      <c r="H91" s="9" t="n">
        <v>21</v>
      </c>
      <c r="I91" s="9" t="n">
        <v>20</v>
      </c>
      <c r="J91" s="10" t="s">
        <v>272</v>
      </c>
      <c r="K91" s="20"/>
      <c r="L91" s="20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 t="n">
        <v>0</v>
      </c>
      <c r="Y91" s="9" t="n">
        <v>0</v>
      </c>
      <c r="Z91" s="9" t="n">
        <v>0</v>
      </c>
      <c r="AA91" s="9" t="n">
        <v>0</v>
      </c>
      <c r="AB91" s="11" t="n">
        <f aca="false">(X91+Y91+Z91+AA91)/4</f>
        <v>0</v>
      </c>
      <c r="AC91" s="9" t="n">
        <v>1</v>
      </c>
      <c r="AD91" s="9" t="n">
        <v>1</v>
      </c>
      <c r="AE91" s="9" t="n">
        <v>1</v>
      </c>
      <c r="AF91" s="9" t="n">
        <v>1</v>
      </c>
      <c r="AG91" s="11" t="n">
        <f aca="false">(AC91+AD91+AE91+AF91)/4</f>
        <v>1</v>
      </c>
      <c r="AH91" s="9" t="n">
        <v>1</v>
      </c>
      <c r="AI91" s="9" t="n">
        <v>1</v>
      </c>
      <c r="AJ91" s="9" t="n">
        <v>1</v>
      </c>
      <c r="AK91" s="9" t="n">
        <v>1</v>
      </c>
      <c r="AL91" s="11" t="n">
        <f aca="false">(AH91+AI91+AJ91+AK91)/4</f>
        <v>1</v>
      </c>
      <c r="AM91" s="9" t="n">
        <v>6</v>
      </c>
      <c r="AN91" s="9" t="n">
        <v>28</v>
      </c>
      <c r="AO91" s="9" t="n">
        <v>27</v>
      </c>
      <c r="AP91" s="9" t="n">
        <v>22</v>
      </c>
      <c r="AQ91" s="11" t="n">
        <f aca="false">(AM91+AN91+AO91+AP91)/4</f>
        <v>20.75</v>
      </c>
      <c r="AR91" s="9" t="n">
        <v>30</v>
      </c>
      <c r="AS91" s="9" t="n">
        <v>6</v>
      </c>
      <c r="AT91" s="9" t="n">
        <v>16</v>
      </c>
      <c r="AU91" s="9" t="n">
        <v>18</v>
      </c>
      <c r="AV91" s="11" t="n">
        <f aca="false">(AR91+AS91+AT91+AU91)/4</f>
        <v>17.5</v>
      </c>
      <c r="AW91" s="9" t="n">
        <v>0</v>
      </c>
      <c r="AX91" s="9" t="n">
        <v>0</v>
      </c>
      <c r="AY91" s="9" t="n">
        <v>0</v>
      </c>
      <c r="AZ91" s="9" t="n">
        <v>0</v>
      </c>
      <c r="BA91" s="11" t="n">
        <f aca="false">(AW91+AX91+AY91+AZ91)/4</f>
        <v>0</v>
      </c>
      <c r="BB91" s="11" t="n">
        <f aca="false">(AW91/AR91)</f>
        <v>0</v>
      </c>
      <c r="BC91" s="11" t="n">
        <f aca="false">(AX91/AS91)</f>
        <v>0</v>
      </c>
      <c r="BD91" s="11" t="n">
        <f aca="false">(AY91/AT91)</f>
        <v>0</v>
      </c>
      <c r="BE91" s="11" t="n">
        <f aca="false">(AZ91/AU91)</f>
        <v>0</v>
      </c>
      <c r="BF91" s="11" t="n">
        <f aca="false">(BA91/AV91)</f>
        <v>0</v>
      </c>
      <c r="BG91" s="11" t="n">
        <f aca="false">(BF91*100)</f>
        <v>0</v>
      </c>
      <c r="BH91" s="9" t="n">
        <v>0</v>
      </c>
      <c r="BI91" s="9" t="n">
        <v>5</v>
      </c>
      <c r="BJ91" s="9" t="n">
        <v>2</v>
      </c>
      <c r="BK91" s="9" t="n">
        <v>2</v>
      </c>
      <c r="BL91" s="9" t="n">
        <v>3</v>
      </c>
      <c r="BM91" s="11" t="n">
        <f aca="false">(BI91+BJ91+BK91+BL91)/4</f>
        <v>3</v>
      </c>
      <c r="BN91" s="11" t="n">
        <f aca="false">(BI91/AR91)</f>
        <v>0.166666666666667</v>
      </c>
      <c r="BO91" s="11" t="n">
        <f aca="false">(BJ91/AS91)</f>
        <v>0.333333333333333</v>
      </c>
      <c r="BP91" s="11" t="n">
        <f aca="false">(BK91/AT91)</f>
        <v>0.125</v>
      </c>
      <c r="BQ91" s="11" t="n">
        <f aca="false">(BL91/AU91)</f>
        <v>0.166666666666667</v>
      </c>
      <c r="BR91" s="11" t="n">
        <f aca="false">(BM91/AV91)</f>
        <v>0.171428571428571</v>
      </c>
      <c r="BS91" s="11" t="n">
        <f aca="false">(100*BR91)</f>
        <v>17.1428571428571</v>
      </c>
      <c r="BT91" s="9" t="n">
        <v>2</v>
      </c>
      <c r="BU91" s="9" t="n">
        <v>0</v>
      </c>
      <c r="BV91" s="9" t="n">
        <v>0</v>
      </c>
      <c r="BW91" s="9" t="n">
        <v>0</v>
      </c>
      <c r="BX91" s="9" t="n">
        <v>0</v>
      </c>
      <c r="BY91" s="11" t="n">
        <f aca="false">(BU91+BV91+BW91+BX91)/4</f>
        <v>0</v>
      </c>
      <c r="BZ91" s="11" t="n">
        <f aca="false">(BU91/AR91)</f>
        <v>0</v>
      </c>
      <c r="CA91" s="11" t="n">
        <f aca="false">(BV91/AS91)</f>
        <v>0</v>
      </c>
      <c r="CB91" s="11" t="n">
        <f aca="false">(BW91/AT91)</f>
        <v>0</v>
      </c>
      <c r="CC91" s="11" t="n">
        <f aca="false">(BX91/AU91)</f>
        <v>0</v>
      </c>
      <c r="CD91" s="11" t="n">
        <f aca="false">(BY91/AV91)</f>
        <v>0</v>
      </c>
      <c r="CE91" s="11" t="n">
        <f aca="false">(100*CD91)</f>
        <v>0</v>
      </c>
      <c r="CF91" s="9" t="n">
        <v>0</v>
      </c>
      <c r="CG91" s="9" t="n">
        <v>6</v>
      </c>
      <c r="CH91" s="9" t="n">
        <v>19</v>
      </c>
      <c r="CI91" s="9" t="n">
        <v>5</v>
      </c>
      <c r="CJ91" s="9" t="n">
        <v>1</v>
      </c>
      <c r="CK91" s="11" t="n">
        <f aca="false">(CG91+CH91+CI91+CJ91)/4</f>
        <v>7.75</v>
      </c>
      <c r="CL91" s="11" t="n">
        <f aca="false">(CG91/AM91)</f>
        <v>1</v>
      </c>
      <c r="CM91" s="11" t="n">
        <f aca="false">(CH91/AN91)</f>
        <v>0.678571428571429</v>
      </c>
      <c r="CN91" s="11" t="n">
        <f aca="false">(CI91/AO91)</f>
        <v>0.185185185185185</v>
      </c>
      <c r="CO91" s="9" t="n">
        <f aca="false">(CJ91/AP91)</f>
        <v>0.0454545454545455</v>
      </c>
      <c r="CP91" s="9" t="n">
        <f aca="false">(CK91/AQ91)</f>
        <v>0.373493975903614</v>
      </c>
      <c r="CQ91" s="9" t="n">
        <f aca="false">(100*CP91)</f>
        <v>37.3493975903614</v>
      </c>
      <c r="CR91" s="18" t="n">
        <v>3</v>
      </c>
      <c r="CS91" s="11" t="n">
        <v>65.5</v>
      </c>
      <c r="CT91" s="11" t="n">
        <v>40.3</v>
      </c>
      <c r="CU91" s="11" t="n">
        <v>71.6</v>
      </c>
      <c r="CV91" s="11" t="n">
        <v>59.1</v>
      </c>
      <c r="CW91" s="11" t="n">
        <f aca="false">(CS91+CT91+CU91+CV91)/4</f>
        <v>59.125</v>
      </c>
      <c r="CX91" s="11" t="n">
        <v>0</v>
      </c>
      <c r="CY91" s="11" t="n">
        <v>0</v>
      </c>
      <c r="CZ91" s="11" t="n">
        <v>0</v>
      </c>
      <c r="DA91" s="11" t="n">
        <v>0</v>
      </c>
      <c r="DB91" s="11" t="n">
        <f aca="false">(CX91+CY91+CZ91+DA91)/4</f>
        <v>0</v>
      </c>
      <c r="DC91" s="11" t="n">
        <v>1</v>
      </c>
      <c r="DD91" s="11" t="n">
        <v>1</v>
      </c>
      <c r="DE91" s="11" t="n">
        <v>1</v>
      </c>
      <c r="DF91" s="11" t="n">
        <v>1</v>
      </c>
      <c r="DG91" s="11" t="n">
        <f aca="false">(DC91+DD91+DE91+DF91)/4</f>
        <v>1</v>
      </c>
      <c r="DH91" s="11" t="n">
        <v>1</v>
      </c>
      <c r="DI91" s="11" t="n">
        <v>1</v>
      </c>
      <c r="DJ91" s="11" t="n">
        <v>1</v>
      </c>
      <c r="DK91" s="11" t="n">
        <v>1</v>
      </c>
      <c r="DL91" s="11" t="n">
        <f aca="false">(DH91+DI91+DJ91+DK91)/4</f>
        <v>1</v>
      </c>
      <c r="DM91" s="11" t="n">
        <v>63</v>
      </c>
      <c r="DN91" s="11" t="n">
        <v>34</v>
      </c>
      <c r="DO91" s="11" t="n">
        <v>14</v>
      </c>
      <c r="DP91" s="11" t="n">
        <v>16</v>
      </c>
      <c r="DQ91" s="11" t="n">
        <f aca="false">(DM91+DN91+DO91+DP91)/4</f>
        <v>31.75</v>
      </c>
      <c r="DR91" s="11" t="n">
        <v>9</v>
      </c>
      <c r="DS91" s="11" t="n">
        <v>13</v>
      </c>
      <c r="DT91" s="11" t="n">
        <v>19</v>
      </c>
      <c r="DU91" s="11" t="n">
        <v>21</v>
      </c>
      <c r="DV91" s="11" t="n">
        <f aca="false">(DR91+DS91+DT91+DU91)/4</f>
        <v>15.5</v>
      </c>
      <c r="DW91" s="11" t="n">
        <v>0</v>
      </c>
      <c r="DX91" s="11" t="n">
        <v>0</v>
      </c>
      <c r="DY91" s="11" t="n">
        <v>0</v>
      </c>
      <c r="DZ91" s="11" t="n">
        <v>0</v>
      </c>
      <c r="EA91" s="11" t="n">
        <f aca="false">(DW91+DX91+DY91+DZ91)/4</f>
        <v>0</v>
      </c>
      <c r="EB91" s="11" t="n">
        <f aca="false">(DW91/DR91)</f>
        <v>0</v>
      </c>
      <c r="EC91" s="11" t="n">
        <f aca="false">(DX91/DS91)</f>
        <v>0</v>
      </c>
      <c r="ED91" s="11" t="n">
        <f aca="false">(DY91/DT91)</f>
        <v>0</v>
      </c>
      <c r="EE91" s="11" t="n">
        <f aca="false">(DZ91/DU91)</f>
        <v>0</v>
      </c>
      <c r="EF91" s="11" t="n">
        <f aca="false">(EA91/DV91)</f>
        <v>0</v>
      </c>
      <c r="EG91" s="11" t="n">
        <f aca="false">(100*EF91)</f>
        <v>0</v>
      </c>
      <c r="EH91" s="11" t="n">
        <v>0</v>
      </c>
      <c r="EI91" s="11" t="n">
        <v>3</v>
      </c>
      <c r="EJ91" s="11" t="n">
        <v>6</v>
      </c>
      <c r="EK91" s="11" t="n">
        <v>5</v>
      </c>
      <c r="EL91" s="9" t="n">
        <v>4</v>
      </c>
      <c r="EM91" s="9" t="n">
        <f aca="false">(EI91+EJ91+EK91+EL91)/4</f>
        <v>4.5</v>
      </c>
      <c r="EN91" s="9" t="n">
        <f aca="false">(EI91/DR91)</f>
        <v>0.333333333333333</v>
      </c>
      <c r="EO91" s="9" t="n">
        <f aca="false">(EJ91/DS91)</f>
        <v>0.461538461538462</v>
      </c>
      <c r="EP91" s="9" t="n">
        <f aca="false">(EK91/DT91)</f>
        <v>0.263157894736842</v>
      </c>
      <c r="EQ91" s="9" t="n">
        <f aca="false">(EL91/DU91)</f>
        <v>0.19047619047619</v>
      </c>
      <c r="ER91" s="9" t="n">
        <f aca="false">EM91/DV91</f>
        <v>0.290322580645161</v>
      </c>
      <c r="ES91" s="9" t="n">
        <f aca="false">(100*ER91)</f>
        <v>29.0322580645161</v>
      </c>
      <c r="ET91" s="9" t="n">
        <v>2</v>
      </c>
      <c r="EU91" s="11" t="n">
        <v>0</v>
      </c>
      <c r="EV91" s="11" t="n">
        <v>0</v>
      </c>
      <c r="EW91" s="11" t="n">
        <v>0</v>
      </c>
      <c r="EX91" s="11" t="n">
        <v>0</v>
      </c>
      <c r="EY91" s="11" t="n">
        <f aca="false">(EU91+EV91+EW91+EX91)/4</f>
        <v>0</v>
      </c>
      <c r="EZ91" s="11" t="n">
        <f aca="false">(EU91/DR91)</f>
        <v>0</v>
      </c>
      <c r="FA91" s="11" t="n">
        <f aca="false">(EV91/DS91)</f>
        <v>0</v>
      </c>
      <c r="FB91" s="11" t="n">
        <f aca="false">(EW91/DT91)</f>
        <v>0</v>
      </c>
      <c r="FC91" s="11" t="n">
        <f aca="false">(EX91/DU91)</f>
        <v>0</v>
      </c>
      <c r="FD91" s="11" t="n">
        <f aca="false">(EY91/DV91)</f>
        <v>0</v>
      </c>
      <c r="FE91" s="11" t="n">
        <f aca="false">(100*FD91)</f>
        <v>0</v>
      </c>
      <c r="FF91" s="11" t="n">
        <v>0</v>
      </c>
      <c r="FG91" s="11" t="n">
        <v>19</v>
      </c>
      <c r="FH91" s="11" t="n">
        <v>9</v>
      </c>
      <c r="FI91" s="11" t="n">
        <v>4</v>
      </c>
      <c r="FJ91" s="11" t="n">
        <v>6</v>
      </c>
      <c r="FK91" s="11" t="n">
        <f aca="false">(FG91+FH91+FI91+FJ91)/4</f>
        <v>9.5</v>
      </c>
      <c r="FL91" s="11" t="n">
        <f aca="false">(FG91/DR91)</f>
        <v>2.11111111111111</v>
      </c>
      <c r="FM91" s="11" t="n">
        <f aca="false">(FH91/DS91)</f>
        <v>0.692307692307692</v>
      </c>
      <c r="FN91" s="11" t="n">
        <f aca="false">(FI91/DT91)</f>
        <v>0.210526315789474</v>
      </c>
      <c r="FO91" s="11" t="n">
        <f aca="false">(FJ91/DU91)</f>
        <v>0.285714285714286</v>
      </c>
      <c r="FP91" s="11" t="n">
        <f aca="false">(FK91/DV91)</f>
        <v>0.612903225806452</v>
      </c>
      <c r="FQ91" s="11" t="n">
        <f aca="false">(100*FP91)</f>
        <v>61.2903225806452</v>
      </c>
      <c r="FR91" s="11" t="n">
        <v>3</v>
      </c>
      <c r="FS91" s="11" t="n">
        <v>61.9</v>
      </c>
      <c r="FT91" s="11" t="n">
        <v>71.1</v>
      </c>
      <c r="FU91" s="11" t="n">
        <v>63.1</v>
      </c>
      <c r="FV91" s="11" t="n">
        <v>69</v>
      </c>
      <c r="FW91" s="11" t="n">
        <f aca="false">(FS91+FT91+FU91+FV91)/4</f>
        <v>66.275</v>
      </c>
      <c r="FX91" s="11" t="n">
        <v>0</v>
      </c>
      <c r="FY91" s="11" t="n">
        <v>0</v>
      </c>
      <c r="FZ91" s="11" t="n">
        <v>0</v>
      </c>
      <c r="GA91" s="11" t="n">
        <v>0</v>
      </c>
      <c r="GB91" s="11" t="n">
        <f aca="false">(FX91+FY91+FZ91+GA91)/4</f>
        <v>0</v>
      </c>
      <c r="GC91" s="11" t="n">
        <v>1</v>
      </c>
      <c r="GD91" s="11" t="n">
        <v>0</v>
      </c>
      <c r="GE91" s="11" t="n">
        <v>0</v>
      </c>
      <c r="GF91" s="11" t="n">
        <v>1</v>
      </c>
      <c r="GG91" s="11" t="n">
        <f aca="false">(GC91+GD91+GE91+GF91)/4</f>
        <v>0.5</v>
      </c>
      <c r="GH91" s="11" t="n">
        <v>1</v>
      </c>
      <c r="GI91" s="11" t="n">
        <v>1</v>
      </c>
      <c r="GJ91" s="11" t="n">
        <v>1</v>
      </c>
      <c r="GK91" s="11" t="n">
        <v>1</v>
      </c>
      <c r="GL91" s="11" t="n">
        <f aca="false">(GH91+GI91+GJ91+GK91)/4</f>
        <v>1</v>
      </c>
      <c r="GM91" s="11" t="n">
        <v>67</v>
      </c>
      <c r="GN91" s="11" t="n">
        <v>33</v>
      </c>
      <c r="GO91" s="11" t="n">
        <v>93</v>
      </c>
      <c r="GP91" s="11" t="n">
        <v>35</v>
      </c>
      <c r="GQ91" s="11" t="n">
        <f aca="false">(GM91+GN91+GO91+GP91)/4</f>
        <v>57</v>
      </c>
      <c r="GR91" s="11" t="n">
        <v>18</v>
      </c>
      <c r="GS91" s="11" t="n">
        <v>11</v>
      </c>
      <c r="GT91" s="11" t="n">
        <v>12</v>
      </c>
      <c r="GU91" s="11" t="n">
        <v>18</v>
      </c>
      <c r="GV91" s="11" t="n">
        <f aca="false">(GR91+GS91+GT91+GU91)/4</f>
        <v>14.75</v>
      </c>
      <c r="GW91" s="11" t="n">
        <v>0</v>
      </c>
      <c r="GX91" s="11" t="n">
        <v>0</v>
      </c>
      <c r="GY91" s="11" t="n">
        <v>0</v>
      </c>
      <c r="GZ91" s="11" t="n">
        <v>0</v>
      </c>
      <c r="HA91" s="11" t="n">
        <f aca="false">(GW91+GX91+GY91+GZ91)/4</f>
        <v>0</v>
      </c>
      <c r="HB91" s="9" t="n">
        <f aca="false">(GW91/GR91)</f>
        <v>0</v>
      </c>
      <c r="HC91" s="9" t="n">
        <f aca="false">(GX91/GS91)</f>
        <v>0</v>
      </c>
      <c r="HD91" s="9" t="n">
        <f aca="false">(GY91/GT91)</f>
        <v>0</v>
      </c>
      <c r="HE91" s="9" t="n">
        <f aca="false">(GZ91/GU91)/4</f>
        <v>0</v>
      </c>
      <c r="HF91" s="9" t="n">
        <f aca="false">(HB91+HC91+HD91+HE91)/4</f>
        <v>0</v>
      </c>
      <c r="HG91" s="9" t="n">
        <f aca="false">(100*HF91)</f>
        <v>0</v>
      </c>
      <c r="HH91" s="11" t="n">
        <v>0</v>
      </c>
      <c r="HI91" s="11" t="n">
        <v>2</v>
      </c>
      <c r="HJ91" s="11" t="n">
        <v>0</v>
      </c>
      <c r="HK91" s="11" t="n">
        <v>0</v>
      </c>
      <c r="HL91" s="11" t="n">
        <v>4</v>
      </c>
      <c r="HM91" s="9" t="n">
        <f aca="false">(HI91+HJ91+HK91+HL91)/4</f>
        <v>1.5</v>
      </c>
      <c r="HN91" s="9" t="n">
        <f aca="false">(HI91/GR91)</f>
        <v>0.111111111111111</v>
      </c>
      <c r="HO91" s="9" t="n">
        <f aca="false">(HJ91/GS91)</f>
        <v>0</v>
      </c>
      <c r="HP91" s="9" t="n">
        <f aca="false">(HK91/GT91)</f>
        <v>0</v>
      </c>
      <c r="HQ91" s="9" t="n">
        <f aca="false">(HL91/GU91)</f>
        <v>0.222222222222222</v>
      </c>
      <c r="HR91" s="9" t="n">
        <f aca="false">(HM91/GV91)</f>
        <v>0.101694915254237</v>
      </c>
      <c r="HS91" s="9" t="n">
        <f aca="false">(100*HR91)</f>
        <v>10.1694915254237</v>
      </c>
      <c r="HT91" s="11" t="n">
        <v>2</v>
      </c>
      <c r="HU91" s="11" t="n">
        <v>0</v>
      </c>
      <c r="HV91" s="11" t="n">
        <v>0</v>
      </c>
      <c r="HW91" s="11" t="n">
        <v>0</v>
      </c>
      <c r="HX91" s="11" t="n">
        <v>0</v>
      </c>
      <c r="HY91" s="9" t="n">
        <f aca="false">(HU91+HV91+HW91+HX91)/4</f>
        <v>0</v>
      </c>
      <c r="HZ91" s="9" t="n">
        <f aca="false">(HU91/GR91)</f>
        <v>0</v>
      </c>
      <c r="IA91" s="9" t="n">
        <f aca="false">HV91/GS91</f>
        <v>0</v>
      </c>
      <c r="IB91" s="9" t="n">
        <f aca="false">(HW91/GT91)</f>
        <v>0</v>
      </c>
      <c r="IC91" s="9" t="n">
        <f aca="false">(HX91/GU91)</f>
        <v>0</v>
      </c>
      <c r="ID91" s="9" t="n">
        <f aca="false">(HY91/GV91)</f>
        <v>0</v>
      </c>
      <c r="IE91" s="9" t="n">
        <f aca="false">(100*ID91)</f>
        <v>0</v>
      </c>
      <c r="IF91" s="11" t="n">
        <v>0</v>
      </c>
      <c r="IG91" s="11" t="n">
        <v>16</v>
      </c>
      <c r="IH91" s="11" t="n">
        <v>13</v>
      </c>
      <c r="II91" s="11" t="n">
        <v>24</v>
      </c>
      <c r="IJ91" s="9" t="n">
        <v>28</v>
      </c>
      <c r="IK91" s="9" t="n">
        <f aca="false">(IG91+IH91+II91+IJ91)/4</f>
        <v>20.25</v>
      </c>
      <c r="IL91" s="9" t="n">
        <f aca="false">(IG91/GM91)</f>
        <v>0.238805970149254</v>
      </c>
      <c r="IM91" s="9" t="n">
        <f aca="false">(IH91/GN91)</f>
        <v>0.393939393939394</v>
      </c>
      <c r="IN91" s="9" t="n">
        <f aca="false">(II91/GO91)</f>
        <v>0.258064516129032</v>
      </c>
      <c r="IO91" s="9" t="n">
        <f aca="false">(IJ91/GP91)</f>
        <v>0.8</v>
      </c>
      <c r="IP91" s="9" t="n">
        <f aca="false">(IK91/GQ91)</f>
        <v>0.355263157894737</v>
      </c>
      <c r="IQ91" s="9" t="n">
        <f aca="false">(100*IP91)</f>
        <v>35.5263157894737</v>
      </c>
      <c r="IR91" s="11" t="n">
        <v>3</v>
      </c>
      <c r="IS91" s="11" t="n">
        <v>69</v>
      </c>
      <c r="IT91" s="11" t="n">
        <v>65.1</v>
      </c>
      <c r="IU91" s="11" t="n">
        <v>63.4</v>
      </c>
      <c r="IV91" s="11" t="n">
        <v>69.3</v>
      </c>
      <c r="IW91" s="9" t="n">
        <f aca="false">(IS91+IT91+IU91+IV91)/4</f>
        <v>66.7</v>
      </c>
      <c r="IX91" s="16" t="n">
        <v>45204</v>
      </c>
      <c r="IY91" s="10" t="s">
        <v>268</v>
      </c>
    </row>
    <row r="92" customFormat="false" ht="15.75" hidden="false" customHeight="true" outlineLevel="0" collapsed="false">
      <c r="A92" s="9" t="s">
        <v>343</v>
      </c>
      <c r="B92" s="10" t="s">
        <v>479</v>
      </c>
      <c r="C92" s="10" t="s">
        <v>400</v>
      </c>
      <c r="D92" s="9" t="n">
        <v>4</v>
      </c>
      <c r="E92" s="9" t="n">
        <v>31</v>
      </c>
      <c r="F92" s="10" t="s">
        <v>480</v>
      </c>
      <c r="G92" s="10" t="s">
        <v>297</v>
      </c>
      <c r="H92" s="9" t="n">
        <v>21</v>
      </c>
      <c r="I92" s="9" t="n">
        <v>5</v>
      </c>
      <c r="J92" s="12" t="s">
        <v>264</v>
      </c>
      <c r="K92" s="13" t="s">
        <v>481</v>
      </c>
      <c r="L92" s="13" t="s">
        <v>482</v>
      </c>
      <c r="M92" s="14" t="n">
        <v>1313</v>
      </c>
      <c r="N92" s="15" t="n">
        <v>45133</v>
      </c>
      <c r="O92" s="10" t="s">
        <v>267</v>
      </c>
      <c r="P92" s="9"/>
      <c r="Q92" s="9" t="n">
        <v>65.88</v>
      </c>
      <c r="R92" s="9" t="n">
        <v>12</v>
      </c>
      <c r="S92" s="9" t="n">
        <v>-6</v>
      </c>
      <c r="T92" s="9" t="n">
        <v>110</v>
      </c>
      <c r="U92" s="9"/>
      <c r="V92" s="9" t="n">
        <v>1.52</v>
      </c>
      <c r="W92" s="10" t="s">
        <v>483</v>
      </c>
      <c r="X92" s="9" t="n">
        <v>0</v>
      </c>
      <c r="Y92" s="9" t="n">
        <v>0</v>
      </c>
      <c r="Z92" s="9" t="n">
        <v>0</v>
      </c>
      <c r="AA92" s="9" t="n">
        <v>0</v>
      </c>
      <c r="AB92" s="11" t="n">
        <f aca="false">(X92+Y92+Z92+AA92)/4</f>
        <v>0</v>
      </c>
      <c r="AC92" s="9" t="n">
        <v>1</v>
      </c>
      <c r="AD92" s="9" t="n">
        <v>0</v>
      </c>
      <c r="AE92" s="9" t="n">
        <v>0</v>
      </c>
      <c r="AF92" s="9" t="n">
        <v>1</v>
      </c>
      <c r="AG92" s="11" t="n">
        <f aca="false">(AC92+AD92+AE92+AF92)/4</f>
        <v>0.5</v>
      </c>
      <c r="AH92" s="9" t="n">
        <v>1</v>
      </c>
      <c r="AI92" s="9" t="n">
        <v>1</v>
      </c>
      <c r="AJ92" s="9" t="n">
        <v>1</v>
      </c>
      <c r="AK92" s="9" t="n">
        <v>0</v>
      </c>
      <c r="AL92" s="11" t="n">
        <f aca="false">(AH92+AI92+AJ92+AK92)/4</f>
        <v>0.75</v>
      </c>
      <c r="AM92" s="9" t="n">
        <v>56</v>
      </c>
      <c r="AN92" s="9" t="n">
        <v>30</v>
      </c>
      <c r="AO92" s="9" t="n">
        <v>66</v>
      </c>
      <c r="AP92" s="9" t="n">
        <v>56</v>
      </c>
      <c r="AQ92" s="11" t="n">
        <f aca="false">(AM92+AN92+AO92+AP92)/4</f>
        <v>52</v>
      </c>
      <c r="AR92" s="9" t="n">
        <v>34</v>
      </c>
      <c r="AS92" s="9" t="n">
        <v>8</v>
      </c>
      <c r="AT92" s="9" t="n">
        <v>32</v>
      </c>
      <c r="AU92" s="9" t="n">
        <v>15</v>
      </c>
      <c r="AV92" s="11" t="n">
        <f aca="false">(AR92+AS92+AT92+AU92)/4</f>
        <v>22.25</v>
      </c>
      <c r="AW92" s="9" t="n">
        <v>0</v>
      </c>
      <c r="AX92" s="9" t="n">
        <v>0</v>
      </c>
      <c r="AY92" s="9" t="n">
        <v>0</v>
      </c>
      <c r="AZ92" s="9" t="n">
        <v>0</v>
      </c>
      <c r="BA92" s="11" t="n">
        <f aca="false">(AW92+AX92+AY92+AZ92)/4</f>
        <v>0</v>
      </c>
      <c r="BB92" s="11" t="n">
        <f aca="false">(AW92/AR92)</f>
        <v>0</v>
      </c>
      <c r="BC92" s="11" t="n">
        <f aca="false">(AX92/AS92)</f>
        <v>0</v>
      </c>
      <c r="BD92" s="11" t="n">
        <f aca="false">(AY92/AT92)</f>
        <v>0</v>
      </c>
      <c r="BE92" s="11" t="n">
        <f aca="false">(AZ92/AU92)</f>
        <v>0</v>
      </c>
      <c r="BF92" s="11" t="n">
        <f aca="false">(BA92/AV92)</f>
        <v>0</v>
      </c>
      <c r="BG92" s="11" t="n">
        <f aca="false">(BF92*100)</f>
        <v>0</v>
      </c>
      <c r="BH92" s="9" t="n">
        <v>0</v>
      </c>
      <c r="BI92" s="9" t="n">
        <v>11</v>
      </c>
      <c r="BJ92" s="9" t="n">
        <v>0</v>
      </c>
      <c r="BK92" s="9" t="n">
        <v>0</v>
      </c>
      <c r="BL92" s="9" t="n">
        <v>7</v>
      </c>
      <c r="BM92" s="11" t="n">
        <f aca="false">(BI92+BJ92+BK92+BL92)/4</f>
        <v>4.5</v>
      </c>
      <c r="BN92" s="11" t="n">
        <f aca="false">(BI92/AR92)</f>
        <v>0.323529411764706</v>
      </c>
      <c r="BO92" s="11" t="n">
        <f aca="false">(BJ92/AS92)</f>
        <v>0</v>
      </c>
      <c r="BP92" s="11" t="n">
        <f aca="false">(BK92/AT92)</f>
        <v>0</v>
      </c>
      <c r="BQ92" s="11" t="n">
        <f aca="false">(BL92/AU92)</f>
        <v>0.466666666666667</v>
      </c>
      <c r="BR92" s="11" t="n">
        <f aca="false">(BM92/AV92)</f>
        <v>0.202247191011236</v>
      </c>
      <c r="BS92" s="11" t="n">
        <f aca="false">(100*BR92)</f>
        <v>20.2247191011236</v>
      </c>
      <c r="BT92" s="9" t="n">
        <v>3</v>
      </c>
      <c r="BU92" s="9" t="n">
        <v>0</v>
      </c>
      <c r="BV92" s="9" t="n">
        <v>0</v>
      </c>
      <c r="BW92" s="9" t="n">
        <v>0</v>
      </c>
      <c r="BX92" s="9" t="n">
        <v>0</v>
      </c>
      <c r="BY92" s="11" t="n">
        <f aca="false">(BU92+BV92+BW92+BX92)/4</f>
        <v>0</v>
      </c>
      <c r="BZ92" s="11" t="n">
        <f aca="false">(BU92/AR92)</f>
        <v>0</v>
      </c>
      <c r="CA92" s="11" t="n">
        <f aca="false">(BV92/AS92)</f>
        <v>0</v>
      </c>
      <c r="CB92" s="11" t="n">
        <f aca="false">(BW92/AT92)</f>
        <v>0</v>
      </c>
      <c r="CC92" s="11" t="n">
        <f aca="false">(BX92/AU92)</f>
        <v>0</v>
      </c>
      <c r="CD92" s="11" t="n">
        <f aca="false">(BY92/AV92)</f>
        <v>0</v>
      </c>
      <c r="CE92" s="11" t="n">
        <f aca="false">(100*CD92)</f>
        <v>0</v>
      </c>
      <c r="CF92" s="9" t="n">
        <v>0</v>
      </c>
      <c r="CG92" s="9" t="n">
        <v>16</v>
      </c>
      <c r="CH92" s="9" t="n">
        <v>4</v>
      </c>
      <c r="CI92" s="9" t="n">
        <v>3</v>
      </c>
      <c r="CJ92" s="9" t="n">
        <v>0</v>
      </c>
      <c r="CK92" s="11" t="n">
        <f aca="false">(CG92+CH92+CI92+CJ92)/4</f>
        <v>5.75</v>
      </c>
      <c r="CL92" s="11" t="n">
        <f aca="false">(CG92/AM92)</f>
        <v>0.285714285714286</v>
      </c>
      <c r="CM92" s="11" t="n">
        <f aca="false">(CH92/AN92)</f>
        <v>0.133333333333333</v>
      </c>
      <c r="CN92" s="11" t="n">
        <f aca="false">(CI92/AO92)</f>
        <v>0.0454545454545455</v>
      </c>
      <c r="CO92" s="9" t="n">
        <f aca="false">(CJ92/AP92)</f>
        <v>0</v>
      </c>
      <c r="CP92" s="9" t="n">
        <f aca="false">(CK92/AQ92)</f>
        <v>0.110576923076923</v>
      </c>
      <c r="CQ92" s="9" t="n">
        <f aca="false">(100*CP92)</f>
        <v>11.0576923076923</v>
      </c>
      <c r="CR92" s="18" t="n">
        <v>2</v>
      </c>
      <c r="CS92" s="9" t="n">
        <v>63.6</v>
      </c>
      <c r="CT92" s="9" t="n">
        <v>40.5</v>
      </c>
      <c r="CU92" s="9" t="n">
        <v>61.1</v>
      </c>
      <c r="CV92" s="9" t="n">
        <v>52.3</v>
      </c>
      <c r="CW92" s="11" t="n">
        <f aca="false">(CS92+CT92+CU92+CV92)/4</f>
        <v>54.375</v>
      </c>
      <c r="CX92" s="9" t="n">
        <v>0</v>
      </c>
      <c r="CY92" s="9" t="n">
        <v>0</v>
      </c>
      <c r="CZ92" s="9" t="n">
        <v>0</v>
      </c>
      <c r="DA92" s="9" t="n">
        <v>0</v>
      </c>
      <c r="DB92" s="11" t="n">
        <f aca="false">(CX92+CY92+CZ92+DA92)/4</f>
        <v>0</v>
      </c>
      <c r="DC92" s="9" t="n">
        <v>1</v>
      </c>
      <c r="DD92" s="9" t="n">
        <v>1</v>
      </c>
      <c r="DE92" s="9" t="n">
        <v>1</v>
      </c>
      <c r="DF92" s="9" t="n">
        <v>1</v>
      </c>
      <c r="DG92" s="11" t="n">
        <f aca="false">(DC92+DD92+DE92+DF92)/4</f>
        <v>1</v>
      </c>
      <c r="DH92" s="9" t="n">
        <v>1</v>
      </c>
      <c r="DI92" s="9" t="n">
        <v>1</v>
      </c>
      <c r="DJ92" s="9" t="n">
        <v>1</v>
      </c>
      <c r="DK92" s="9" t="n">
        <v>1</v>
      </c>
      <c r="DL92" s="11" t="n">
        <f aca="false">(DH92+DI92+DJ92+DK92)/4</f>
        <v>1</v>
      </c>
      <c r="DM92" s="9" t="n">
        <v>68</v>
      </c>
      <c r="DN92" s="9" t="n">
        <v>112</v>
      </c>
      <c r="DO92" s="9" t="n">
        <v>113</v>
      </c>
      <c r="DP92" s="9" t="n">
        <v>196</v>
      </c>
      <c r="DQ92" s="11" t="n">
        <f aca="false">(DM92+DN92+DO92+DP92)/4</f>
        <v>122.25</v>
      </c>
      <c r="DR92" s="9" t="n">
        <v>21</v>
      </c>
      <c r="DS92" s="9" t="n">
        <v>10</v>
      </c>
      <c r="DT92" s="9" t="n">
        <v>41</v>
      </c>
      <c r="DU92" s="9" t="n">
        <v>56</v>
      </c>
      <c r="DV92" s="11" t="n">
        <f aca="false">(DR92+DS92+DT92+DU92)/4</f>
        <v>32</v>
      </c>
      <c r="DW92" s="9" t="n">
        <v>0</v>
      </c>
      <c r="DX92" s="9" t="n">
        <v>0</v>
      </c>
      <c r="DY92" s="9" t="n">
        <v>0</v>
      </c>
      <c r="DZ92" s="9" t="n">
        <v>0</v>
      </c>
      <c r="EA92" s="11" t="n">
        <f aca="false">(DW92+DX92+DY92+DZ92)/4</f>
        <v>0</v>
      </c>
      <c r="EB92" s="11" t="n">
        <f aca="false">(DW92/DR92)</f>
        <v>0</v>
      </c>
      <c r="EC92" s="11" t="n">
        <f aca="false">(DX92/DS92)</f>
        <v>0</v>
      </c>
      <c r="ED92" s="11" t="n">
        <f aca="false">(DY92/DT92)</f>
        <v>0</v>
      </c>
      <c r="EE92" s="11" t="n">
        <f aca="false">(DZ92/DU92)</f>
        <v>0</v>
      </c>
      <c r="EF92" s="11" t="n">
        <f aca="false">(EA92/DV92)</f>
        <v>0</v>
      </c>
      <c r="EG92" s="11" t="n">
        <f aca="false">(100*EF92)</f>
        <v>0</v>
      </c>
      <c r="EH92" s="9" t="n">
        <v>0</v>
      </c>
      <c r="EI92" s="9" t="n">
        <v>3</v>
      </c>
      <c r="EJ92" s="9" t="n">
        <v>5</v>
      </c>
      <c r="EK92" s="19" t="n">
        <v>11</v>
      </c>
      <c r="EL92" s="9" t="n">
        <v>10</v>
      </c>
      <c r="EM92" s="9" t="n">
        <f aca="false">(EI92+EJ92+EK92+EL92)/4</f>
        <v>7.25</v>
      </c>
      <c r="EN92" s="9" t="n">
        <f aca="false">(EI92/DR92)</f>
        <v>0.142857142857143</v>
      </c>
      <c r="EO92" s="9" t="n">
        <f aca="false">(EJ92/DS92)</f>
        <v>0.5</v>
      </c>
      <c r="EP92" s="9" t="n">
        <f aca="false">(EK92/DT92)</f>
        <v>0.268292682926829</v>
      </c>
      <c r="EQ92" s="9" t="n">
        <f aca="false">(EL92/DU92)</f>
        <v>0.178571428571429</v>
      </c>
      <c r="ER92" s="9" t="n">
        <f aca="false">EM92/DV92</f>
        <v>0.2265625</v>
      </c>
      <c r="ES92" s="9" t="n">
        <f aca="false">(100*ER92)</f>
        <v>22.65625</v>
      </c>
      <c r="ET92" s="9" t="n">
        <v>2</v>
      </c>
      <c r="EU92" s="18" t="n">
        <v>0</v>
      </c>
      <c r="EV92" s="9" t="n">
        <v>0</v>
      </c>
      <c r="EW92" s="9" t="n">
        <v>0</v>
      </c>
      <c r="EX92" s="9" t="n">
        <v>0</v>
      </c>
      <c r="EY92" s="11" t="n">
        <f aca="false">(EU92+EV92+EW92+EX92)/4</f>
        <v>0</v>
      </c>
      <c r="EZ92" s="11" t="n">
        <f aca="false">(EU92/DR92)</f>
        <v>0</v>
      </c>
      <c r="FA92" s="11" t="n">
        <f aca="false">(EV92/DS92)</f>
        <v>0</v>
      </c>
      <c r="FB92" s="11" t="n">
        <f aca="false">(EW92/DT92)</f>
        <v>0</v>
      </c>
      <c r="FC92" s="11" t="n">
        <f aca="false">(EX92/DU92)</f>
        <v>0</v>
      </c>
      <c r="FD92" s="11" t="n">
        <f aca="false">(EY92/DV92)</f>
        <v>0</v>
      </c>
      <c r="FE92" s="11" t="n">
        <f aca="false">(100*FD92)</f>
        <v>0</v>
      </c>
      <c r="FF92" s="9" t="n">
        <v>0</v>
      </c>
      <c r="FG92" s="9" t="n">
        <v>19</v>
      </c>
      <c r="FH92" s="9" t="n">
        <v>29</v>
      </c>
      <c r="FI92" s="9" t="n">
        <v>3</v>
      </c>
      <c r="FJ92" s="9" t="n">
        <v>10</v>
      </c>
      <c r="FK92" s="11" t="n">
        <f aca="false">(FG92+FH92+FI92+FJ92)/4</f>
        <v>15.25</v>
      </c>
      <c r="FL92" s="11" t="n">
        <f aca="false">(FG92/DR92)</f>
        <v>0.904761904761905</v>
      </c>
      <c r="FM92" s="11" t="n">
        <f aca="false">(FH92/DS92)</f>
        <v>2.9</v>
      </c>
      <c r="FN92" s="11" t="n">
        <f aca="false">(FI92/DT92)</f>
        <v>0.0731707317073171</v>
      </c>
      <c r="FO92" s="11" t="n">
        <f aca="false">(FJ92/DU92)</f>
        <v>0.178571428571429</v>
      </c>
      <c r="FP92" s="11" t="n">
        <f aca="false">(FK92/DV92)</f>
        <v>0.4765625</v>
      </c>
      <c r="FQ92" s="11" t="n">
        <f aca="false">(100*FP92)</f>
        <v>47.65625</v>
      </c>
      <c r="FR92" s="9" t="n">
        <v>3</v>
      </c>
      <c r="FS92" s="9" t="n">
        <v>59.8</v>
      </c>
      <c r="FT92" s="9" t="n">
        <v>59.3</v>
      </c>
      <c r="FU92" s="9" t="n">
        <v>69.3</v>
      </c>
      <c r="FV92" s="9" t="n">
        <v>74.4</v>
      </c>
      <c r="FW92" s="11" t="n">
        <f aca="false">(FS92+FT92+FU92+FV92)/4</f>
        <v>65.7</v>
      </c>
      <c r="FX92" s="9" t="n">
        <v>0</v>
      </c>
      <c r="FY92" s="9" t="n">
        <v>0</v>
      </c>
      <c r="FZ92" s="9" t="n">
        <v>0</v>
      </c>
      <c r="GA92" s="9" t="n">
        <v>0</v>
      </c>
      <c r="GB92" s="11" t="n">
        <f aca="false">(FX92+FY92+FZ92+GA92)/4</f>
        <v>0</v>
      </c>
      <c r="GC92" s="9" t="n">
        <v>1</v>
      </c>
      <c r="GD92" s="9" t="n">
        <v>1</v>
      </c>
      <c r="GE92" s="9" t="n">
        <v>1</v>
      </c>
      <c r="GF92" s="9" t="n">
        <v>1</v>
      </c>
      <c r="GG92" s="11" t="n">
        <f aca="false">(GC92+GD92+GE92+GF92)/4</f>
        <v>1</v>
      </c>
      <c r="GH92" s="9" t="n">
        <v>0</v>
      </c>
      <c r="GI92" s="9" t="n">
        <v>1</v>
      </c>
      <c r="GJ92" s="9" t="n">
        <v>0</v>
      </c>
      <c r="GK92" s="9" t="n">
        <v>1</v>
      </c>
      <c r="GL92" s="11" t="n">
        <f aca="false">(GH92+GI92+GJ92+GK92)/4</f>
        <v>0.5</v>
      </c>
      <c r="GM92" s="9" t="n">
        <v>55</v>
      </c>
      <c r="GN92" s="9" t="n">
        <v>108</v>
      </c>
      <c r="GO92" s="9" t="n">
        <v>105</v>
      </c>
      <c r="GP92" s="9" t="n">
        <v>163</v>
      </c>
      <c r="GQ92" s="11" t="n">
        <f aca="false">(GM92+GN92+GO92+GP92)/4</f>
        <v>107.75</v>
      </c>
      <c r="GR92" s="9" t="n">
        <v>20</v>
      </c>
      <c r="GS92" s="9" t="n">
        <v>24</v>
      </c>
      <c r="GT92" s="9" t="n">
        <v>21</v>
      </c>
      <c r="GU92" s="9" t="n">
        <v>9</v>
      </c>
      <c r="GV92" s="11" t="n">
        <f aca="false">(GR92+GS92+GT92+GU92)/4</f>
        <v>18.5</v>
      </c>
      <c r="GW92" s="9" t="n">
        <v>0</v>
      </c>
      <c r="GX92" s="9" t="n">
        <v>0</v>
      </c>
      <c r="GY92" s="9" t="n">
        <v>0</v>
      </c>
      <c r="GZ92" s="9" t="n">
        <v>0</v>
      </c>
      <c r="HA92" s="11" t="n">
        <f aca="false">(GW92+GX92+GY92+GZ92)/4</f>
        <v>0</v>
      </c>
      <c r="HB92" s="9" t="n">
        <f aca="false">(GW92/GR92)</f>
        <v>0</v>
      </c>
      <c r="HC92" s="9" t="n">
        <f aca="false">(GX92/GS92)</f>
        <v>0</v>
      </c>
      <c r="HD92" s="9" t="n">
        <f aca="false">(GY92/GT92)</f>
        <v>0</v>
      </c>
      <c r="HE92" s="9" t="n">
        <f aca="false">(GZ92/GU92)/4</f>
        <v>0</v>
      </c>
      <c r="HF92" s="9" t="n">
        <f aca="false">(HB92+HC92+HD92+HE92)/4</f>
        <v>0</v>
      </c>
      <c r="HG92" s="9" t="n">
        <f aca="false">(100*HF92)</f>
        <v>0</v>
      </c>
      <c r="HH92" s="18" t="n">
        <v>0</v>
      </c>
      <c r="HI92" s="9" t="n">
        <v>5</v>
      </c>
      <c r="HJ92" s="9" t="n">
        <v>4</v>
      </c>
      <c r="HK92" s="9" t="n">
        <v>7</v>
      </c>
      <c r="HL92" s="19" t="n">
        <v>4</v>
      </c>
      <c r="HM92" s="9" t="n">
        <f aca="false">(HI92+HJ92+HK92+HL92)/4</f>
        <v>5</v>
      </c>
      <c r="HN92" s="9" t="n">
        <f aca="false">(HI92/GR92)</f>
        <v>0.25</v>
      </c>
      <c r="HO92" s="9" t="n">
        <f aca="false">(HJ92/GS92)</f>
        <v>0.166666666666667</v>
      </c>
      <c r="HP92" s="9" t="n">
        <f aca="false">(HK92/GT92)</f>
        <v>0.333333333333333</v>
      </c>
      <c r="HQ92" s="9" t="n">
        <f aca="false">(HL92/GU92)</f>
        <v>0.444444444444444</v>
      </c>
      <c r="HR92" s="9" t="n">
        <f aca="false">(HM92/GV92)</f>
        <v>0.27027027027027</v>
      </c>
      <c r="HS92" s="9" t="n">
        <f aca="false">(100*HR92)</f>
        <v>27.027027027027</v>
      </c>
      <c r="HT92" s="11" t="n">
        <v>2</v>
      </c>
      <c r="HU92" s="11" t="n">
        <v>0</v>
      </c>
      <c r="HV92" s="11" t="n">
        <v>0</v>
      </c>
      <c r="HW92" s="11" t="n">
        <v>0</v>
      </c>
      <c r="HX92" s="11" t="n">
        <v>0</v>
      </c>
      <c r="HY92" s="9" t="n">
        <f aca="false">(HU92+HV92+HW92+HX92)/4</f>
        <v>0</v>
      </c>
      <c r="HZ92" s="9" t="n">
        <f aca="false">(HU92/GR92)</f>
        <v>0</v>
      </c>
      <c r="IA92" s="9" t="n">
        <f aca="false">HV92/GS92</f>
        <v>0</v>
      </c>
      <c r="IB92" s="9" t="n">
        <f aca="false">(HW92/GT92)</f>
        <v>0</v>
      </c>
      <c r="IC92" s="9" t="n">
        <f aca="false">(HX92/GU92)</f>
        <v>0</v>
      </c>
      <c r="ID92" s="9" t="n">
        <f aca="false">(HY92/GV92)</f>
        <v>0</v>
      </c>
      <c r="IE92" s="9" t="n">
        <f aca="false">(100*ID92)</f>
        <v>0</v>
      </c>
      <c r="IF92" s="18" t="n">
        <v>0</v>
      </c>
      <c r="IG92" s="9" t="n">
        <v>0</v>
      </c>
      <c r="IH92" s="9" t="n">
        <v>1</v>
      </c>
      <c r="II92" s="19" t="n">
        <v>0</v>
      </c>
      <c r="IJ92" s="9" t="n">
        <v>24</v>
      </c>
      <c r="IK92" s="9" t="n">
        <f aca="false">(IG92+IH92+II92+IJ92)/4</f>
        <v>6.25</v>
      </c>
      <c r="IL92" s="9" t="n">
        <f aca="false">(IG92/GM92)</f>
        <v>0</v>
      </c>
      <c r="IM92" s="9" t="n">
        <f aca="false">(IH92/GN92)</f>
        <v>0.00925925925925926</v>
      </c>
      <c r="IN92" s="9" t="n">
        <f aca="false">(II92/GO92)</f>
        <v>0</v>
      </c>
      <c r="IO92" s="9" t="n">
        <f aca="false">(IJ92/GP92)</f>
        <v>0.147239263803681</v>
      </c>
      <c r="IP92" s="9" t="n">
        <f aca="false">(IK92/GQ92)</f>
        <v>0.0580046403712297</v>
      </c>
      <c r="IQ92" s="9" t="n">
        <f aca="false">(100*IP92)</f>
        <v>5.80046403712297</v>
      </c>
      <c r="IR92" s="18" t="n">
        <v>1</v>
      </c>
      <c r="IS92" s="9" t="n">
        <v>70.1</v>
      </c>
      <c r="IT92" s="9" t="n">
        <v>75.7</v>
      </c>
      <c r="IU92" s="19" t="n">
        <v>73.6</v>
      </c>
      <c r="IV92" s="9" t="n">
        <v>70.2</v>
      </c>
      <c r="IW92" s="9" t="n">
        <f aca="false">(IS92+IT92+IU92+IV92)/4</f>
        <v>72.4</v>
      </c>
      <c r="IX92" s="16" t="n">
        <v>45204</v>
      </c>
      <c r="IY92" s="10" t="s">
        <v>268</v>
      </c>
    </row>
    <row r="93" customFormat="false" ht="15.75" hidden="false" customHeight="true" outlineLevel="0" collapsed="false">
      <c r="A93" s="9" t="s">
        <v>343</v>
      </c>
      <c r="B93" s="10" t="s">
        <v>479</v>
      </c>
      <c r="C93" s="10" t="s">
        <v>400</v>
      </c>
      <c r="D93" s="9" t="n">
        <v>4</v>
      </c>
      <c r="E93" s="9" t="n">
        <v>31</v>
      </c>
      <c r="F93" s="10" t="s">
        <v>484</v>
      </c>
      <c r="G93" s="10" t="s">
        <v>291</v>
      </c>
      <c r="H93" s="9" t="n">
        <v>21</v>
      </c>
      <c r="I93" s="9" t="n">
        <v>10</v>
      </c>
      <c r="J93" s="12" t="s">
        <v>270</v>
      </c>
      <c r="K93" s="20"/>
      <c r="L93" s="20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 t="n">
        <v>0</v>
      </c>
      <c r="Y93" s="9" t="n">
        <v>0</v>
      </c>
      <c r="Z93" s="9" t="n">
        <v>0</v>
      </c>
      <c r="AA93" s="9" t="n">
        <v>0</v>
      </c>
      <c r="AB93" s="11" t="n">
        <f aca="false">(X93+Y93+Z93+AA93)/4</f>
        <v>0</v>
      </c>
      <c r="AC93" s="9" t="n">
        <v>1</v>
      </c>
      <c r="AD93" s="9" t="n">
        <v>1</v>
      </c>
      <c r="AE93" s="9" t="n">
        <v>1</v>
      </c>
      <c r="AF93" s="9" t="n">
        <v>1</v>
      </c>
      <c r="AG93" s="11" t="n">
        <f aca="false">(AC93+AD93+AE93+AF93)/4</f>
        <v>1</v>
      </c>
      <c r="AH93" s="9" t="n">
        <v>1</v>
      </c>
      <c r="AI93" s="9" t="n">
        <v>1</v>
      </c>
      <c r="AJ93" s="9" t="n">
        <v>1</v>
      </c>
      <c r="AK93" s="9" t="n">
        <v>1</v>
      </c>
      <c r="AL93" s="11" t="n">
        <f aca="false">(AH93+AI93+AJ93+AK93)/4</f>
        <v>1</v>
      </c>
      <c r="AM93" s="9" t="n">
        <v>64</v>
      </c>
      <c r="AN93" s="9" t="n">
        <v>57</v>
      </c>
      <c r="AO93" s="9" t="n">
        <v>42</v>
      </c>
      <c r="AP93" s="9" t="n">
        <v>79</v>
      </c>
      <c r="AQ93" s="11" t="n">
        <f aca="false">(AM93+AN93+AO93+AP93)/4</f>
        <v>60.5</v>
      </c>
      <c r="AR93" s="9" t="n">
        <v>3</v>
      </c>
      <c r="AS93" s="9" t="n">
        <v>15</v>
      </c>
      <c r="AT93" s="9" t="n">
        <v>9</v>
      </c>
      <c r="AU93" s="9" t="n">
        <v>8</v>
      </c>
      <c r="AV93" s="11" t="n">
        <f aca="false">(AR93+AS93+AT93+AU93)/4</f>
        <v>8.75</v>
      </c>
      <c r="AW93" s="9" t="n">
        <v>0</v>
      </c>
      <c r="AX93" s="9" t="n">
        <v>0</v>
      </c>
      <c r="AY93" s="9" t="n">
        <v>0</v>
      </c>
      <c r="AZ93" s="9" t="n">
        <v>0</v>
      </c>
      <c r="BA93" s="11" t="n">
        <f aca="false">(AW93+AX93+AY93+AZ93)/4</f>
        <v>0</v>
      </c>
      <c r="BB93" s="11" t="n">
        <f aca="false">(AW93/AR93)</f>
        <v>0</v>
      </c>
      <c r="BC93" s="11" t="n">
        <f aca="false">(AX93/AS93)</f>
        <v>0</v>
      </c>
      <c r="BD93" s="11" t="n">
        <f aca="false">(AY93/AT93)</f>
        <v>0</v>
      </c>
      <c r="BE93" s="11" t="n">
        <f aca="false">(AZ93/AU93)</f>
        <v>0</v>
      </c>
      <c r="BF93" s="11" t="n">
        <f aca="false">(BA93/AV93)</f>
        <v>0</v>
      </c>
      <c r="BG93" s="11" t="n">
        <f aca="false">(BF93*100)</f>
        <v>0</v>
      </c>
      <c r="BH93" s="9" t="n">
        <v>0</v>
      </c>
      <c r="BI93" s="9" t="n">
        <v>3</v>
      </c>
      <c r="BJ93" s="9" t="n">
        <v>12</v>
      </c>
      <c r="BK93" s="9" t="n">
        <v>4</v>
      </c>
      <c r="BL93" s="9" t="n">
        <v>6</v>
      </c>
      <c r="BM93" s="11" t="n">
        <f aca="false">(BI93+BJ93+BK93+BL93)/4</f>
        <v>6.25</v>
      </c>
      <c r="BN93" s="11" t="n">
        <f aca="false">(BI93/AR93)</f>
        <v>1</v>
      </c>
      <c r="BO93" s="11" t="n">
        <f aca="false">(BJ93/AS93)</f>
        <v>0.8</v>
      </c>
      <c r="BP93" s="11" t="n">
        <f aca="false">(BK93/AT93)</f>
        <v>0.444444444444444</v>
      </c>
      <c r="BQ93" s="11" t="n">
        <f aca="false">(BL93/AU93)</f>
        <v>0.75</v>
      </c>
      <c r="BR93" s="11" t="n">
        <f aca="false">(BM93/AV93)</f>
        <v>0.714285714285714</v>
      </c>
      <c r="BS93" s="11" t="n">
        <f aca="false">(100*BR93)</f>
        <v>71.4285714285714</v>
      </c>
      <c r="BT93" s="9" t="n">
        <v>3</v>
      </c>
      <c r="BU93" s="9" t="n">
        <v>0</v>
      </c>
      <c r="BV93" s="9" t="n">
        <v>0</v>
      </c>
      <c r="BW93" s="9" t="n">
        <v>0</v>
      </c>
      <c r="BX93" s="9" t="n">
        <v>0</v>
      </c>
      <c r="BY93" s="11" t="n">
        <f aca="false">(BU93+BV93+BW93+BX93)/4</f>
        <v>0</v>
      </c>
      <c r="BZ93" s="11" t="n">
        <f aca="false">(BU93/AR93)</f>
        <v>0</v>
      </c>
      <c r="CA93" s="11" t="n">
        <f aca="false">(BV93/AS93)</f>
        <v>0</v>
      </c>
      <c r="CB93" s="11" t="n">
        <f aca="false">(BW93/AT93)</f>
        <v>0</v>
      </c>
      <c r="CC93" s="11" t="n">
        <f aca="false">(BX93/AU93)</f>
        <v>0</v>
      </c>
      <c r="CD93" s="11" t="n">
        <f aca="false">(BY93/AV93)</f>
        <v>0</v>
      </c>
      <c r="CE93" s="11" t="n">
        <f aca="false">(100*CD93)</f>
        <v>0</v>
      </c>
      <c r="CF93" s="9" t="n">
        <v>0</v>
      </c>
      <c r="CG93" s="9" t="n">
        <v>52</v>
      </c>
      <c r="CH93" s="9" t="n">
        <v>35</v>
      </c>
      <c r="CI93" s="9" t="n">
        <v>27</v>
      </c>
      <c r="CJ93" s="9" t="n">
        <v>39</v>
      </c>
      <c r="CK93" s="11" t="n">
        <f aca="false">(CG93+CH93+CI93+CJ93)/4</f>
        <v>38.25</v>
      </c>
      <c r="CL93" s="11" t="n">
        <f aca="false">(CG93/AM93)</f>
        <v>0.8125</v>
      </c>
      <c r="CM93" s="11" t="n">
        <f aca="false">(CH93/AN93)</f>
        <v>0.614035087719298</v>
      </c>
      <c r="CN93" s="11" t="n">
        <f aca="false">(CI93/AO93)</f>
        <v>0.642857142857143</v>
      </c>
      <c r="CO93" s="9" t="n">
        <f aca="false">(CJ93/AP93)</f>
        <v>0.493670886075949</v>
      </c>
      <c r="CP93" s="9" t="n">
        <f aca="false">(CK93/AQ93)</f>
        <v>0.632231404958678</v>
      </c>
      <c r="CQ93" s="9" t="n">
        <f aca="false">(100*CP93)</f>
        <v>63.2231404958678</v>
      </c>
      <c r="CR93" s="18" t="n">
        <v>3</v>
      </c>
      <c r="CS93" s="9" t="n">
        <v>62.5</v>
      </c>
      <c r="CT93" s="9" t="n">
        <v>68.8</v>
      </c>
      <c r="CU93" s="9" t="n">
        <v>67.8</v>
      </c>
      <c r="CV93" s="9" t="n">
        <v>66.5</v>
      </c>
      <c r="CW93" s="11" t="n">
        <f aca="false">(CS93+CT93+CU93+CV93)/4</f>
        <v>66.4</v>
      </c>
      <c r="CX93" s="9" t="n">
        <v>0</v>
      </c>
      <c r="CY93" s="9" t="n">
        <v>0</v>
      </c>
      <c r="CZ93" s="9" t="n">
        <v>0</v>
      </c>
      <c r="DA93" s="9" t="n">
        <v>0</v>
      </c>
      <c r="DB93" s="11" t="n">
        <f aca="false">(CX93+CY93+CZ93+DA93)/4</f>
        <v>0</v>
      </c>
      <c r="DC93" s="9" t="n">
        <v>1</v>
      </c>
      <c r="DD93" s="9" t="n">
        <v>1</v>
      </c>
      <c r="DE93" s="9" t="n">
        <v>1</v>
      </c>
      <c r="DF93" s="9" t="n">
        <v>1</v>
      </c>
      <c r="DG93" s="11" t="n">
        <f aca="false">(DC93+DD93+DE93+DF93)/4</f>
        <v>1</v>
      </c>
      <c r="DH93" s="9" t="n">
        <v>1</v>
      </c>
      <c r="DI93" s="9" t="n">
        <v>1</v>
      </c>
      <c r="DJ93" s="9" t="n">
        <v>1</v>
      </c>
      <c r="DK93" s="9" t="n">
        <v>1</v>
      </c>
      <c r="DL93" s="11" t="n">
        <f aca="false">(DH93+DI93+DJ93+DK93)/4</f>
        <v>1</v>
      </c>
      <c r="DM93" s="9" t="n">
        <v>62</v>
      </c>
      <c r="DN93" s="9" t="n">
        <v>128</v>
      </c>
      <c r="DO93" s="9" t="n">
        <v>45</v>
      </c>
      <c r="DP93" s="9" t="n">
        <v>110</v>
      </c>
      <c r="DQ93" s="11" t="n">
        <f aca="false">(DM93+DN93+DO93+DP93)/4</f>
        <v>86.25</v>
      </c>
      <c r="DR93" s="9" t="n">
        <v>6</v>
      </c>
      <c r="DS93" s="9" t="n">
        <v>10</v>
      </c>
      <c r="DT93" s="9" t="n">
        <v>14</v>
      </c>
      <c r="DU93" s="9" t="n">
        <v>16</v>
      </c>
      <c r="DV93" s="11" t="n">
        <f aca="false">(DR93+DS93+DT93+DU93)/4</f>
        <v>11.5</v>
      </c>
      <c r="DW93" s="9" t="n">
        <v>0</v>
      </c>
      <c r="DX93" s="9" t="n">
        <v>0</v>
      </c>
      <c r="DY93" s="9" t="n">
        <v>0</v>
      </c>
      <c r="DZ93" s="9" t="n">
        <v>0</v>
      </c>
      <c r="EA93" s="11" t="n">
        <f aca="false">(DW93+DX93+DY93+DZ93)/4</f>
        <v>0</v>
      </c>
      <c r="EB93" s="11" t="n">
        <f aca="false">(DW93/DR93)</f>
        <v>0</v>
      </c>
      <c r="EC93" s="11" t="n">
        <f aca="false">(DX93/DS93)</f>
        <v>0</v>
      </c>
      <c r="ED93" s="11" t="n">
        <f aca="false">(DY93/DT93)</f>
        <v>0</v>
      </c>
      <c r="EE93" s="11" t="n">
        <f aca="false">(DZ93/DU93)</f>
        <v>0</v>
      </c>
      <c r="EF93" s="11" t="n">
        <f aca="false">(EA93/DV93)</f>
        <v>0</v>
      </c>
      <c r="EG93" s="11" t="n">
        <f aca="false">(100*EF93)</f>
        <v>0</v>
      </c>
      <c r="EH93" s="9" t="n">
        <v>0</v>
      </c>
      <c r="EI93" s="9" t="n">
        <v>4</v>
      </c>
      <c r="EJ93" s="9" t="n">
        <v>7</v>
      </c>
      <c r="EK93" s="19" t="n">
        <v>5</v>
      </c>
      <c r="EL93" s="9" t="n">
        <v>5</v>
      </c>
      <c r="EM93" s="9" t="n">
        <f aca="false">(EI93+EJ93+EK93+EL93)/4</f>
        <v>5.25</v>
      </c>
      <c r="EN93" s="9" t="n">
        <f aca="false">(EI93/DR93)</f>
        <v>0.666666666666667</v>
      </c>
      <c r="EO93" s="9" t="n">
        <f aca="false">(EJ93/DS93)</f>
        <v>0.7</v>
      </c>
      <c r="EP93" s="9" t="n">
        <f aca="false">(EK93/DT93)</f>
        <v>0.357142857142857</v>
      </c>
      <c r="EQ93" s="9" t="n">
        <f aca="false">(EL93/DU93)</f>
        <v>0.3125</v>
      </c>
      <c r="ER93" s="9" t="n">
        <f aca="false">EM93/DV93</f>
        <v>0.456521739130435</v>
      </c>
      <c r="ES93" s="9" t="n">
        <f aca="false">(100*ER93)</f>
        <v>45.6521739130435</v>
      </c>
      <c r="ET93" s="9" t="n">
        <v>3</v>
      </c>
      <c r="EU93" s="18" t="n">
        <v>0</v>
      </c>
      <c r="EV93" s="9" t="n">
        <v>0</v>
      </c>
      <c r="EW93" s="9" t="n">
        <v>0</v>
      </c>
      <c r="EX93" s="9" t="n">
        <v>0</v>
      </c>
      <c r="EY93" s="11" t="n">
        <f aca="false">(EU93+EV93+EW93+EX93)/4</f>
        <v>0</v>
      </c>
      <c r="EZ93" s="11" t="n">
        <f aca="false">(EU93/DR93)</f>
        <v>0</v>
      </c>
      <c r="FA93" s="11" t="n">
        <f aca="false">(EV93/DS93)</f>
        <v>0</v>
      </c>
      <c r="FB93" s="11" t="n">
        <f aca="false">(EW93/DT93)</f>
        <v>0</v>
      </c>
      <c r="FC93" s="11" t="n">
        <f aca="false">(EX93/DU93)</f>
        <v>0</v>
      </c>
      <c r="FD93" s="11" t="n">
        <f aca="false">(EY93/DV93)</f>
        <v>0</v>
      </c>
      <c r="FE93" s="11" t="n">
        <f aca="false">(100*FD93)</f>
        <v>0</v>
      </c>
      <c r="FF93" s="9" t="n">
        <v>0</v>
      </c>
      <c r="FG93" s="9" t="n">
        <v>37</v>
      </c>
      <c r="FH93" s="9" t="n">
        <v>68</v>
      </c>
      <c r="FI93" s="9" t="n">
        <v>37</v>
      </c>
      <c r="FJ93" s="9" t="n">
        <v>49</v>
      </c>
      <c r="FK93" s="11" t="n">
        <f aca="false">(FG93+FH93+FI93+FJ93)/4</f>
        <v>47.75</v>
      </c>
      <c r="FL93" s="11" t="n">
        <f aca="false">(FG93/DR93)</f>
        <v>6.16666666666667</v>
      </c>
      <c r="FM93" s="11" t="n">
        <f aca="false">(FH93/DS93)</f>
        <v>6.8</v>
      </c>
      <c r="FN93" s="11" t="n">
        <f aca="false">(FI93/DT93)</f>
        <v>2.64285714285714</v>
      </c>
      <c r="FO93" s="11" t="n">
        <f aca="false">(FJ93/DU93)</f>
        <v>3.0625</v>
      </c>
      <c r="FP93" s="11" t="n">
        <f aca="false">(FK93/DV93)</f>
        <v>4.15217391304348</v>
      </c>
      <c r="FQ93" s="11" t="n">
        <f aca="false">(100*FP93)</f>
        <v>415.217391304348</v>
      </c>
      <c r="FR93" s="9" t="n">
        <v>3</v>
      </c>
      <c r="FS93" s="9" t="n">
        <v>62.3</v>
      </c>
      <c r="FT93" s="9" t="n">
        <v>71.7</v>
      </c>
      <c r="FU93" s="9" t="n">
        <v>75</v>
      </c>
      <c r="FV93" s="9" t="n">
        <v>72.9</v>
      </c>
      <c r="FW93" s="11" t="n">
        <f aca="false">(FS93+FT93+FU93+FV93)/4</f>
        <v>70.475</v>
      </c>
      <c r="FX93" s="9" t="n">
        <v>0</v>
      </c>
      <c r="FY93" s="9" t="n">
        <v>0</v>
      </c>
      <c r="FZ93" s="9" t="n">
        <v>0</v>
      </c>
      <c r="GA93" s="9" t="n">
        <v>0</v>
      </c>
      <c r="GB93" s="11" t="n">
        <f aca="false">(FX93+FY93+FZ93+GA93)/4</f>
        <v>0</v>
      </c>
      <c r="GC93" s="9" t="n">
        <v>1</v>
      </c>
      <c r="GD93" s="9" t="n">
        <v>1</v>
      </c>
      <c r="GE93" s="9" t="n">
        <v>1</v>
      </c>
      <c r="GF93" s="9" t="n">
        <v>1</v>
      </c>
      <c r="GG93" s="11" t="n">
        <f aca="false">(GC93+GD93+GE93+GF93)/4</f>
        <v>1</v>
      </c>
      <c r="GH93" s="9" t="n">
        <v>1</v>
      </c>
      <c r="GI93" s="9" t="n">
        <v>1</v>
      </c>
      <c r="GJ93" s="9" t="n">
        <v>1</v>
      </c>
      <c r="GK93" s="9" t="n">
        <v>1</v>
      </c>
      <c r="GL93" s="11" t="n">
        <f aca="false">(GH93+GI93+GJ93+GK93)/4</f>
        <v>1</v>
      </c>
      <c r="GM93" s="9" t="n">
        <v>61</v>
      </c>
      <c r="GN93" s="9" t="n">
        <v>16</v>
      </c>
      <c r="GO93" s="9" t="n">
        <v>126</v>
      </c>
      <c r="GP93" s="9" t="n">
        <v>24</v>
      </c>
      <c r="GQ93" s="11" t="n">
        <f aca="false">(GM93+GN93+GO93+GP93)/4</f>
        <v>56.75</v>
      </c>
      <c r="GR93" s="9" t="n">
        <v>16</v>
      </c>
      <c r="GS93" s="9" t="n">
        <v>13</v>
      </c>
      <c r="GT93" s="9" t="n">
        <v>18</v>
      </c>
      <c r="GU93" s="9" t="n">
        <v>10</v>
      </c>
      <c r="GV93" s="11" t="n">
        <f aca="false">(GR93+GS93+GT93+GU93)/4</f>
        <v>14.25</v>
      </c>
      <c r="GW93" s="9" t="n">
        <v>0</v>
      </c>
      <c r="GX93" s="9" t="n">
        <v>0</v>
      </c>
      <c r="GY93" s="9" t="n">
        <v>0</v>
      </c>
      <c r="GZ93" s="9" t="n">
        <v>0</v>
      </c>
      <c r="HA93" s="11" t="n">
        <f aca="false">(GW93+GX93+GY93+GZ93)/4</f>
        <v>0</v>
      </c>
      <c r="HB93" s="9" t="n">
        <f aca="false">(GW93/GR93)</f>
        <v>0</v>
      </c>
      <c r="HC93" s="9" t="n">
        <f aca="false">(GX93/GS93)</f>
        <v>0</v>
      </c>
      <c r="HD93" s="9" t="n">
        <f aca="false">(GY93/GT93)</f>
        <v>0</v>
      </c>
      <c r="HE93" s="9" t="n">
        <f aca="false">(GZ93/GU93)/4</f>
        <v>0</v>
      </c>
      <c r="HF93" s="9" t="n">
        <f aca="false">(HB93+HC93+HD93+HE93)/4</f>
        <v>0</v>
      </c>
      <c r="HG93" s="9" t="n">
        <f aca="false">(100*HF93)</f>
        <v>0</v>
      </c>
      <c r="HH93" s="18" t="n">
        <v>0</v>
      </c>
      <c r="HI93" s="9" t="n">
        <v>7</v>
      </c>
      <c r="HJ93" s="9" t="n">
        <v>7</v>
      </c>
      <c r="HK93" s="9" t="n">
        <v>4</v>
      </c>
      <c r="HL93" s="19" t="n">
        <v>6</v>
      </c>
      <c r="HM93" s="9" t="n">
        <f aca="false">(HI93+HJ93+HK93+HL93)/4</f>
        <v>6</v>
      </c>
      <c r="HN93" s="9" t="n">
        <f aca="false">(HI93/GR93)</f>
        <v>0.4375</v>
      </c>
      <c r="HO93" s="9" t="n">
        <f aca="false">(HJ93/GS93)</f>
        <v>0.538461538461538</v>
      </c>
      <c r="HP93" s="9" t="n">
        <f aca="false">(HK93/GT93)</f>
        <v>0.222222222222222</v>
      </c>
      <c r="HQ93" s="9" t="n">
        <f aca="false">(HL93/GU93)</f>
        <v>0.6</v>
      </c>
      <c r="HR93" s="9" t="n">
        <f aca="false">(HM93/GV93)</f>
        <v>0.421052631578947</v>
      </c>
      <c r="HS93" s="9" t="n">
        <f aca="false">(100*HR93)</f>
        <v>42.1052631578947</v>
      </c>
      <c r="HT93" s="18" t="n">
        <v>3</v>
      </c>
      <c r="HU93" s="9" t="n">
        <v>0</v>
      </c>
      <c r="HV93" s="9" t="n">
        <v>0</v>
      </c>
      <c r="HW93" s="9" t="n">
        <v>0</v>
      </c>
      <c r="HX93" s="19" t="n">
        <v>0</v>
      </c>
      <c r="HY93" s="9" t="n">
        <f aca="false">(HU93+HV93+HW93+HX93)/4</f>
        <v>0</v>
      </c>
      <c r="HZ93" s="9" t="n">
        <f aca="false">(HU93/GR93)</f>
        <v>0</v>
      </c>
      <c r="IA93" s="9" t="n">
        <f aca="false">HV93/GS93</f>
        <v>0</v>
      </c>
      <c r="IB93" s="9" t="n">
        <f aca="false">(HW93/GT93)</f>
        <v>0</v>
      </c>
      <c r="IC93" s="9" t="n">
        <f aca="false">(HX93/GU93)</f>
        <v>0</v>
      </c>
      <c r="ID93" s="9" t="n">
        <f aca="false">(HY93/GV93)</f>
        <v>0</v>
      </c>
      <c r="IE93" s="9" t="n">
        <f aca="false">(100*ID93)</f>
        <v>0</v>
      </c>
      <c r="IF93" s="18" t="n">
        <v>0</v>
      </c>
      <c r="IG93" s="9" t="n">
        <v>6</v>
      </c>
      <c r="IH93" s="9" t="n">
        <v>8</v>
      </c>
      <c r="II93" s="19" t="n">
        <v>48</v>
      </c>
      <c r="IJ93" s="9" t="n">
        <v>13</v>
      </c>
      <c r="IK93" s="9" t="n">
        <f aca="false">(IG93+IH93+II93+IJ93)/4</f>
        <v>18.75</v>
      </c>
      <c r="IL93" s="9" t="n">
        <f aca="false">(IG93/GM93)</f>
        <v>0.0983606557377049</v>
      </c>
      <c r="IM93" s="9" t="n">
        <f aca="false">(IH93/GN93)</f>
        <v>0.5</v>
      </c>
      <c r="IN93" s="9" t="n">
        <f aca="false">(II93/GO93)</f>
        <v>0.380952380952381</v>
      </c>
      <c r="IO93" s="9" t="n">
        <f aca="false">(IJ93/GP93)</f>
        <v>0.541666666666667</v>
      </c>
      <c r="IP93" s="9" t="n">
        <f aca="false">(IK93/GQ93)</f>
        <v>0.330396475770925</v>
      </c>
      <c r="IQ93" s="9" t="n">
        <f aca="false">(100*IP93)</f>
        <v>33.0396475770925</v>
      </c>
      <c r="IR93" s="18" t="n">
        <v>3</v>
      </c>
      <c r="IS93" s="9" t="n">
        <v>73.4</v>
      </c>
      <c r="IT93" s="9" t="n">
        <v>66.6</v>
      </c>
      <c r="IU93" s="19" t="n">
        <v>75.8</v>
      </c>
      <c r="IV93" s="9" t="n">
        <v>64.5</v>
      </c>
      <c r="IW93" s="9" t="n">
        <f aca="false">(IS93+IT93+IU93+IV93)/4</f>
        <v>70.075</v>
      </c>
      <c r="IX93" s="16" t="n">
        <v>45204</v>
      </c>
      <c r="IY93" s="10" t="s">
        <v>268</v>
      </c>
    </row>
    <row r="94" customFormat="false" ht="15.75" hidden="false" customHeight="true" outlineLevel="0" collapsed="false">
      <c r="A94" s="9" t="s">
        <v>343</v>
      </c>
      <c r="B94" s="10" t="s">
        <v>479</v>
      </c>
      <c r="C94" s="10" t="s">
        <v>400</v>
      </c>
      <c r="D94" s="9" t="n">
        <v>4</v>
      </c>
      <c r="E94" s="9" t="n">
        <v>31</v>
      </c>
      <c r="F94" s="10" t="s">
        <v>485</v>
      </c>
      <c r="G94" s="10" t="s">
        <v>320</v>
      </c>
      <c r="H94" s="9" t="n">
        <v>21</v>
      </c>
      <c r="I94" s="9" t="n">
        <v>20</v>
      </c>
      <c r="J94" s="10" t="s">
        <v>272</v>
      </c>
      <c r="K94" s="20"/>
      <c r="L94" s="20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 t="n">
        <v>0</v>
      </c>
      <c r="Y94" s="9" t="n">
        <v>0</v>
      </c>
      <c r="Z94" s="9" t="n">
        <v>0</v>
      </c>
      <c r="AA94" s="9" t="n">
        <v>0</v>
      </c>
      <c r="AB94" s="11" t="n">
        <f aca="false">(X94+Y94+Z94+AA94)/4</f>
        <v>0</v>
      </c>
      <c r="AC94" s="9" t="n">
        <v>1</v>
      </c>
      <c r="AD94" s="9" t="n">
        <v>1</v>
      </c>
      <c r="AE94" s="9" t="n">
        <v>1</v>
      </c>
      <c r="AF94" s="9" t="n">
        <v>1</v>
      </c>
      <c r="AG94" s="11" t="n">
        <f aca="false">(AC94+AD94+AE94+AF94)/4</f>
        <v>1</v>
      </c>
      <c r="AH94" s="9" t="n">
        <v>1</v>
      </c>
      <c r="AI94" s="9" t="n">
        <v>1</v>
      </c>
      <c r="AJ94" s="9" t="n">
        <v>0</v>
      </c>
      <c r="AK94" s="9" t="n">
        <v>0</v>
      </c>
      <c r="AL94" s="11" t="n">
        <f aca="false">(AH94+AI94+AJ94+AK94)/4</f>
        <v>0.5</v>
      </c>
      <c r="AM94" s="9" t="n">
        <v>14</v>
      </c>
      <c r="AN94" s="9" t="n">
        <v>67</v>
      </c>
      <c r="AO94" s="9" t="n">
        <v>22</v>
      </c>
      <c r="AP94" s="9" t="n">
        <v>52</v>
      </c>
      <c r="AQ94" s="11" t="n">
        <f aca="false">(AM94+AN94+AO94+AP94)/4</f>
        <v>38.75</v>
      </c>
      <c r="AR94" s="9" t="n">
        <v>39</v>
      </c>
      <c r="AS94" s="9" t="n">
        <v>23</v>
      </c>
      <c r="AT94" s="9" t="n">
        <v>36</v>
      </c>
      <c r="AU94" s="9" t="n">
        <v>49</v>
      </c>
      <c r="AV94" s="11" t="n">
        <f aca="false">(AR94+AS94+AT94+AU94)/4</f>
        <v>36.75</v>
      </c>
      <c r="AW94" s="9" t="n">
        <v>0</v>
      </c>
      <c r="AX94" s="9" t="n">
        <v>0</v>
      </c>
      <c r="AY94" s="9" t="n">
        <v>0</v>
      </c>
      <c r="AZ94" s="9" t="n">
        <v>0</v>
      </c>
      <c r="BA94" s="11" t="n">
        <f aca="false">(AW94+AX94+AY94+AZ94)/4</f>
        <v>0</v>
      </c>
      <c r="BB94" s="11" t="n">
        <f aca="false">(AW94/AR94)</f>
        <v>0</v>
      </c>
      <c r="BC94" s="11" t="n">
        <f aca="false">(AX94/AS94)</f>
        <v>0</v>
      </c>
      <c r="BD94" s="11" t="n">
        <f aca="false">(AY94/AT94)</f>
        <v>0</v>
      </c>
      <c r="BE94" s="11" t="n">
        <f aca="false">(AZ94/AU94)</f>
        <v>0</v>
      </c>
      <c r="BF94" s="11" t="n">
        <f aca="false">(BA94/AV94)</f>
        <v>0</v>
      </c>
      <c r="BG94" s="11" t="n">
        <f aca="false">(BF94*100)</f>
        <v>0</v>
      </c>
      <c r="BH94" s="9" t="n">
        <v>0</v>
      </c>
      <c r="BI94" s="9" t="n">
        <v>3</v>
      </c>
      <c r="BJ94" s="9" t="n">
        <v>1</v>
      </c>
      <c r="BK94" s="9" t="n">
        <v>9</v>
      </c>
      <c r="BL94" s="9" t="n">
        <v>4</v>
      </c>
      <c r="BM94" s="11" t="n">
        <f aca="false">(BI94+BJ94+BK94+BL94)/4</f>
        <v>4.25</v>
      </c>
      <c r="BN94" s="11" t="n">
        <f aca="false">(BI94/AR94)</f>
        <v>0.0769230769230769</v>
      </c>
      <c r="BO94" s="11" t="n">
        <f aca="false">(BJ94/AS94)</f>
        <v>0.0434782608695652</v>
      </c>
      <c r="BP94" s="11" t="n">
        <f aca="false">(BK94/AT94)</f>
        <v>0.25</v>
      </c>
      <c r="BQ94" s="11" t="n">
        <f aca="false">(BL94/AU94)</f>
        <v>0.0816326530612245</v>
      </c>
      <c r="BR94" s="11" t="n">
        <f aca="false">(BM94/AV94)</f>
        <v>0.115646258503401</v>
      </c>
      <c r="BS94" s="11" t="n">
        <f aca="false">(100*BR94)</f>
        <v>11.5646258503401</v>
      </c>
      <c r="BT94" s="9" t="n">
        <v>2</v>
      </c>
      <c r="BU94" s="9" t="n">
        <v>0</v>
      </c>
      <c r="BV94" s="9" t="n">
        <v>0</v>
      </c>
      <c r="BW94" s="9" t="n">
        <v>0</v>
      </c>
      <c r="BX94" s="9" t="n">
        <v>0</v>
      </c>
      <c r="BY94" s="11" t="n">
        <f aca="false">(BU94+BV94+BW94+BX94)/4</f>
        <v>0</v>
      </c>
      <c r="BZ94" s="11" t="n">
        <f aca="false">(BU94/AR94)</f>
        <v>0</v>
      </c>
      <c r="CA94" s="11" t="n">
        <f aca="false">(BV94/AS94)</f>
        <v>0</v>
      </c>
      <c r="CB94" s="11" t="n">
        <f aca="false">(BW94/AT94)</f>
        <v>0</v>
      </c>
      <c r="CC94" s="11" t="n">
        <f aca="false">(BX94/AU94)</f>
        <v>0</v>
      </c>
      <c r="CD94" s="11" t="n">
        <f aca="false">(BY94/AV94)</f>
        <v>0</v>
      </c>
      <c r="CE94" s="11" t="n">
        <f aca="false">(100*CD94)</f>
        <v>0</v>
      </c>
      <c r="CF94" s="9" t="n">
        <v>0</v>
      </c>
      <c r="CG94" s="9" t="n">
        <v>2</v>
      </c>
      <c r="CH94" s="9" t="n">
        <v>2</v>
      </c>
      <c r="CI94" s="9" t="n">
        <v>0</v>
      </c>
      <c r="CJ94" s="9" t="n">
        <v>0</v>
      </c>
      <c r="CK94" s="11" t="n">
        <f aca="false">(CG94+CH94+CI94+CJ94)/4</f>
        <v>1</v>
      </c>
      <c r="CL94" s="11" t="n">
        <f aca="false">(CG94/AM94)</f>
        <v>0.142857142857143</v>
      </c>
      <c r="CM94" s="11" t="n">
        <f aca="false">(CH94/AN94)</f>
        <v>0.0298507462686567</v>
      </c>
      <c r="CN94" s="11" t="n">
        <f aca="false">(CI94/AO94)</f>
        <v>0</v>
      </c>
      <c r="CO94" s="9" t="n">
        <f aca="false">(CJ94/AP94)</f>
        <v>0</v>
      </c>
      <c r="CP94" s="9" t="n">
        <f aca="false">(CK94/AQ94)</f>
        <v>0.0258064516129032</v>
      </c>
      <c r="CQ94" s="9" t="n">
        <f aca="false">(100*CP94)</f>
        <v>2.58064516129032</v>
      </c>
      <c r="CR94" s="18" t="n">
        <v>1</v>
      </c>
      <c r="CS94" s="9" t="n">
        <v>51.1</v>
      </c>
      <c r="CT94" s="9" t="n">
        <v>61.5</v>
      </c>
      <c r="CU94" s="9" t="n">
        <v>56.2</v>
      </c>
      <c r="CV94" s="9" t="n">
        <v>65.6</v>
      </c>
      <c r="CW94" s="11" t="n">
        <f aca="false">(CS94+CT94+CU94+CV94)/4</f>
        <v>58.6</v>
      </c>
      <c r="CX94" s="9" t="n">
        <v>0</v>
      </c>
      <c r="CY94" s="9" t="n">
        <v>0</v>
      </c>
      <c r="CZ94" s="9" t="n">
        <v>0</v>
      </c>
      <c r="DA94" s="9" t="n">
        <v>0</v>
      </c>
      <c r="DB94" s="11" t="n">
        <f aca="false">(CX94+CY94+CZ94+DA94)/4</f>
        <v>0</v>
      </c>
      <c r="DC94" s="9" t="n">
        <v>1</v>
      </c>
      <c r="DD94" s="9" t="n">
        <v>1</v>
      </c>
      <c r="DE94" s="9" t="n">
        <v>1</v>
      </c>
      <c r="DF94" s="9" t="n">
        <v>1</v>
      </c>
      <c r="DG94" s="11" t="n">
        <f aca="false">(DC94+DD94+DE94+DF94)/4</f>
        <v>1</v>
      </c>
      <c r="DH94" s="9" t="n">
        <v>0</v>
      </c>
      <c r="DI94" s="9" t="n">
        <v>0</v>
      </c>
      <c r="DJ94" s="9" t="n">
        <v>0</v>
      </c>
      <c r="DK94" s="9" t="n">
        <v>0</v>
      </c>
      <c r="DL94" s="11" t="n">
        <f aca="false">(DH94+DI94+DJ94+DK94)/4</f>
        <v>0</v>
      </c>
      <c r="DM94" s="9" t="n">
        <v>30</v>
      </c>
      <c r="DN94" s="9" t="n">
        <v>125</v>
      </c>
      <c r="DO94" s="9" t="n">
        <v>74</v>
      </c>
      <c r="DP94" s="9" t="n">
        <v>29</v>
      </c>
      <c r="DQ94" s="11" t="n">
        <f aca="false">(DM94+DN94+DO94+DP94)/4</f>
        <v>64.5</v>
      </c>
      <c r="DR94" s="9" t="n">
        <v>43</v>
      </c>
      <c r="DS94" s="9" t="n">
        <v>76</v>
      </c>
      <c r="DT94" s="9" t="n">
        <v>15</v>
      </c>
      <c r="DU94" s="9" t="n">
        <v>30</v>
      </c>
      <c r="DV94" s="11" t="n">
        <f aca="false">(DR94+DS94+DT94+DU94)/4</f>
        <v>41</v>
      </c>
      <c r="DW94" s="9" t="n">
        <v>0</v>
      </c>
      <c r="DX94" s="9" t="n">
        <v>0</v>
      </c>
      <c r="DY94" s="9" t="n">
        <v>0</v>
      </c>
      <c r="DZ94" s="9" t="n">
        <v>0</v>
      </c>
      <c r="EA94" s="11" t="n">
        <f aca="false">(DW94+DX94+DY94+DZ94)/4</f>
        <v>0</v>
      </c>
      <c r="EB94" s="11" t="n">
        <f aca="false">(DW94/DR94)</f>
        <v>0</v>
      </c>
      <c r="EC94" s="11" t="n">
        <f aca="false">(DX94/DS94)</f>
        <v>0</v>
      </c>
      <c r="ED94" s="11" t="n">
        <f aca="false">(DY94/DT94)</f>
        <v>0</v>
      </c>
      <c r="EE94" s="11" t="n">
        <f aca="false">(DZ94/DU94)</f>
        <v>0</v>
      </c>
      <c r="EF94" s="11" t="n">
        <f aca="false">(EA94/DV94)</f>
        <v>0</v>
      </c>
      <c r="EG94" s="11" t="n">
        <f aca="false">(100*EF94)</f>
        <v>0</v>
      </c>
      <c r="EH94" s="9" t="n">
        <v>0</v>
      </c>
      <c r="EI94" s="9" t="n">
        <v>9</v>
      </c>
      <c r="EJ94" s="9" t="n">
        <v>8</v>
      </c>
      <c r="EK94" s="19" t="n">
        <v>5</v>
      </c>
      <c r="EL94" s="9" t="n">
        <v>1</v>
      </c>
      <c r="EM94" s="9" t="n">
        <f aca="false">(EI94+EJ94+EK94+EL94)/4</f>
        <v>5.75</v>
      </c>
      <c r="EN94" s="9" t="n">
        <f aca="false">(EI94/DR94)</f>
        <v>0.209302325581395</v>
      </c>
      <c r="EO94" s="9" t="n">
        <f aca="false">(EJ94/DS94)</f>
        <v>0.105263157894737</v>
      </c>
      <c r="EP94" s="9" t="n">
        <f aca="false">(EK94/DT94)</f>
        <v>0.333333333333333</v>
      </c>
      <c r="EQ94" s="9" t="n">
        <f aca="false">(EL94/DU94)</f>
        <v>0.0333333333333333</v>
      </c>
      <c r="ER94" s="9" t="n">
        <f aca="false">EM94/DV94</f>
        <v>0.140243902439024</v>
      </c>
      <c r="ES94" s="9" t="n">
        <f aca="false">(100*ER94)</f>
        <v>14.0243902439024</v>
      </c>
      <c r="ET94" s="9" t="n">
        <v>2</v>
      </c>
      <c r="EU94" s="18" t="n">
        <v>0</v>
      </c>
      <c r="EV94" s="9" t="n">
        <v>0</v>
      </c>
      <c r="EW94" s="9" t="n">
        <v>0</v>
      </c>
      <c r="EX94" s="9" t="n">
        <v>0</v>
      </c>
      <c r="EY94" s="11" t="n">
        <f aca="false">(EU94+EV94+EW94+EX94)/4</f>
        <v>0</v>
      </c>
      <c r="EZ94" s="11" t="n">
        <f aca="false">(EU94/DR94)</f>
        <v>0</v>
      </c>
      <c r="FA94" s="11" t="n">
        <f aca="false">(EV94/DS94)</f>
        <v>0</v>
      </c>
      <c r="FB94" s="11" t="n">
        <f aca="false">(EW94/DT94)</f>
        <v>0</v>
      </c>
      <c r="FC94" s="11" t="n">
        <f aca="false">(EX94/DU94)</f>
        <v>0</v>
      </c>
      <c r="FD94" s="11" t="n">
        <f aca="false">(EY94/DV94)</f>
        <v>0</v>
      </c>
      <c r="FE94" s="11" t="n">
        <f aca="false">(100*FD94)</f>
        <v>0</v>
      </c>
      <c r="FF94" s="9" t="n">
        <v>0</v>
      </c>
      <c r="FG94" s="9" t="n">
        <v>0</v>
      </c>
      <c r="FH94" s="9" t="n">
        <v>0</v>
      </c>
      <c r="FI94" s="9" t="n">
        <v>0</v>
      </c>
      <c r="FJ94" s="9" t="n">
        <v>0</v>
      </c>
      <c r="FK94" s="11" t="n">
        <f aca="false">(FG94+FH94+FI94+FJ94)/4</f>
        <v>0</v>
      </c>
      <c r="FL94" s="11" t="n">
        <f aca="false">(FG94/DR94)</f>
        <v>0</v>
      </c>
      <c r="FM94" s="11" t="n">
        <f aca="false">(FH94/DS94)</f>
        <v>0</v>
      </c>
      <c r="FN94" s="11" t="n">
        <f aca="false">(FI94/DT94)</f>
        <v>0</v>
      </c>
      <c r="FO94" s="11" t="n">
        <f aca="false">(FJ94/DU94)</f>
        <v>0</v>
      </c>
      <c r="FP94" s="11" t="n">
        <f aca="false">(FK94/DV94)</f>
        <v>0</v>
      </c>
      <c r="FQ94" s="11" t="n">
        <f aca="false">(100*FP94)</f>
        <v>0</v>
      </c>
      <c r="FR94" s="9" t="n">
        <v>0</v>
      </c>
      <c r="FS94" s="9" t="n">
        <v>60.8</v>
      </c>
      <c r="FT94" s="9" t="n">
        <v>61.5</v>
      </c>
      <c r="FU94" s="9" t="n">
        <v>66.8</v>
      </c>
      <c r="FV94" s="9" t="n">
        <v>59</v>
      </c>
      <c r="FW94" s="11" t="n">
        <f aca="false">(FS94+FT94+FU94+FV94)/4</f>
        <v>62.025</v>
      </c>
      <c r="FX94" s="9" t="n">
        <v>0</v>
      </c>
      <c r="FY94" s="9" t="n">
        <v>0</v>
      </c>
      <c r="FZ94" s="9" t="n">
        <v>0</v>
      </c>
      <c r="GA94" s="9" t="n">
        <v>0</v>
      </c>
      <c r="GB94" s="11" t="n">
        <f aca="false">(FX94+FY94+FZ94+GA94)/4</f>
        <v>0</v>
      </c>
      <c r="GC94" s="9" t="n">
        <v>1</v>
      </c>
      <c r="GD94" s="9" t="n">
        <v>1</v>
      </c>
      <c r="GE94" s="9" t="n">
        <v>1</v>
      </c>
      <c r="GF94" s="9" t="n">
        <v>1</v>
      </c>
      <c r="GG94" s="11" t="n">
        <f aca="false">(GC94+GD94+GE94+GF94)/4</f>
        <v>1</v>
      </c>
      <c r="GH94" s="9" t="n">
        <v>0</v>
      </c>
      <c r="GI94" s="9" t="n">
        <v>0</v>
      </c>
      <c r="GJ94" s="9" t="n">
        <v>0</v>
      </c>
      <c r="GK94" s="9" t="n">
        <v>1</v>
      </c>
      <c r="GL94" s="11" t="n">
        <f aca="false">(GH94+GI94+GJ94+GK94)/4</f>
        <v>0.25</v>
      </c>
      <c r="GM94" s="9" t="n">
        <v>103</v>
      </c>
      <c r="GN94" s="9" t="n">
        <v>55</v>
      </c>
      <c r="GO94" s="9" t="n">
        <v>38</v>
      </c>
      <c r="GP94" s="9" t="n">
        <v>158</v>
      </c>
      <c r="GQ94" s="11" t="n">
        <f aca="false">(GM94+GN94+GO94+GP94)/4</f>
        <v>88.5</v>
      </c>
      <c r="GR94" s="9" t="n">
        <v>16</v>
      </c>
      <c r="GS94" s="9" t="n">
        <v>16</v>
      </c>
      <c r="GT94" s="9" t="n">
        <v>22</v>
      </c>
      <c r="GU94" s="9" t="n">
        <v>65</v>
      </c>
      <c r="GV94" s="11" t="n">
        <f aca="false">(GR94+GS94+GT94+GU94)/4</f>
        <v>29.75</v>
      </c>
      <c r="GW94" s="9" t="n">
        <v>0</v>
      </c>
      <c r="GX94" s="9" t="n">
        <v>0</v>
      </c>
      <c r="GY94" s="9" t="n">
        <v>0</v>
      </c>
      <c r="GZ94" s="9" t="n">
        <v>0</v>
      </c>
      <c r="HA94" s="11" t="n">
        <f aca="false">(GW94+GX94+GY94+GZ94)/4</f>
        <v>0</v>
      </c>
      <c r="HB94" s="9" t="n">
        <f aca="false">(GW94/GR94)</f>
        <v>0</v>
      </c>
      <c r="HC94" s="9" t="n">
        <f aca="false">(GX94/GS94)</f>
        <v>0</v>
      </c>
      <c r="HD94" s="9" t="n">
        <f aca="false">(GY94/GT94)</f>
        <v>0</v>
      </c>
      <c r="HE94" s="9" t="n">
        <f aca="false">(GZ94/GU94)/4</f>
        <v>0</v>
      </c>
      <c r="HF94" s="9" t="n">
        <f aca="false">(HB94+HC94+HD94+HE94)/4</f>
        <v>0</v>
      </c>
      <c r="HG94" s="9" t="n">
        <f aca="false">(100*HF94)</f>
        <v>0</v>
      </c>
      <c r="HH94" s="18" t="n">
        <v>0</v>
      </c>
      <c r="HI94" s="9" t="n">
        <v>1</v>
      </c>
      <c r="HJ94" s="9" t="n">
        <v>1</v>
      </c>
      <c r="HK94" s="9" t="n">
        <v>2</v>
      </c>
      <c r="HL94" s="19" t="n">
        <v>2</v>
      </c>
      <c r="HM94" s="9" t="n">
        <f aca="false">(HI94+HJ94+HK94+HL94)/4</f>
        <v>1.5</v>
      </c>
      <c r="HN94" s="9" t="n">
        <f aca="false">(HI94/GR94)</f>
        <v>0.0625</v>
      </c>
      <c r="HO94" s="9" t="n">
        <f aca="false">(HJ94/GS94)</f>
        <v>0.0625</v>
      </c>
      <c r="HP94" s="9" t="n">
        <f aca="false">(HK94/GT94)</f>
        <v>0.0909090909090909</v>
      </c>
      <c r="HQ94" s="9" t="n">
        <f aca="false">(HL94/GU94)</f>
        <v>0.0307692307692308</v>
      </c>
      <c r="HR94" s="9" t="n">
        <f aca="false">(HM94/GV94)</f>
        <v>0.0504201680672269</v>
      </c>
      <c r="HS94" s="9" t="n">
        <f aca="false">(100*HR94)</f>
        <v>5.04201680672269</v>
      </c>
      <c r="HT94" s="18" t="n">
        <v>1</v>
      </c>
      <c r="HU94" s="9" t="n">
        <v>0</v>
      </c>
      <c r="HV94" s="9" t="n">
        <v>0</v>
      </c>
      <c r="HW94" s="9" t="n">
        <v>0</v>
      </c>
      <c r="HX94" s="19" t="n">
        <v>0</v>
      </c>
      <c r="HY94" s="9" t="n">
        <f aca="false">(HU94+HV94+HW94+HX94)/4</f>
        <v>0</v>
      </c>
      <c r="HZ94" s="9" t="n">
        <f aca="false">(HU94/GR94)</f>
        <v>0</v>
      </c>
      <c r="IA94" s="9" t="n">
        <f aca="false">HV94/GS94</f>
        <v>0</v>
      </c>
      <c r="IB94" s="9" t="n">
        <f aca="false">(HW94/GT94)</f>
        <v>0</v>
      </c>
      <c r="IC94" s="9" t="n">
        <f aca="false">(HX94/GU94)</f>
        <v>0</v>
      </c>
      <c r="ID94" s="9" t="n">
        <f aca="false">(HY94/GV94)</f>
        <v>0</v>
      </c>
      <c r="IE94" s="9" t="n">
        <f aca="false">(100*ID94)</f>
        <v>0</v>
      </c>
      <c r="IF94" s="18" t="n">
        <v>0</v>
      </c>
      <c r="IG94" s="9" t="n">
        <v>0</v>
      </c>
      <c r="IH94" s="9" t="n">
        <v>0</v>
      </c>
      <c r="II94" s="19" t="n">
        <v>0</v>
      </c>
      <c r="IJ94" s="9" t="n">
        <v>2</v>
      </c>
      <c r="IK94" s="9" t="n">
        <f aca="false">(IG94+IH94+II94+IJ94)/4</f>
        <v>0.5</v>
      </c>
      <c r="IL94" s="9" t="n">
        <f aca="false">(IG94/GM94)</f>
        <v>0</v>
      </c>
      <c r="IM94" s="9" t="n">
        <f aca="false">(IH94/GN94)</f>
        <v>0</v>
      </c>
      <c r="IN94" s="9" t="n">
        <f aca="false">(II94/GO94)</f>
        <v>0</v>
      </c>
      <c r="IO94" s="9" t="n">
        <f aca="false">(IJ94/GP94)</f>
        <v>0.0126582278481013</v>
      </c>
      <c r="IP94" s="9" t="n">
        <f aca="false">(IK94/GQ94)</f>
        <v>0.00564971751412429</v>
      </c>
      <c r="IQ94" s="9" t="n">
        <f aca="false">(100*IP94)</f>
        <v>0.564971751412429</v>
      </c>
      <c r="IR94" s="18" t="n">
        <v>1</v>
      </c>
      <c r="IS94" s="9" t="n">
        <v>62.3</v>
      </c>
      <c r="IT94" s="9" t="n">
        <v>55.7</v>
      </c>
      <c r="IU94" s="19" t="n">
        <v>64</v>
      </c>
      <c r="IV94" s="9" t="n">
        <v>58</v>
      </c>
      <c r="IW94" s="9" t="n">
        <f aca="false">(IS94+IT94+IU94+IV94)/4</f>
        <v>60</v>
      </c>
      <c r="IX94" s="16" t="n">
        <v>45204</v>
      </c>
      <c r="IY94" s="10" t="s">
        <v>268</v>
      </c>
    </row>
    <row r="95" customFormat="false" ht="15.75" hidden="false" customHeight="true" outlineLevel="0" collapsed="false">
      <c r="A95" s="9" t="s">
        <v>370</v>
      </c>
      <c r="B95" s="10" t="s">
        <v>486</v>
      </c>
      <c r="C95" s="10" t="s">
        <v>400</v>
      </c>
      <c r="D95" s="9" t="n">
        <v>1</v>
      </c>
      <c r="E95" s="9" t="n">
        <v>32</v>
      </c>
      <c r="F95" s="10" t="s">
        <v>487</v>
      </c>
      <c r="G95" s="10" t="s">
        <v>394</v>
      </c>
      <c r="H95" s="9" t="n">
        <v>21</v>
      </c>
      <c r="I95" s="9" t="n">
        <v>5</v>
      </c>
      <c r="J95" s="12" t="s">
        <v>264</v>
      </c>
      <c r="K95" s="13" t="s">
        <v>488</v>
      </c>
      <c r="L95" s="13" t="s">
        <v>489</v>
      </c>
      <c r="M95" s="14" t="n">
        <v>1294</v>
      </c>
      <c r="N95" s="15" t="n">
        <v>45133</v>
      </c>
      <c r="O95" s="10" t="s">
        <v>267</v>
      </c>
      <c r="P95" s="9"/>
      <c r="Q95" s="9" t="n">
        <v>23.36</v>
      </c>
      <c r="R95" s="9" t="n">
        <v>10</v>
      </c>
      <c r="S95" s="9" t="n">
        <v>-20</v>
      </c>
      <c r="T95" s="9" t="n">
        <v>100</v>
      </c>
      <c r="U95" s="9"/>
      <c r="V95" s="9" t="n">
        <f aca="false">(17.65/100)</f>
        <v>0.1765</v>
      </c>
      <c r="W95" s="10" t="s">
        <v>490</v>
      </c>
      <c r="X95" s="9" t="n">
        <v>0</v>
      </c>
      <c r="Y95" s="9" t="n">
        <v>0</v>
      </c>
      <c r="Z95" s="9" t="n">
        <v>0</v>
      </c>
      <c r="AA95" s="9" t="n">
        <v>0</v>
      </c>
      <c r="AB95" s="11" t="n">
        <f aca="false">(X95+Y95+Z95+AA95)/4</f>
        <v>0</v>
      </c>
      <c r="AC95" s="9" t="n">
        <v>0</v>
      </c>
      <c r="AD95" s="9" t="n">
        <v>0</v>
      </c>
      <c r="AE95" s="9" t="n">
        <v>1</v>
      </c>
      <c r="AF95" s="9" t="n">
        <v>1</v>
      </c>
      <c r="AG95" s="11" t="n">
        <f aca="false">(AC95+AD95+AE95+AF95)/4</f>
        <v>0.5</v>
      </c>
      <c r="AH95" s="9" t="n">
        <v>1</v>
      </c>
      <c r="AI95" s="9" t="n">
        <v>1</v>
      </c>
      <c r="AJ95" s="9" t="n">
        <v>1</v>
      </c>
      <c r="AK95" s="9" t="n">
        <v>1</v>
      </c>
      <c r="AL95" s="11" t="n">
        <f aca="false">(AH95+AI95+AJ95+AK95)/4</f>
        <v>1</v>
      </c>
      <c r="AM95" s="9" t="n">
        <v>28</v>
      </c>
      <c r="AN95" s="9" t="n">
        <v>32</v>
      </c>
      <c r="AO95" s="9" t="n">
        <v>15</v>
      </c>
      <c r="AP95" s="9" t="n">
        <v>11</v>
      </c>
      <c r="AQ95" s="11" t="n">
        <f aca="false">(AM95+AN95+AO95+AP95)/4</f>
        <v>21.5</v>
      </c>
      <c r="AR95" s="9" t="n">
        <v>26</v>
      </c>
      <c r="AS95" s="9" t="n">
        <v>6</v>
      </c>
      <c r="AT95" s="9" t="n">
        <v>9</v>
      </c>
      <c r="AU95" s="9" t="n">
        <v>13</v>
      </c>
      <c r="AV95" s="11" t="n">
        <f aca="false">(AR95+AS95+AT95+AU95)/4</f>
        <v>13.5</v>
      </c>
      <c r="AW95" s="9" t="n">
        <v>0</v>
      </c>
      <c r="AX95" s="9" t="n">
        <v>0</v>
      </c>
      <c r="AY95" s="9" t="n">
        <v>0</v>
      </c>
      <c r="AZ95" s="9" t="n">
        <v>0</v>
      </c>
      <c r="BA95" s="11" t="n">
        <f aca="false">(AW95+AX95+AY95+AZ95)/4</f>
        <v>0</v>
      </c>
      <c r="BB95" s="11" t="n">
        <f aca="false">(AW95/AR95)</f>
        <v>0</v>
      </c>
      <c r="BC95" s="11" t="n">
        <f aca="false">(AX95/AS95)</f>
        <v>0</v>
      </c>
      <c r="BD95" s="11" t="n">
        <f aca="false">(AY95/AT95)</f>
        <v>0</v>
      </c>
      <c r="BE95" s="11" t="n">
        <f aca="false">(AZ95/AU95)</f>
        <v>0</v>
      </c>
      <c r="BF95" s="11" t="n">
        <f aca="false">(BA95/AV95)</f>
        <v>0</v>
      </c>
      <c r="BG95" s="11" t="n">
        <f aca="false">(BF95*100)</f>
        <v>0</v>
      </c>
      <c r="BH95" s="9" t="n">
        <v>0</v>
      </c>
      <c r="BI95" s="9" t="n">
        <v>0</v>
      </c>
      <c r="BJ95" s="9" t="n">
        <v>0</v>
      </c>
      <c r="BK95" s="9" t="n">
        <v>1</v>
      </c>
      <c r="BL95" s="9" t="n">
        <v>1</v>
      </c>
      <c r="BM95" s="11" t="n">
        <f aca="false">(BI95+BJ95+BK95+BL95)/4</f>
        <v>0.5</v>
      </c>
      <c r="BN95" s="11" t="n">
        <f aca="false">(BI95/AR95)</f>
        <v>0</v>
      </c>
      <c r="BO95" s="11" t="n">
        <f aca="false">(BJ95/AS95)</f>
        <v>0</v>
      </c>
      <c r="BP95" s="11" t="n">
        <f aca="false">(BK95/AT95)</f>
        <v>0.111111111111111</v>
      </c>
      <c r="BQ95" s="11" t="n">
        <f aca="false">(BL95/AU95)</f>
        <v>0.0769230769230769</v>
      </c>
      <c r="BR95" s="11" t="n">
        <f aca="false">(BM95/AV95)</f>
        <v>0.037037037037037</v>
      </c>
      <c r="BS95" s="11" t="n">
        <f aca="false">(100*BR95)</f>
        <v>3.7037037037037</v>
      </c>
      <c r="BT95" s="9" t="n">
        <v>1</v>
      </c>
      <c r="BU95" s="9" t="n">
        <v>0</v>
      </c>
      <c r="BV95" s="9" t="n">
        <v>0</v>
      </c>
      <c r="BW95" s="9" t="n">
        <v>0</v>
      </c>
      <c r="BX95" s="9" t="n">
        <v>0</v>
      </c>
      <c r="BY95" s="11" t="n">
        <f aca="false">(BU95+BV95+BW95+BX95)/4</f>
        <v>0</v>
      </c>
      <c r="BZ95" s="11" t="n">
        <f aca="false">(BU95/AR95)</f>
        <v>0</v>
      </c>
      <c r="CA95" s="11" t="n">
        <f aca="false">(BV95/AS95)</f>
        <v>0</v>
      </c>
      <c r="CB95" s="11" t="n">
        <f aca="false">(BW95/AT95)</f>
        <v>0</v>
      </c>
      <c r="CC95" s="11" t="n">
        <f aca="false">(BX95/AU95)</f>
        <v>0</v>
      </c>
      <c r="CD95" s="11" t="n">
        <f aca="false">(BY95/AV95)</f>
        <v>0</v>
      </c>
      <c r="CE95" s="11" t="n">
        <f aca="false">(100*CD95)</f>
        <v>0</v>
      </c>
      <c r="CF95" s="9" t="n">
        <v>0</v>
      </c>
      <c r="CG95" s="9" t="n">
        <v>2</v>
      </c>
      <c r="CH95" s="9" t="n">
        <v>15</v>
      </c>
      <c r="CI95" s="9" t="n">
        <v>9</v>
      </c>
      <c r="CJ95" s="9" t="n">
        <v>6</v>
      </c>
      <c r="CK95" s="11" t="n">
        <f aca="false">(CG95+CH95+CI95+CJ95)/4</f>
        <v>8</v>
      </c>
      <c r="CL95" s="11" t="n">
        <f aca="false">(CG95/AM95)</f>
        <v>0.0714285714285714</v>
      </c>
      <c r="CM95" s="11" t="n">
        <f aca="false">(CH95/AN95)</f>
        <v>0.46875</v>
      </c>
      <c r="CN95" s="11" t="n">
        <f aca="false">(CI95/AO95)</f>
        <v>0.6</v>
      </c>
      <c r="CO95" s="9" t="n">
        <f aca="false">(CJ95/AP95)</f>
        <v>0.545454545454545</v>
      </c>
      <c r="CP95" s="9" t="n">
        <f aca="false">(CK95/AQ95)</f>
        <v>0.372093023255814</v>
      </c>
      <c r="CQ95" s="9" t="n">
        <f aca="false">(100*CP95)</f>
        <v>37.2093023255814</v>
      </c>
      <c r="CR95" s="18" t="n">
        <v>3</v>
      </c>
      <c r="CS95" s="9" t="n">
        <v>60.4</v>
      </c>
      <c r="CT95" s="9" t="n">
        <v>50.2</v>
      </c>
      <c r="CU95" s="9" t="n">
        <v>52</v>
      </c>
      <c r="CV95" s="9" t="n">
        <v>51.4</v>
      </c>
      <c r="CW95" s="11" t="n">
        <f aca="false">(CS95+CT95+CU95+CV95)/4</f>
        <v>53.5</v>
      </c>
      <c r="CX95" s="9" t="n">
        <v>0</v>
      </c>
      <c r="CY95" s="9" t="n">
        <v>0</v>
      </c>
      <c r="CZ95" s="9" t="n">
        <v>0</v>
      </c>
      <c r="DA95" s="9" t="n">
        <v>0</v>
      </c>
      <c r="DB95" s="11" t="n">
        <f aca="false">(CX95+CY95+CZ95+DA95)/4</f>
        <v>0</v>
      </c>
      <c r="DC95" s="9" t="n">
        <v>0</v>
      </c>
      <c r="DD95" s="9" t="n">
        <v>0</v>
      </c>
      <c r="DE95" s="9" t="n">
        <v>1</v>
      </c>
      <c r="DF95" s="9" t="n">
        <v>0</v>
      </c>
      <c r="DG95" s="11" t="n">
        <f aca="false">(DC95+DD95+DE95+DF95)/4</f>
        <v>0.25</v>
      </c>
      <c r="DH95" s="9" t="n">
        <v>1</v>
      </c>
      <c r="DI95" s="9" t="n">
        <v>1</v>
      </c>
      <c r="DJ95" s="9" t="n">
        <v>1</v>
      </c>
      <c r="DK95" s="9" t="n">
        <v>1</v>
      </c>
      <c r="DL95" s="11" t="n">
        <f aca="false">(DH95+DI95+DJ95+DK95)/4</f>
        <v>1</v>
      </c>
      <c r="DM95" s="9" t="n">
        <v>58</v>
      </c>
      <c r="DN95" s="9" t="n">
        <v>19</v>
      </c>
      <c r="DO95" s="9" t="n">
        <v>19</v>
      </c>
      <c r="DP95" s="9" t="n">
        <v>25</v>
      </c>
      <c r="DQ95" s="11" t="n">
        <f aca="false">(DM95+DN95+DO95+DP95)/4</f>
        <v>30.25</v>
      </c>
      <c r="DR95" s="9" t="n">
        <v>14</v>
      </c>
      <c r="DS95" s="9" t="n">
        <v>34</v>
      </c>
      <c r="DT95" s="9" t="n">
        <v>27</v>
      </c>
      <c r="DU95" s="9" t="n">
        <v>31</v>
      </c>
      <c r="DV95" s="11" t="n">
        <f aca="false">(DR95+DS95+DT95+DU95)/4</f>
        <v>26.5</v>
      </c>
      <c r="DW95" s="9" t="n">
        <v>0</v>
      </c>
      <c r="DX95" s="9" t="n">
        <v>0</v>
      </c>
      <c r="DY95" s="9" t="n">
        <v>0</v>
      </c>
      <c r="DZ95" s="9" t="n">
        <v>0</v>
      </c>
      <c r="EA95" s="11" t="n">
        <f aca="false">(DW95+DX95+DY95+DZ95)/4</f>
        <v>0</v>
      </c>
      <c r="EB95" s="11" t="n">
        <f aca="false">(DW95/DR95)</f>
        <v>0</v>
      </c>
      <c r="EC95" s="11" t="n">
        <f aca="false">(DX95/DS95)</f>
        <v>0</v>
      </c>
      <c r="ED95" s="11" t="n">
        <f aca="false">(DY95/DT95)</f>
        <v>0</v>
      </c>
      <c r="EE95" s="11" t="n">
        <f aca="false">(DZ95/DU95)</f>
        <v>0</v>
      </c>
      <c r="EF95" s="11" t="n">
        <f aca="false">(EA95/DV95)</f>
        <v>0</v>
      </c>
      <c r="EG95" s="11" t="n">
        <f aca="false">(100*EF95)</f>
        <v>0</v>
      </c>
      <c r="EH95" s="9" t="n">
        <v>0</v>
      </c>
      <c r="EI95" s="9" t="n">
        <v>0</v>
      </c>
      <c r="EJ95" s="9" t="n">
        <v>0</v>
      </c>
      <c r="EK95" s="19" t="n">
        <v>3</v>
      </c>
      <c r="EL95" s="9" t="n">
        <v>0</v>
      </c>
      <c r="EM95" s="9" t="n">
        <f aca="false">(EI95+EJ95+EK95+EL95)/4</f>
        <v>0.75</v>
      </c>
      <c r="EN95" s="9" t="n">
        <f aca="false">(EI95/DR95)</f>
        <v>0</v>
      </c>
      <c r="EO95" s="9" t="n">
        <f aca="false">(EJ95/DS95)</f>
        <v>0</v>
      </c>
      <c r="EP95" s="9" t="n">
        <f aca="false">(EK95/DT95)</f>
        <v>0.111111111111111</v>
      </c>
      <c r="EQ95" s="9" t="n">
        <f aca="false">(EL95/DU95)</f>
        <v>0</v>
      </c>
      <c r="ER95" s="9" t="n">
        <f aca="false">EM95/DV95</f>
        <v>0.0283018867924528</v>
      </c>
      <c r="ES95" s="9" t="n">
        <f aca="false">(100*ER95)</f>
        <v>2.83018867924528</v>
      </c>
      <c r="ET95" s="9" t="n">
        <v>1</v>
      </c>
      <c r="EU95" s="18" t="n">
        <v>0</v>
      </c>
      <c r="EV95" s="9" t="n">
        <v>0</v>
      </c>
      <c r="EW95" s="9" t="n">
        <v>0</v>
      </c>
      <c r="EX95" s="9" t="n">
        <v>0</v>
      </c>
      <c r="EY95" s="11" t="n">
        <f aca="false">(EU95+EV95+EW95+EX95)/4</f>
        <v>0</v>
      </c>
      <c r="EZ95" s="11" t="n">
        <f aca="false">(EU95/DR95)</f>
        <v>0</v>
      </c>
      <c r="FA95" s="11" t="n">
        <f aca="false">(EV95/DS95)</f>
        <v>0</v>
      </c>
      <c r="FB95" s="11" t="n">
        <f aca="false">(EW95/DT95)</f>
        <v>0</v>
      </c>
      <c r="FC95" s="11" t="n">
        <f aca="false">(EX95/DU95)</f>
        <v>0</v>
      </c>
      <c r="FD95" s="11" t="n">
        <f aca="false">(EY95/DV95)</f>
        <v>0</v>
      </c>
      <c r="FE95" s="11" t="n">
        <f aca="false">(100*FD95)</f>
        <v>0</v>
      </c>
      <c r="FF95" s="9" t="n">
        <v>0</v>
      </c>
      <c r="FG95" s="9" t="n">
        <v>20</v>
      </c>
      <c r="FH95" s="9" t="n">
        <v>9</v>
      </c>
      <c r="FI95" s="9" t="n">
        <v>16</v>
      </c>
      <c r="FJ95" s="9" t="n">
        <v>4</v>
      </c>
      <c r="FK95" s="11" t="n">
        <f aca="false">(FG95+FH95+FI95+FJ95)/4</f>
        <v>12.25</v>
      </c>
      <c r="FL95" s="11" t="n">
        <f aca="false">(FG95/DR95)</f>
        <v>1.42857142857143</v>
      </c>
      <c r="FM95" s="11" t="n">
        <f aca="false">(FH95/DS95)</f>
        <v>0.264705882352941</v>
      </c>
      <c r="FN95" s="11" t="n">
        <f aca="false">(FI95/DT95)</f>
        <v>0.592592592592593</v>
      </c>
      <c r="FO95" s="11" t="n">
        <f aca="false">(FJ95/DU95)</f>
        <v>0.129032258064516</v>
      </c>
      <c r="FP95" s="11" t="n">
        <f aca="false">(FK95/DV95)</f>
        <v>0.462264150943396</v>
      </c>
      <c r="FQ95" s="11" t="n">
        <f aca="false">(100*FP95)</f>
        <v>46.2264150943396</v>
      </c>
      <c r="FR95" s="9" t="n">
        <v>3</v>
      </c>
      <c r="FS95" s="9" t="n">
        <v>69.3</v>
      </c>
      <c r="FT95" s="9" t="n">
        <v>57.8</v>
      </c>
      <c r="FU95" s="9" t="n">
        <v>69.7</v>
      </c>
      <c r="FV95" s="9" t="n">
        <v>48.2</v>
      </c>
      <c r="FW95" s="11" t="n">
        <f aca="false">(FS95+FT95+FU95+FV95)/4</f>
        <v>61.25</v>
      </c>
      <c r="FX95" s="9" t="n">
        <v>0</v>
      </c>
      <c r="FY95" s="9" t="n">
        <v>0</v>
      </c>
      <c r="FZ95" s="9" t="n">
        <v>0</v>
      </c>
      <c r="GA95" s="9" t="n">
        <v>0</v>
      </c>
      <c r="GB95" s="11" t="n">
        <f aca="false">(FX95+FY95+FZ95+GA95)/4</f>
        <v>0</v>
      </c>
      <c r="GC95" s="9" t="n">
        <v>0</v>
      </c>
      <c r="GD95" s="9" t="n">
        <v>0</v>
      </c>
      <c r="GE95" s="9" t="n">
        <v>0</v>
      </c>
      <c r="GF95" s="9" t="n">
        <v>0</v>
      </c>
      <c r="GG95" s="11" t="n">
        <f aca="false">(GC95+GD95+GE95+GF95)/4</f>
        <v>0</v>
      </c>
      <c r="GH95" s="9" t="n">
        <v>1</v>
      </c>
      <c r="GI95" s="9" t="n">
        <v>1</v>
      </c>
      <c r="GJ95" s="9" t="n">
        <v>1</v>
      </c>
      <c r="GK95" s="9" t="n">
        <v>1</v>
      </c>
      <c r="GL95" s="11" t="n">
        <f aca="false">(GH95+GI95+GJ95+GK95)/4</f>
        <v>1</v>
      </c>
      <c r="GM95" s="9" t="n">
        <v>26</v>
      </c>
      <c r="GN95" s="9" t="n">
        <v>33</v>
      </c>
      <c r="GO95" s="9" t="n">
        <v>56</v>
      </c>
      <c r="GP95" s="9" t="n">
        <v>90</v>
      </c>
      <c r="GQ95" s="11" t="n">
        <f aca="false">(GM95+GN95+GO95+GP95)/4</f>
        <v>51.25</v>
      </c>
      <c r="GR95" s="9" t="n">
        <v>17</v>
      </c>
      <c r="GS95" s="9" t="n">
        <v>13</v>
      </c>
      <c r="GT95" s="9" t="n">
        <v>22</v>
      </c>
      <c r="GU95" s="9" t="n">
        <v>37</v>
      </c>
      <c r="GV95" s="11" t="n">
        <f aca="false">(GR95+GS95+GT95+GU95)/4</f>
        <v>22.25</v>
      </c>
      <c r="GW95" s="9" t="n">
        <v>0</v>
      </c>
      <c r="GX95" s="9" t="n">
        <v>0</v>
      </c>
      <c r="GY95" s="9" t="n">
        <v>0</v>
      </c>
      <c r="GZ95" s="9" t="n">
        <v>0</v>
      </c>
      <c r="HA95" s="11" t="n">
        <f aca="false">(GW95+GX95+GY95+GZ95)/4</f>
        <v>0</v>
      </c>
      <c r="HB95" s="9" t="n">
        <f aca="false">(GW95/GR95)</f>
        <v>0</v>
      </c>
      <c r="HC95" s="9" t="n">
        <f aca="false">(GX95/GS95)</f>
        <v>0</v>
      </c>
      <c r="HD95" s="9" t="n">
        <f aca="false">(GY95/GT95)</f>
        <v>0</v>
      </c>
      <c r="HE95" s="9" t="n">
        <f aca="false">(GZ95/GU95)/4</f>
        <v>0</v>
      </c>
      <c r="HF95" s="9" t="n">
        <f aca="false">(HB95+HC95+HD95+HE95)/4</f>
        <v>0</v>
      </c>
      <c r="HG95" s="9" t="n">
        <f aca="false">(100*HF95)</f>
        <v>0</v>
      </c>
      <c r="HH95" s="18" t="n">
        <v>0</v>
      </c>
      <c r="HI95" s="9" t="n">
        <v>0</v>
      </c>
      <c r="HJ95" s="9" t="n">
        <v>0</v>
      </c>
      <c r="HK95" s="9" t="n">
        <v>0</v>
      </c>
      <c r="HL95" s="19" t="n">
        <v>0</v>
      </c>
      <c r="HM95" s="9" t="n">
        <f aca="false">(HI95+HJ95+HK95+HL95)/4</f>
        <v>0</v>
      </c>
      <c r="HN95" s="9" t="n">
        <f aca="false">(HI95/GR95)</f>
        <v>0</v>
      </c>
      <c r="HO95" s="9" t="n">
        <f aca="false">(HJ95/GS95)</f>
        <v>0</v>
      </c>
      <c r="HP95" s="9" t="n">
        <f aca="false">(HK95/GT95)</f>
        <v>0</v>
      </c>
      <c r="HQ95" s="9" t="n">
        <f aca="false">(HL95/GU95)</f>
        <v>0</v>
      </c>
      <c r="HR95" s="9" t="n">
        <f aca="false">(HM95/GV95)</f>
        <v>0</v>
      </c>
      <c r="HS95" s="9" t="n">
        <f aca="false">(100*HR95)</f>
        <v>0</v>
      </c>
      <c r="HT95" s="18" t="n">
        <v>0</v>
      </c>
      <c r="HU95" s="9" t="n">
        <v>1</v>
      </c>
      <c r="HV95" s="9" t="n">
        <v>0</v>
      </c>
      <c r="HW95" s="9" t="n">
        <v>0</v>
      </c>
      <c r="HX95" s="19" t="n">
        <v>0</v>
      </c>
      <c r="HY95" s="9" t="n">
        <f aca="false">(HU95+HV95+HW95+HX95)/4</f>
        <v>0.25</v>
      </c>
      <c r="HZ95" s="9" t="n">
        <f aca="false">(HU95/GR95)</f>
        <v>0.0588235294117647</v>
      </c>
      <c r="IA95" s="9" t="n">
        <f aca="false">HV95/GS95</f>
        <v>0</v>
      </c>
      <c r="IB95" s="9" t="n">
        <f aca="false">(HW95/GT95)</f>
        <v>0</v>
      </c>
      <c r="IC95" s="9" t="n">
        <f aca="false">(HX95/GU95)</f>
        <v>0</v>
      </c>
      <c r="ID95" s="9" t="n">
        <f aca="false">(HY95/GV95)</f>
        <v>0.0112359550561798</v>
      </c>
      <c r="IE95" s="9" t="n">
        <f aca="false">(100*ID95)</f>
        <v>1.12359550561798</v>
      </c>
      <c r="IF95" s="18" t="n">
        <v>1</v>
      </c>
      <c r="IG95" s="9" t="n">
        <v>6</v>
      </c>
      <c r="IH95" s="9" t="n">
        <v>7</v>
      </c>
      <c r="II95" s="19" t="n">
        <v>14</v>
      </c>
      <c r="IJ95" s="9" t="n">
        <v>24</v>
      </c>
      <c r="IK95" s="9" t="n">
        <f aca="false">(IG95+IH95+II95+IJ95)/4</f>
        <v>12.75</v>
      </c>
      <c r="IL95" s="9" t="n">
        <f aca="false">(IG95/GM95)</f>
        <v>0.230769230769231</v>
      </c>
      <c r="IM95" s="9" t="n">
        <f aca="false">(IH95/GN95)</f>
        <v>0.212121212121212</v>
      </c>
      <c r="IN95" s="9" t="n">
        <f aca="false">(II95/GO95)</f>
        <v>0.25</v>
      </c>
      <c r="IO95" s="9" t="n">
        <f aca="false">(IJ95/GP95)</f>
        <v>0.266666666666667</v>
      </c>
      <c r="IP95" s="9" t="n">
        <f aca="false">(IK95/GQ95)</f>
        <v>0.248780487804878</v>
      </c>
      <c r="IQ95" s="9" t="n">
        <f aca="false">(100*IP95)</f>
        <v>24.8780487804878</v>
      </c>
      <c r="IR95" s="18" t="n">
        <v>2</v>
      </c>
      <c r="IS95" s="9" t="n">
        <v>70.6</v>
      </c>
      <c r="IT95" s="9" t="n">
        <v>72.9</v>
      </c>
      <c r="IU95" s="19" t="n">
        <v>62.1</v>
      </c>
      <c r="IV95" s="9" t="n">
        <v>63.5</v>
      </c>
      <c r="IW95" s="9" t="n">
        <f aca="false">(IS95+IT95+IU95+IV95)/4</f>
        <v>67.275</v>
      </c>
      <c r="IX95" s="16" t="n">
        <v>45202</v>
      </c>
      <c r="IY95" s="10" t="s">
        <v>268</v>
      </c>
    </row>
    <row r="96" customFormat="false" ht="15.75" hidden="false" customHeight="true" outlineLevel="0" collapsed="false">
      <c r="A96" s="9" t="s">
        <v>370</v>
      </c>
      <c r="B96" s="10" t="s">
        <v>486</v>
      </c>
      <c r="C96" s="10" t="s">
        <v>400</v>
      </c>
      <c r="D96" s="9" t="n">
        <v>1</v>
      </c>
      <c r="E96" s="9" t="n">
        <v>32</v>
      </c>
      <c r="F96" s="10" t="s">
        <v>491</v>
      </c>
      <c r="G96" s="10" t="s">
        <v>275</v>
      </c>
      <c r="H96" s="9" t="n">
        <v>21</v>
      </c>
      <c r="I96" s="9" t="n">
        <v>10</v>
      </c>
      <c r="J96" s="12" t="s">
        <v>270</v>
      </c>
      <c r="K96" s="20"/>
      <c r="L96" s="20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 t="n">
        <v>0</v>
      </c>
      <c r="Y96" s="9" t="n">
        <v>0</v>
      </c>
      <c r="Z96" s="9" t="n">
        <v>0</v>
      </c>
      <c r="AA96" s="9" t="n">
        <v>0</v>
      </c>
      <c r="AB96" s="11" t="n">
        <f aca="false">(X96+Y96+Z96+AA96)/4</f>
        <v>0</v>
      </c>
      <c r="AC96" s="9" t="n">
        <v>0</v>
      </c>
      <c r="AD96" s="9" t="n">
        <v>0</v>
      </c>
      <c r="AE96" s="9" t="n">
        <v>1</v>
      </c>
      <c r="AF96" s="9" t="n">
        <v>1</v>
      </c>
      <c r="AG96" s="11" t="n">
        <f aca="false">(AC96+AD96+AE96+AF96)/4</f>
        <v>0.5</v>
      </c>
      <c r="AH96" s="9" t="n">
        <v>1</v>
      </c>
      <c r="AI96" s="9" t="n">
        <v>1</v>
      </c>
      <c r="AJ96" s="9" t="n">
        <v>0</v>
      </c>
      <c r="AK96" s="9" t="n">
        <v>0</v>
      </c>
      <c r="AL96" s="11" t="n">
        <f aca="false">(AH96+AI96+AJ96+AK96)/4</f>
        <v>0.5</v>
      </c>
      <c r="AM96" s="9" t="n">
        <v>19</v>
      </c>
      <c r="AN96" s="9" t="n">
        <v>12</v>
      </c>
      <c r="AO96" s="9" t="n">
        <v>0</v>
      </c>
      <c r="AP96" s="9" t="n">
        <v>0</v>
      </c>
      <c r="AQ96" s="11" t="n">
        <f aca="false">(AM96+AN96+AO96+AP96)/4</f>
        <v>7.75</v>
      </c>
      <c r="AR96" s="9" t="n">
        <v>51</v>
      </c>
      <c r="AS96" s="9" t="n">
        <v>1</v>
      </c>
      <c r="AT96" s="9" t="n">
        <v>16</v>
      </c>
      <c r="AU96" s="9" t="n">
        <v>22</v>
      </c>
      <c r="AV96" s="11" t="n">
        <f aca="false">(AR96+AS96+AT96+AU96)/4</f>
        <v>22.5</v>
      </c>
      <c r="AW96" s="9" t="n">
        <v>0</v>
      </c>
      <c r="AX96" s="9" t="n">
        <v>0</v>
      </c>
      <c r="AY96" s="9" t="n">
        <v>0</v>
      </c>
      <c r="AZ96" s="9" t="n">
        <v>0</v>
      </c>
      <c r="BA96" s="11" t="n">
        <f aca="false">(AW96+AX96+AY96+AZ96)/4</f>
        <v>0</v>
      </c>
      <c r="BB96" s="11" t="n">
        <f aca="false">(AW96/AR96)</f>
        <v>0</v>
      </c>
      <c r="BC96" s="11" t="n">
        <f aca="false">(AX96/AS96)</f>
        <v>0</v>
      </c>
      <c r="BD96" s="11" t="n">
        <f aca="false">(AY96/AT96)</f>
        <v>0</v>
      </c>
      <c r="BE96" s="11" t="n">
        <f aca="false">(AZ96/AU96)</f>
        <v>0</v>
      </c>
      <c r="BF96" s="11" t="n">
        <f aca="false">(BA96/AV96)</f>
        <v>0</v>
      </c>
      <c r="BG96" s="11" t="n">
        <f aca="false">(BF96*100)</f>
        <v>0</v>
      </c>
      <c r="BH96" s="9" t="n">
        <v>0</v>
      </c>
      <c r="BI96" s="9" t="n">
        <v>0</v>
      </c>
      <c r="BJ96" s="9" t="n">
        <v>0</v>
      </c>
      <c r="BK96" s="9" t="n">
        <v>5</v>
      </c>
      <c r="BL96" s="9" t="n">
        <v>4</v>
      </c>
      <c r="BM96" s="11" t="n">
        <f aca="false">(BI96+BJ96+BK96+BL96)/4</f>
        <v>2.25</v>
      </c>
      <c r="BN96" s="11" t="n">
        <f aca="false">(BI96/AR96)</f>
        <v>0</v>
      </c>
      <c r="BO96" s="11" t="n">
        <f aca="false">(BJ96/AS96)</f>
        <v>0</v>
      </c>
      <c r="BP96" s="11" t="n">
        <f aca="false">(BK96/AT96)</f>
        <v>0.3125</v>
      </c>
      <c r="BQ96" s="11" t="n">
        <f aca="false">(BL96/AU96)</f>
        <v>0.181818181818182</v>
      </c>
      <c r="BR96" s="11" t="n">
        <f aca="false">(BM96/AV96)</f>
        <v>0.1</v>
      </c>
      <c r="BS96" s="11" t="n">
        <f aca="false">(100*BR96)</f>
        <v>10</v>
      </c>
      <c r="BT96" s="9" t="n">
        <v>2</v>
      </c>
      <c r="BU96" s="9" t="n">
        <v>0</v>
      </c>
      <c r="BV96" s="9" t="n">
        <v>0</v>
      </c>
      <c r="BW96" s="9" t="n">
        <v>0</v>
      </c>
      <c r="BX96" s="9" t="n">
        <v>0</v>
      </c>
      <c r="BY96" s="11" t="n">
        <f aca="false">(BU96+BV96+BW96+BX96)/4</f>
        <v>0</v>
      </c>
      <c r="BZ96" s="11" t="n">
        <f aca="false">(BU96/AR96)</f>
        <v>0</v>
      </c>
      <c r="CA96" s="11" t="n">
        <f aca="false">(BV96/AS96)</f>
        <v>0</v>
      </c>
      <c r="CB96" s="11" t="n">
        <f aca="false">(BW96/AT96)</f>
        <v>0</v>
      </c>
      <c r="CC96" s="11" t="n">
        <f aca="false">(BX96/AU96)</f>
        <v>0</v>
      </c>
      <c r="CD96" s="11" t="n">
        <f aca="false">(BY96/AV96)</f>
        <v>0</v>
      </c>
      <c r="CE96" s="11" t="n">
        <f aca="false">(100*CD96)</f>
        <v>0</v>
      </c>
      <c r="CF96" s="9" t="n">
        <v>1</v>
      </c>
      <c r="CG96" s="9" t="n">
        <v>7</v>
      </c>
      <c r="CH96" s="9" t="n">
        <v>0</v>
      </c>
      <c r="CI96" s="9" t="n">
        <v>0</v>
      </c>
      <c r="CJ96" s="9" t="n">
        <v>0</v>
      </c>
      <c r="CK96" s="11" t="n">
        <f aca="false">(CG96+CH96+CI96+CJ96)/4</f>
        <v>1.75</v>
      </c>
      <c r="CL96" s="11" t="n">
        <f aca="false">(CG96/AM96)</f>
        <v>0.368421052631579</v>
      </c>
      <c r="CM96" s="11" t="n">
        <f aca="false">(CH96/AN96)</f>
        <v>0</v>
      </c>
      <c r="CN96" s="11" t="e">
        <f aca="false">(CI96/AO96)</f>
        <v>#DIV/0!</v>
      </c>
      <c r="CO96" s="9" t="e">
        <f aca="false">(CJ96/AP96)</f>
        <v>#DIV/0!</v>
      </c>
      <c r="CP96" s="9" t="n">
        <f aca="false">(CK96/AQ96)</f>
        <v>0.225806451612903</v>
      </c>
      <c r="CQ96" s="9" t="n">
        <f aca="false">(100*CP96)</f>
        <v>22.5806451612903</v>
      </c>
      <c r="CR96" s="18" t="n">
        <v>2</v>
      </c>
      <c r="CS96" s="9" t="n">
        <v>51</v>
      </c>
      <c r="CT96" s="9" t="n">
        <v>57.7</v>
      </c>
      <c r="CU96" s="9" t="n">
        <v>58.2</v>
      </c>
      <c r="CV96" s="9" t="n">
        <v>55.9</v>
      </c>
      <c r="CW96" s="11" t="n">
        <f aca="false">(CS96+CT96+CU96+CV96)/4</f>
        <v>55.7</v>
      </c>
      <c r="CX96" s="9" t="n">
        <v>0</v>
      </c>
      <c r="CY96" s="9" t="n">
        <v>0</v>
      </c>
      <c r="CZ96" s="9" t="n">
        <v>0</v>
      </c>
      <c r="DA96" s="9" t="n">
        <v>0</v>
      </c>
      <c r="DB96" s="11" t="n">
        <f aca="false">(CX96+CY96+CZ96+DA96)/4</f>
        <v>0</v>
      </c>
      <c r="DC96" s="9" t="n">
        <v>0</v>
      </c>
      <c r="DD96" s="9" t="n">
        <v>0</v>
      </c>
      <c r="DE96" s="9" t="n">
        <v>0</v>
      </c>
      <c r="DF96" s="9" t="n">
        <v>0</v>
      </c>
      <c r="DG96" s="11" t="n">
        <f aca="false">(DC96+DD96+DE96+DF96)/4</f>
        <v>0</v>
      </c>
      <c r="DH96" s="9" t="n">
        <v>1</v>
      </c>
      <c r="DI96" s="9" t="n">
        <v>0</v>
      </c>
      <c r="DJ96" s="9" t="n">
        <v>1</v>
      </c>
      <c r="DK96" s="9" t="n">
        <v>0</v>
      </c>
      <c r="DL96" s="11" t="n">
        <f aca="false">(DH96+DI96+DJ96+DK96)/4</f>
        <v>0.5</v>
      </c>
      <c r="DM96" s="9" t="n">
        <v>0</v>
      </c>
      <c r="DN96" s="9" t="n">
        <v>0</v>
      </c>
      <c r="DO96" s="9" t="n">
        <v>0</v>
      </c>
      <c r="DP96" s="9" t="n">
        <v>0</v>
      </c>
      <c r="DQ96" s="11" t="n">
        <f aca="false">(DM96+DN96+DO96+DP96)/4</f>
        <v>0</v>
      </c>
      <c r="DR96" s="9" t="n">
        <v>13</v>
      </c>
      <c r="DS96" s="9" t="n">
        <v>8</v>
      </c>
      <c r="DT96" s="9" t="n">
        <v>15</v>
      </c>
      <c r="DU96" s="9" t="n">
        <v>12</v>
      </c>
      <c r="DV96" s="11" t="n">
        <f aca="false">(DR96+DS96+DT96+DU96)/4</f>
        <v>12</v>
      </c>
      <c r="DW96" s="9" t="n">
        <v>0</v>
      </c>
      <c r="DX96" s="9" t="n">
        <v>0</v>
      </c>
      <c r="DY96" s="9" t="n">
        <v>0</v>
      </c>
      <c r="DZ96" s="9" t="n">
        <v>0</v>
      </c>
      <c r="EA96" s="11" t="n">
        <f aca="false">(DW96+DX96+DY96+DZ96)/4</f>
        <v>0</v>
      </c>
      <c r="EB96" s="11" t="n">
        <f aca="false">(DW96/DR96)</f>
        <v>0</v>
      </c>
      <c r="EC96" s="11" t="n">
        <f aca="false">(DX96/DS96)</f>
        <v>0</v>
      </c>
      <c r="ED96" s="11" t="n">
        <f aca="false">(DY96/DT96)</f>
        <v>0</v>
      </c>
      <c r="EE96" s="11" t="n">
        <f aca="false">(DZ96/DU96)</f>
        <v>0</v>
      </c>
      <c r="EF96" s="11" t="n">
        <f aca="false">(EA96/DV96)</f>
        <v>0</v>
      </c>
      <c r="EG96" s="11" t="n">
        <f aca="false">(100*EF96)</f>
        <v>0</v>
      </c>
      <c r="EH96" s="9" t="n">
        <v>0</v>
      </c>
      <c r="EI96" s="9" t="n">
        <v>0</v>
      </c>
      <c r="EJ96" s="9" t="n">
        <v>0</v>
      </c>
      <c r="EK96" s="19" t="n">
        <v>0</v>
      </c>
      <c r="EL96" s="9" t="n">
        <v>0</v>
      </c>
      <c r="EM96" s="9" t="n">
        <f aca="false">(EI96+EJ96+EK96+EL96)/4</f>
        <v>0</v>
      </c>
      <c r="EN96" s="9" t="n">
        <f aca="false">(EI96/DR96)</f>
        <v>0</v>
      </c>
      <c r="EO96" s="9" t="n">
        <f aca="false">(EJ96/DS96)</f>
        <v>0</v>
      </c>
      <c r="EP96" s="9" t="n">
        <f aca="false">(EK96/DT96)</f>
        <v>0</v>
      </c>
      <c r="EQ96" s="9" t="n">
        <f aca="false">(EL96/DU96)</f>
        <v>0</v>
      </c>
      <c r="ER96" s="9" t="n">
        <f aca="false">EM96/DV96</f>
        <v>0</v>
      </c>
      <c r="ES96" s="9" t="n">
        <f aca="false">(100*ER96)</f>
        <v>0</v>
      </c>
      <c r="ET96" s="9" t="n">
        <v>0</v>
      </c>
      <c r="EU96" s="18" t="n">
        <v>3</v>
      </c>
      <c r="EV96" s="9" t="n">
        <v>0</v>
      </c>
      <c r="EW96" s="9" t="n">
        <v>2</v>
      </c>
      <c r="EX96" s="9" t="n">
        <v>0</v>
      </c>
      <c r="EY96" s="11" t="n">
        <f aca="false">(EU96+EV96+EW96+EX96)/4</f>
        <v>1.25</v>
      </c>
      <c r="EZ96" s="11" t="n">
        <f aca="false">(EU96/DR96)</f>
        <v>0.230769230769231</v>
      </c>
      <c r="FA96" s="11" t="n">
        <f aca="false">(EV96/DS96)</f>
        <v>0</v>
      </c>
      <c r="FB96" s="11" t="n">
        <f aca="false">(EW96/DT96)</f>
        <v>0.133333333333333</v>
      </c>
      <c r="FC96" s="11" t="n">
        <f aca="false">(EX96/DU96)</f>
        <v>0</v>
      </c>
      <c r="FD96" s="11" t="n">
        <f aca="false">(EY96/DV96)</f>
        <v>0.104166666666667</v>
      </c>
      <c r="FE96" s="11" t="n">
        <f aca="false">(100*FD96)</f>
        <v>10.4166666666667</v>
      </c>
      <c r="FF96" s="9" t="n">
        <v>2</v>
      </c>
      <c r="FG96" s="9" t="n">
        <v>0</v>
      </c>
      <c r="FH96" s="9" t="n">
        <v>0</v>
      </c>
      <c r="FI96" s="9" t="n">
        <v>0</v>
      </c>
      <c r="FJ96" s="9" t="n">
        <v>0</v>
      </c>
      <c r="FK96" s="11" t="n">
        <f aca="false">(FG96+FH96+FI96+FJ96)/4</f>
        <v>0</v>
      </c>
      <c r="FL96" s="11" t="n">
        <f aca="false">(FG96/DR96)</f>
        <v>0</v>
      </c>
      <c r="FM96" s="11" t="n">
        <f aca="false">(FH96/DS96)</f>
        <v>0</v>
      </c>
      <c r="FN96" s="11" t="n">
        <f aca="false">(FI96/DT96)</f>
        <v>0</v>
      </c>
      <c r="FO96" s="11" t="n">
        <f aca="false">(FJ96/DU96)</f>
        <v>0</v>
      </c>
      <c r="FP96" s="11" t="n">
        <f aca="false">(FK96/DV96)</f>
        <v>0</v>
      </c>
      <c r="FQ96" s="11" t="n">
        <f aca="false">(100*FP96)</f>
        <v>0</v>
      </c>
      <c r="FR96" s="9" t="n">
        <v>0</v>
      </c>
      <c r="FS96" s="9" t="n">
        <v>60.8</v>
      </c>
      <c r="FT96" s="9" t="n">
        <v>68.7</v>
      </c>
      <c r="FU96" s="9" t="n">
        <v>63.1</v>
      </c>
      <c r="FV96" s="9" t="n">
        <v>55.8</v>
      </c>
      <c r="FW96" s="11" t="n">
        <f aca="false">(FS96+FT96+FU96+FV96)/4</f>
        <v>62.1</v>
      </c>
      <c r="FX96" s="9" t="n">
        <v>0</v>
      </c>
      <c r="FY96" s="9" t="n">
        <v>0</v>
      </c>
      <c r="FZ96" s="9" t="n">
        <v>0</v>
      </c>
      <c r="GA96" s="9" t="n">
        <v>0</v>
      </c>
      <c r="GB96" s="11" t="n">
        <f aca="false">(FX96+FY96+FZ96+GA96)/4</f>
        <v>0</v>
      </c>
      <c r="GC96" s="9" t="n">
        <v>0</v>
      </c>
      <c r="GD96" s="9" t="n">
        <v>1</v>
      </c>
      <c r="GE96" s="9" t="n">
        <v>1</v>
      </c>
      <c r="GF96" s="9" t="n">
        <v>1</v>
      </c>
      <c r="GG96" s="11" t="n">
        <f aca="false">(GC96+GD96+GE96+GF96)/4</f>
        <v>0.75</v>
      </c>
      <c r="GH96" s="9" t="n">
        <v>1</v>
      </c>
      <c r="GI96" s="9" t="n">
        <v>0</v>
      </c>
      <c r="GJ96" s="9" t="n">
        <v>0</v>
      </c>
      <c r="GK96" s="9" t="n">
        <v>0</v>
      </c>
      <c r="GL96" s="11" t="n">
        <f aca="false">(GH96+GI96+GJ96+GK96)/4</f>
        <v>0.25</v>
      </c>
      <c r="GM96" s="9" t="n">
        <v>0</v>
      </c>
      <c r="GN96" s="9" t="n">
        <v>0</v>
      </c>
      <c r="GO96" s="9" t="n">
        <v>0</v>
      </c>
      <c r="GP96" s="9" t="n">
        <v>0</v>
      </c>
      <c r="GQ96" s="11" t="n">
        <f aca="false">(GM96+GN96+GO96+GP96)/4</f>
        <v>0</v>
      </c>
      <c r="GR96" s="9" t="n">
        <v>9</v>
      </c>
      <c r="GS96" s="9" t="n">
        <v>9</v>
      </c>
      <c r="GT96" s="9" t="n">
        <v>9</v>
      </c>
      <c r="GU96" s="9" t="n">
        <v>9</v>
      </c>
      <c r="GV96" s="11" t="n">
        <f aca="false">(GR96+GS96+GT96+GU96)/4</f>
        <v>9</v>
      </c>
      <c r="GW96" s="9" t="n">
        <v>0</v>
      </c>
      <c r="GX96" s="9" t="n">
        <v>0</v>
      </c>
      <c r="GY96" s="9" t="n">
        <v>0</v>
      </c>
      <c r="GZ96" s="9" t="n">
        <v>0</v>
      </c>
      <c r="HA96" s="11" t="n">
        <f aca="false">(GW96+GX96+GY96+GZ96)/4</f>
        <v>0</v>
      </c>
      <c r="HB96" s="9" t="n">
        <f aca="false">(GW96/GR96)</f>
        <v>0</v>
      </c>
      <c r="HC96" s="9" t="n">
        <f aca="false">(GX96/GS96)</f>
        <v>0</v>
      </c>
      <c r="HD96" s="9" t="n">
        <f aca="false">(GY96/GT96)</f>
        <v>0</v>
      </c>
      <c r="HE96" s="9" t="n">
        <f aca="false">(GZ96/GU96)/4</f>
        <v>0</v>
      </c>
      <c r="HF96" s="9" t="n">
        <f aca="false">(HB96+HC96+HD96+HE96)/4</f>
        <v>0</v>
      </c>
      <c r="HG96" s="9" t="n">
        <f aca="false">(100*HF96)</f>
        <v>0</v>
      </c>
      <c r="HH96" s="18" t="n">
        <v>0</v>
      </c>
      <c r="HI96" s="9" t="n">
        <v>0</v>
      </c>
      <c r="HJ96" s="9" t="n">
        <v>1</v>
      </c>
      <c r="HK96" s="9" t="n">
        <v>1</v>
      </c>
      <c r="HL96" s="19" t="n">
        <v>2</v>
      </c>
      <c r="HM96" s="9" t="n">
        <f aca="false">(HI96+HJ96+HK96+HL96)/4</f>
        <v>1</v>
      </c>
      <c r="HN96" s="9" t="n">
        <f aca="false">(HI96/GR96)</f>
        <v>0</v>
      </c>
      <c r="HO96" s="9" t="n">
        <f aca="false">(HJ96/GS96)</f>
        <v>0.111111111111111</v>
      </c>
      <c r="HP96" s="9" t="n">
        <f aca="false">(HK96/GT96)</f>
        <v>0.111111111111111</v>
      </c>
      <c r="HQ96" s="9" t="n">
        <f aca="false">(HL96/GU96)</f>
        <v>0.222222222222222</v>
      </c>
      <c r="HR96" s="9" t="n">
        <f aca="false">(HM96/GV96)</f>
        <v>0.111111111111111</v>
      </c>
      <c r="HS96" s="9" t="n">
        <f aca="false">(100*HR96)</f>
        <v>11.1111111111111</v>
      </c>
      <c r="HT96" s="18" t="n">
        <v>2</v>
      </c>
      <c r="HU96" s="9" t="n">
        <v>2</v>
      </c>
      <c r="HV96" s="9" t="n">
        <v>0</v>
      </c>
      <c r="HW96" s="9" t="n">
        <v>0</v>
      </c>
      <c r="HX96" s="19" t="n">
        <v>0</v>
      </c>
      <c r="HY96" s="9" t="n">
        <f aca="false">(HU96+HV96+HW96+HX96)/4</f>
        <v>0.5</v>
      </c>
      <c r="HZ96" s="9" t="n">
        <f aca="false">(HU96/GR96)</f>
        <v>0.222222222222222</v>
      </c>
      <c r="IA96" s="9" t="n">
        <f aca="false">HV96/GS96</f>
        <v>0</v>
      </c>
      <c r="IB96" s="9" t="n">
        <f aca="false">(HW96/GT96)</f>
        <v>0</v>
      </c>
      <c r="IC96" s="9" t="n">
        <f aca="false">(HX96/GU96)</f>
        <v>0</v>
      </c>
      <c r="ID96" s="9" t="n">
        <f aca="false">(HY96/GV96)</f>
        <v>0.0555555555555556</v>
      </c>
      <c r="IE96" s="9" t="n">
        <f aca="false">(100*ID96)</f>
        <v>5.55555555555556</v>
      </c>
      <c r="IF96" s="18" t="n">
        <v>1</v>
      </c>
      <c r="IG96" s="9" t="n">
        <v>0</v>
      </c>
      <c r="IH96" s="9" t="n">
        <v>0</v>
      </c>
      <c r="II96" s="19" t="n">
        <v>0</v>
      </c>
      <c r="IJ96" s="9" t="n">
        <v>0</v>
      </c>
      <c r="IK96" s="9" t="n">
        <f aca="false">(IG96+IH96+II96+IJ96)/4</f>
        <v>0</v>
      </c>
      <c r="IL96" s="9" t="e">
        <f aca="false">(IG96/GM96)</f>
        <v>#DIV/0!</v>
      </c>
      <c r="IM96" s="9" t="e">
        <f aca="false">(IH96/GN96)</f>
        <v>#DIV/0!</v>
      </c>
      <c r="IN96" s="9" t="e">
        <f aca="false">(II96/GO96)</f>
        <v>#DIV/0!</v>
      </c>
      <c r="IO96" s="9" t="e">
        <f aca="false">(IJ96/GP96)</f>
        <v>#DIV/0!</v>
      </c>
      <c r="IP96" s="9" t="e">
        <f aca="false">(IK96/GQ96)</f>
        <v>#DIV/0!</v>
      </c>
      <c r="IQ96" s="9" t="e">
        <f aca="false">(100*IP96)</f>
        <v>#DIV/0!</v>
      </c>
      <c r="IR96" s="18"/>
      <c r="IS96" s="9" t="n">
        <v>45.5</v>
      </c>
      <c r="IT96" s="9" t="n">
        <v>48.2</v>
      </c>
      <c r="IU96" s="19" t="n">
        <v>52.5</v>
      </c>
      <c r="IV96" s="9" t="n">
        <v>52.5</v>
      </c>
      <c r="IW96" s="9" t="n">
        <f aca="false">(IS96+IT96+IU96+IV96)/4</f>
        <v>49.675</v>
      </c>
      <c r="IX96" s="16" t="n">
        <v>45202</v>
      </c>
      <c r="IY96" s="10" t="s">
        <v>268</v>
      </c>
    </row>
    <row r="97" customFormat="false" ht="15.75" hidden="false" customHeight="true" outlineLevel="0" collapsed="false">
      <c r="A97" s="9" t="s">
        <v>370</v>
      </c>
      <c r="B97" s="10" t="s">
        <v>486</v>
      </c>
      <c r="C97" s="10" t="s">
        <v>400</v>
      </c>
      <c r="D97" s="9" t="n">
        <v>1</v>
      </c>
      <c r="E97" s="9" t="n">
        <v>32</v>
      </c>
      <c r="F97" s="10" t="s">
        <v>492</v>
      </c>
      <c r="G97" s="10" t="s">
        <v>291</v>
      </c>
      <c r="H97" s="9" t="n">
        <v>21</v>
      </c>
      <c r="I97" s="9" t="n">
        <v>20</v>
      </c>
      <c r="J97" s="10" t="s">
        <v>272</v>
      </c>
      <c r="K97" s="20"/>
      <c r="L97" s="20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 t="n">
        <v>0</v>
      </c>
      <c r="Y97" s="9" t="n">
        <v>0</v>
      </c>
      <c r="Z97" s="9" t="n">
        <v>0</v>
      </c>
      <c r="AA97" s="9" t="n">
        <v>0</v>
      </c>
      <c r="AB97" s="11" t="n">
        <f aca="false">(X97+Y97+Z97+AA97)/4</f>
        <v>0</v>
      </c>
      <c r="AC97" s="9" t="n">
        <v>1</v>
      </c>
      <c r="AD97" s="9" t="n">
        <v>0</v>
      </c>
      <c r="AE97" s="9" t="n">
        <v>1</v>
      </c>
      <c r="AF97" s="9" t="n">
        <v>1</v>
      </c>
      <c r="AG97" s="11" t="n">
        <f aca="false">(AC97+AD97+AE97+AF97)/4</f>
        <v>0.75</v>
      </c>
      <c r="AH97" s="9" t="n">
        <v>1</v>
      </c>
      <c r="AI97" s="9" t="n">
        <v>1</v>
      </c>
      <c r="AJ97" s="9" t="n">
        <v>1</v>
      </c>
      <c r="AK97" s="9" t="n">
        <v>1</v>
      </c>
      <c r="AL97" s="11" t="n">
        <f aca="false">(AH97+AI97+AJ97+AK97)/4</f>
        <v>1</v>
      </c>
      <c r="AM97" s="9" t="n">
        <v>6</v>
      </c>
      <c r="AN97" s="9" t="n">
        <v>2</v>
      </c>
      <c r="AO97" s="9" t="n">
        <v>9</v>
      </c>
      <c r="AP97" s="9" t="n">
        <v>12</v>
      </c>
      <c r="AQ97" s="11" t="n">
        <f aca="false">(AM97+AN97+AO97+AP97)/4</f>
        <v>7.25</v>
      </c>
      <c r="AR97" s="9" t="n">
        <v>20</v>
      </c>
      <c r="AS97" s="9" t="n">
        <v>23</v>
      </c>
      <c r="AT97" s="9" t="n">
        <v>16</v>
      </c>
      <c r="AU97" s="9" t="n">
        <v>11</v>
      </c>
      <c r="AV97" s="11" t="n">
        <f aca="false">(AR97+AS97+AT97+AU97)/4</f>
        <v>17.5</v>
      </c>
      <c r="AW97" s="9" t="n">
        <v>0</v>
      </c>
      <c r="AX97" s="9" t="n">
        <v>0</v>
      </c>
      <c r="AY97" s="9" t="n">
        <v>0</v>
      </c>
      <c r="AZ97" s="9" t="n">
        <v>0</v>
      </c>
      <c r="BA97" s="11" t="n">
        <f aca="false">(AW97+AX97+AY97+AZ97)/4</f>
        <v>0</v>
      </c>
      <c r="BB97" s="11" t="n">
        <f aca="false">(AW97/AR97)</f>
        <v>0</v>
      </c>
      <c r="BC97" s="11" t="n">
        <f aca="false">(AX97/AS97)</f>
        <v>0</v>
      </c>
      <c r="BD97" s="11" t="n">
        <f aca="false">(AY97/AT97)</f>
        <v>0</v>
      </c>
      <c r="BE97" s="11" t="n">
        <f aca="false">(AZ97/AU97)</f>
        <v>0</v>
      </c>
      <c r="BF97" s="11" t="n">
        <f aca="false">(BA97/AV97)</f>
        <v>0</v>
      </c>
      <c r="BG97" s="11" t="n">
        <f aca="false">(BF97*100)</f>
        <v>0</v>
      </c>
      <c r="BH97" s="9" t="n">
        <v>0</v>
      </c>
      <c r="BI97" s="9" t="n">
        <v>3</v>
      </c>
      <c r="BJ97" s="9" t="n">
        <v>0</v>
      </c>
      <c r="BK97" s="9" t="n">
        <v>3</v>
      </c>
      <c r="BL97" s="9" t="n">
        <v>1</v>
      </c>
      <c r="BM97" s="11" t="n">
        <f aca="false">(BI97+BJ97+BK97+BL97)/4</f>
        <v>1.75</v>
      </c>
      <c r="BN97" s="11" t="n">
        <f aca="false">(BI97/AR97)</f>
        <v>0.15</v>
      </c>
      <c r="BO97" s="11" t="n">
        <f aca="false">(BJ97/AS97)</f>
        <v>0</v>
      </c>
      <c r="BP97" s="11" t="n">
        <f aca="false">(BK97/AT97)</f>
        <v>0.1875</v>
      </c>
      <c r="BQ97" s="11" t="n">
        <f aca="false">(BL97/AU97)</f>
        <v>0.0909090909090909</v>
      </c>
      <c r="BR97" s="11" t="n">
        <f aca="false">(BM97/AV97)</f>
        <v>0.1</v>
      </c>
      <c r="BS97" s="11" t="n">
        <f aca="false">(100*BR97)</f>
        <v>10</v>
      </c>
      <c r="BT97" s="9" t="n">
        <v>2</v>
      </c>
      <c r="BU97" s="9" t="n">
        <v>0</v>
      </c>
      <c r="BV97" s="9" t="n">
        <v>1</v>
      </c>
      <c r="BW97" s="9" t="n">
        <v>0</v>
      </c>
      <c r="BX97" s="9" t="n">
        <v>0</v>
      </c>
      <c r="BY97" s="11" t="n">
        <f aca="false">(BU97+BV97+BW97+BX97)/4</f>
        <v>0.25</v>
      </c>
      <c r="BZ97" s="11" t="n">
        <f aca="false">(BU97/AR97)</f>
        <v>0</v>
      </c>
      <c r="CA97" s="11" t="n">
        <f aca="false">(BV97/AS97)</f>
        <v>0.0434782608695652</v>
      </c>
      <c r="CB97" s="11" t="n">
        <f aca="false">(BW97/AT97)</f>
        <v>0</v>
      </c>
      <c r="CC97" s="11" t="n">
        <f aca="false">(BX97/AU97)</f>
        <v>0</v>
      </c>
      <c r="CD97" s="11" t="n">
        <f aca="false">(BY97/AV97)</f>
        <v>0.0142857142857143</v>
      </c>
      <c r="CE97" s="11" t="n">
        <f aca="false">(100*CD97)</f>
        <v>1.42857142857143</v>
      </c>
      <c r="CF97" s="9" t="n">
        <v>1</v>
      </c>
      <c r="CG97" s="9" t="n">
        <v>5</v>
      </c>
      <c r="CH97" s="9" t="n">
        <v>0</v>
      </c>
      <c r="CI97" s="9" t="n">
        <v>4</v>
      </c>
      <c r="CJ97" s="9" t="n">
        <v>9</v>
      </c>
      <c r="CK97" s="11" t="n">
        <f aca="false">(CG97+CH97+CI97+CJ97)/4</f>
        <v>4.5</v>
      </c>
      <c r="CL97" s="11" t="n">
        <f aca="false">(CG97/AM97)</f>
        <v>0.833333333333333</v>
      </c>
      <c r="CM97" s="11" t="n">
        <f aca="false">(CH97/AN97)</f>
        <v>0</v>
      </c>
      <c r="CN97" s="11" t="n">
        <f aca="false">(CI97/AO97)</f>
        <v>0.444444444444444</v>
      </c>
      <c r="CO97" s="9" t="n">
        <f aca="false">(CJ97/AP97)</f>
        <v>0.75</v>
      </c>
      <c r="CP97" s="9" t="n">
        <f aca="false">(CK97/AQ97)</f>
        <v>0.620689655172414</v>
      </c>
      <c r="CQ97" s="9" t="n">
        <f aca="false">(100*CP97)</f>
        <v>62.0689655172414</v>
      </c>
      <c r="CR97" s="18" t="n">
        <v>3</v>
      </c>
      <c r="CS97" s="9" t="n">
        <v>59</v>
      </c>
      <c r="CT97" s="9" t="n">
        <v>50.3</v>
      </c>
      <c r="CU97" s="9" t="n">
        <v>60.3</v>
      </c>
      <c r="CV97" s="9" t="n">
        <v>63.3</v>
      </c>
      <c r="CW97" s="11" t="n">
        <f aca="false">(CS97+CT97+CU97+CV97)/4</f>
        <v>58.225</v>
      </c>
      <c r="CX97" s="9" t="n">
        <v>0</v>
      </c>
      <c r="CY97" s="9" t="n">
        <v>0</v>
      </c>
      <c r="CZ97" s="9" t="n">
        <v>0</v>
      </c>
      <c r="DA97" s="9" t="n">
        <v>0</v>
      </c>
      <c r="DB97" s="11" t="n">
        <f aca="false">(CX97+CY97+CZ97+DA97)/4</f>
        <v>0</v>
      </c>
      <c r="DC97" s="9" t="n">
        <v>0</v>
      </c>
      <c r="DD97" s="9" t="n">
        <v>0</v>
      </c>
      <c r="DE97" s="9" t="n">
        <v>1</v>
      </c>
      <c r="DF97" s="9" t="n">
        <v>0</v>
      </c>
      <c r="DG97" s="11" t="n">
        <f aca="false">(DC97+DD97+DE97+DF97)/4</f>
        <v>0.25</v>
      </c>
      <c r="DH97" s="9" t="n">
        <v>1</v>
      </c>
      <c r="DI97" s="9" t="n">
        <v>1</v>
      </c>
      <c r="DJ97" s="9" t="n">
        <v>1</v>
      </c>
      <c r="DK97" s="9" t="n">
        <v>1</v>
      </c>
      <c r="DL97" s="11" t="n">
        <f aca="false">(DH97+DI97+DJ97+DK97)/4</f>
        <v>1</v>
      </c>
      <c r="DM97" s="9" t="n">
        <v>126</v>
      </c>
      <c r="DN97" s="9" t="n">
        <v>24</v>
      </c>
      <c r="DO97" s="9" t="n">
        <v>177</v>
      </c>
      <c r="DP97" s="9" t="n">
        <v>194</v>
      </c>
      <c r="DQ97" s="11" t="n">
        <f aca="false">(DM97+DN97+DO97+DP97)/4</f>
        <v>130.25</v>
      </c>
      <c r="DR97" s="9" t="n">
        <v>9</v>
      </c>
      <c r="DS97" s="9" t="n">
        <v>13</v>
      </c>
      <c r="DT97" s="9" t="n">
        <v>10</v>
      </c>
      <c r="DU97" s="9" t="n">
        <v>11</v>
      </c>
      <c r="DV97" s="11" t="n">
        <f aca="false">(DR97+DS97+DT97+DU97)/4</f>
        <v>10.75</v>
      </c>
      <c r="DW97" s="9" t="n">
        <v>0</v>
      </c>
      <c r="DX97" s="9" t="n">
        <v>0</v>
      </c>
      <c r="DY97" s="9" t="n">
        <v>0</v>
      </c>
      <c r="DZ97" s="9" t="n">
        <v>0</v>
      </c>
      <c r="EA97" s="11" t="n">
        <f aca="false">(DW97+DX97+DY97+DZ97)/4</f>
        <v>0</v>
      </c>
      <c r="EB97" s="11" t="n">
        <f aca="false">(DW97/DR97)</f>
        <v>0</v>
      </c>
      <c r="EC97" s="11" t="n">
        <f aca="false">(DX97/DS97)</f>
        <v>0</v>
      </c>
      <c r="ED97" s="11" t="n">
        <f aca="false">(DY97/DT97)</f>
        <v>0</v>
      </c>
      <c r="EE97" s="11" t="n">
        <f aca="false">(DZ97/DU97)</f>
        <v>0</v>
      </c>
      <c r="EF97" s="11" t="n">
        <f aca="false">(EA97/DV97)</f>
        <v>0</v>
      </c>
      <c r="EG97" s="11" t="n">
        <f aca="false">(100*EF97)</f>
        <v>0</v>
      </c>
      <c r="EH97" s="9" t="n">
        <v>0</v>
      </c>
      <c r="EI97" s="9" t="n">
        <v>0</v>
      </c>
      <c r="EJ97" s="9" t="n">
        <v>0</v>
      </c>
      <c r="EK97" s="19" t="n">
        <v>2</v>
      </c>
      <c r="EL97" s="9" t="n">
        <v>0</v>
      </c>
      <c r="EM97" s="9" t="n">
        <f aca="false">(EI97+EJ97+EK97+EL97)/4</f>
        <v>0.5</v>
      </c>
      <c r="EN97" s="9" t="n">
        <f aca="false">(EI97/DR97)</f>
        <v>0</v>
      </c>
      <c r="EO97" s="9" t="n">
        <f aca="false">(EJ97/DS97)</f>
        <v>0</v>
      </c>
      <c r="EP97" s="9" t="n">
        <f aca="false">(EK97/DT97)</f>
        <v>0.2</v>
      </c>
      <c r="EQ97" s="9" t="n">
        <f aca="false">(EL97/DU97)</f>
        <v>0</v>
      </c>
      <c r="ER97" s="9" t="n">
        <f aca="false">EM97/DV97</f>
        <v>0.0465116279069767</v>
      </c>
      <c r="ES97" s="9" t="n">
        <f aca="false">(100*ER97)</f>
        <v>4.65116279069768</v>
      </c>
      <c r="ET97" s="9" t="n">
        <v>1</v>
      </c>
      <c r="EU97" s="18" t="n">
        <v>2</v>
      </c>
      <c r="EV97" s="9" t="n">
        <v>0</v>
      </c>
      <c r="EW97" s="9" t="n">
        <v>0</v>
      </c>
      <c r="EX97" s="9" t="n">
        <v>0</v>
      </c>
      <c r="EY97" s="11" t="n">
        <f aca="false">(EU97+EV97+EW97+EX97)/4</f>
        <v>0.5</v>
      </c>
      <c r="EZ97" s="11" t="n">
        <f aca="false">(EU97/DR97)</f>
        <v>0.222222222222222</v>
      </c>
      <c r="FA97" s="11" t="n">
        <f aca="false">(EV97/DS97)</f>
        <v>0</v>
      </c>
      <c r="FB97" s="11" t="n">
        <f aca="false">(EW97/DT97)</f>
        <v>0</v>
      </c>
      <c r="FC97" s="11" t="n">
        <f aca="false">(EX97/DU97)</f>
        <v>0</v>
      </c>
      <c r="FD97" s="11" t="n">
        <f aca="false">(EY97/DV97)</f>
        <v>0.0465116279069767</v>
      </c>
      <c r="FE97" s="11" t="n">
        <f aca="false">(100*FD97)</f>
        <v>4.65116279069768</v>
      </c>
      <c r="FF97" s="9" t="n">
        <v>1</v>
      </c>
      <c r="FG97" s="9" t="n">
        <v>35</v>
      </c>
      <c r="FH97" s="9" t="n">
        <v>8</v>
      </c>
      <c r="FI97" s="9" t="n">
        <v>50</v>
      </c>
      <c r="FJ97" s="9" t="n">
        <v>35</v>
      </c>
      <c r="FK97" s="11" t="n">
        <f aca="false">(FG97+FH97+FI97+FJ97)/4</f>
        <v>32</v>
      </c>
      <c r="FL97" s="11" t="n">
        <f aca="false">(FG97/DR97)</f>
        <v>3.88888888888889</v>
      </c>
      <c r="FM97" s="11" t="n">
        <f aca="false">(FH97/DS97)</f>
        <v>0.615384615384615</v>
      </c>
      <c r="FN97" s="11" t="n">
        <f aca="false">(FI97/DT97)</f>
        <v>5</v>
      </c>
      <c r="FO97" s="11" t="n">
        <f aca="false">(FJ97/DU97)</f>
        <v>3.18181818181818</v>
      </c>
      <c r="FP97" s="11" t="n">
        <f aca="false">(FK97/DV97)</f>
        <v>2.97674418604651</v>
      </c>
      <c r="FQ97" s="11" t="n">
        <f aca="false">(100*FP97)</f>
        <v>297.674418604651</v>
      </c>
      <c r="FR97" s="9" t="n">
        <v>3</v>
      </c>
      <c r="FS97" s="9" t="n">
        <v>65.8</v>
      </c>
      <c r="FT97" s="9" t="n">
        <v>54.1</v>
      </c>
      <c r="FU97" s="9" t="n">
        <v>54.1</v>
      </c>
      <c r="FV97" s="9" t="n">
        <v>62.3</v>
      </c>
      <c r="FW97" s="11" t="n">
        <f aca="false">(FS97+FT97+FU97+FV97)/4</f>
        <v>59.075</v>
      </c>
      <c r="FX97" s="9" t="n">
        <v>0</v>
      </c>
      <c r="FY97" s="9" t="n">
        <v>0</v>
      </c>
      <c r="FZ97" s="9" t="n">
        <v>0</v>
      </c>
      <c r="GA97" s="9" t="n">
        <v>0</v>
      </c>
      <c r="GB97" s="11" t="n">
        <f aca="false">(FX97+FY97+FZ97+GA97)/4</f>
        <v>0</v>
      </c>
      <c r="GC97" s="9" t="n">
        <v>0</v>
      </c>
      <c r="GD97" s="9" t="n">
        <v>0</v>
      </c>
      <c r="GE97" s="9" t="n">
        <v>0</v>
      </c>
      <c r="GF97" s="9" t="n">
        <v>0</v>
      </c>
      <c r="GG97" s="11" t="n">
        <f aca="false">(GC97+GD97+GE97+GF97)/4</f>
        <v>0</v>
      </c>
      <c r="GH97" s="9" t="n">
        <v>1</v>
      </c>
      <c r="GI97" s="9" t="n">
        <v>1</v>
      </c>
      <c r="GJ97" s="9" t="n">
        <v>1</v>
      </c>
      <c r="GK97" s="9" t="n">
        <v>1</v>
      </c>
      <c r="GL97" s="11" t="n">
        <f aca="false">(GH97+GI97+GJ97+GK97)/4</f>
        <v>1</v>
      </c>
      <c r="GM97" s="9" t="n">
        <v>145</v>
      </c>
      <c r="GN97" s="9" t="n">
        <v>135</v>
      </c>
      <c r="GO97" s="9" t="n">
        <v>77</v>
      </c>
      <c r="GP97" s="9" t="n">
        <v>72</v>
      </c>
      <c r="GQ97" s="11" t="n">
        <f aca="false">(GM97+GN97+GO97+GP97)/4</f>
        <v>107.25</v>
      </c>
      <c r="GR97" s="9" t="n">
        <v>14</v>
      </c>
      <c r="GS97" s="9" t="n">
        <v>17</v>
      </c>
      <c r="GT97" s="9" t="n">
        <v>14</v>
      </c>
      <c r="GU97" s="9" t="n">
        <v>20</v>
      </c>
      <c r="GV97" s="11" t="n">
        <f aca="false">(GR97+GS97+GT97+GU97)/4</f>
        <v>16.25</v>
      </c>
      <c r="GW97" s="9" t="n">
        <v>0</v>
      </c>
      <c r="GX97" s="9" t="n">
        <v>0</v>
      </c>
      <c r="GY97" s="9" t="n">
        <v>0</v>
      </c>
      <c r="GZ97" s="9" t="n">
        <v>0</v>
      </c>
      <c r="HA97" s="11" t="n">
        <f aca="false">(GW97+GX97+GY97+GZ97)/4</f>
        <v>0</v>
      </c>
      <c r="HB97" s="9" t="n">
        <f aca="false">(GW97/GR97)</f>
        <v>0</v>
      </c>
      <c r="HC97" s="9" t="n">
        <f aca="false">(GX97/GS97)</f>
        <v>0</v>
      </c>
      <c r="HD97" s="9" t="n">
        <f aca="false">(GY97/GT97)</f>
        <v>0</v>
      </c>
      <c r="HE97" s="9" t="n">
        <f aca="false">(GZ97/GU97)/4</f>
        <v>0</v>
      </c>
      <c r="HF97" s="9" t="n">
        <f aca="false">(HB97+HC97+HD97+HE97)/4</f>
        <v>0</v>
      </c>
      <c r="HG97" s="9" t="n">
        <f aca="false">(100*HF97)</f>
        <v>0</v>
      </c>
      <c r="HH97" s="18" t="n">
        <v>0</v>
      </c>
      <c r="HI97" s="9" t="n">
        <v>0</v>
      </c>
      <c r="HJ97" s="9" t="n">
        <v>0</v>
      </c>
      <c r="HK97" s="9" t="n">
        <v>0</v>
      </c>
      <c r="HL97" s="19" t="n">
        <v>0</v>
      </c>
      <c r="HM97" s="9" t="n">
        <f aca="false">(HI97+HJ97+HK97+HL97)/4</f>
        <v>0</v>
      </c>
      <c r="HN97" s="9" t="n">
        <f aca="false">(HI97/GR97)</f>
        <v>0</v>
      </c>
      <c r="HO97" s="9" t="n">
        <f aca="false">(HJ97/GS97)</f>
        <v>0</v>
      </c>
      <c r="HP97" s="9" t="n">
        <f aca="false">(HK97/GT97)</f>
        <v>0</v>
      </c>
      <c r="HQ97" s="9" t="n">
        <f aca="false">(HL97/GU97)</f>
        <v>0</v>
      </c>
      <c r="HR97" s="9" t="n">
        <f aca="false">(HM97/GV97)</f>
        <v>0</v>
      </c>
      <c r="HS97" s="9" t="n">
        <f aca="false">(100*HR97)</f>
        <v>0</v>
      </c>
      <c r="HT97" s="18" t="n">
        <v>0</v>
      </c>
      <c r="HU97" s="9" t="n">
        <v>0</v>
      </c>
      <c r="HV97" s="9" t="n">
        <v>0</v>
      </c>
      <c r="HW97" s="9" t="n">
        <v>0</v>
      </c>
      <c r="HX97" s="19" t="n">
        <v>0</v>
      </c>
      <c r="HY97" s="9" t="n">
        <f aca="false">(HU97+HV97+HW97+HX97)/4</f>
        <v>0</v>
      </c>
      <c r="HZ97" s="9" t="n">
        <f aca="false">(HU97/GR97)</f>
        <v>0</v>
      </c>
      <c r="IA97" s="9" t="n">
        <f aca="false">HV97/GS97</f>
        <v>0</v>
      </c>
      <c r="IB97" s="9" t="n">
        <f aca="false">(HW97/GT97)</f>
        <v>0</v>
      </c>
      <c r="IC97" s="9" t="n">
        <f aca="false">(HX97/GU97)</f>
        <v>0</v>
      </c>
      <c r="ID97" s="9" t="n">
        <f aca="false">(HY97/GV97)</f>
        <v>0</v>
      </c>
      <c r="IE97" s="9" t="n">
        <f aca="false">(100*ID97)</f>
        <v>0</v>
      </c>
      <c r="IF97" s="18" t="n">
        <v>0</v>
      </c>
      <c r="IG97" s="9" t="n">
        <v>5</v>
      </c>
      <c r="IH97" s="9" t="n">
        <v>11</v>
      </c>
      <c r="II97" s="19" t="n">
        <v>4</v>
      </c>
      <c r="IJ97" s="9" t="n">
        <v>5</v>
      </c>
      <c r="IK97" s="9" t="n">
        <f aca="false">(IG97+IH97+II97+IJ97)/4</f>
        <v>6.25</v>
      </c>
      <c r="IL97" s="9" t="n">
        <f aca="false">(IG97/GM97)</f>
        <v>0.0344827586206897</v>
      </c>
      <c r="IM97" s="9" t="n">
        <f aca="false">(IH97/GN97)</f>
        <v>0.0814814814814815</v>
      </c>
      <c r="IN97" s="9" t="n">
        <f aca="false">(II97/GO97)</f>
        <v>0.051948051948052</v>
      </c>
      <c r="IO97" s="9" t="n">
        <f aca="false">(IJ97/GP97)</f>
        <v>0.0694444444444445</v>
      </c>
      <c r="IP97" s="9" t="n">
        <f aca="false">(IK97/GQ97)</f>
        <v>0.0582750582750583</v>
      </c>
      <c r="IQ97" s="9" t="n">
        <f aca="false">(100*IP97)</f>
        <v>5.82750582750583</v>
      </c>
      <c r="IR97" s="18" t="n">
        <v>1</v>
      </c>
      <c r="IS97" s="9" t="n">
        <v>65.8</v>
      </c>
      <c r="IT97" s="9" t="n">
        <v>60.1</v>
      </c>
      <c r="IU97" s="19" t="n">
        <v>58.6</v>
      </c>
      <c r="IV97" s="9" t="n">
        <v>63.5</v>
      </c>
      <c r="IW97" s="9" t="n">
        <f aca="false">(IS97+IT97+IU97+IV97)/4</f>
        <v>62</v>
      </c>
      <c r="IX97" s="16" t="n">
        <v>45202</v>
      </c>
      <c r="IY97" s="10" t="s">
        <v>268</v>
      </c>
    </row>
    <row r="98" customFormat="false" ht="15.75" hidden="false" customHeight="true" outlineLevel="0" collapsed="false">
      <c r="A98" s="9" t="s">
        <v>370</v>
      </c>
      <c r="B98" s="10" t="s">
        <v>493</v>
      </c>
      <c r="C98" s="10" t="s">
        <v>400</v>
      </c>
      <c r="D98" s="9" t="n">
        <v>2</v>
      </c>
      <c r="E98" s="9" t="n">
        <v>33</v>
      </c>
      <c r="F98" s="10" t="s">
        <v>494</v>
      </c>
      <c r="G98" s="11" t="s">
        <v>263</v>
      </c>
      <c r="H98" s="9" t="n">
        <v>21</v>
      </c>
      <c r="I98" s="9" t="n">
        <v>5</v>
      </c>
      <c r="J98" s="12" t="s">
        <v>264</v>
      </c>
      <c r="K98" s="13" t="s">
        <v>495</v>
      </c>
      <c r="L98" s="13" t="s">
        <v>496</v>
      </c>
      <c r="M98" s="14" t="n">
        <v>1309</v>
      </c>
      <c r="N98" s="15" t="n">
        <v>45133</v>
      </c>
      <c r="O98" s="10" t="s">
        <v>267</v>
      </c>
      <c r="P98" s="9"/>
      <c r="Q98" s="9" t="n">
        <v>20.5</v>
      </c>
      <c r="R98" s="9"/>
      <c r="S98" s="9"/>
      <c r="T98" s="9"/>
      <c r="U98" s="9"/>
      <c r="V98" s="9"/>
      <c r="W98" s="9" t="s">
        <v>497</v>
      </c>
      <c r="X98" s="9" t="n">
        <v>0</v>
      </c>
      <c r="Y98" s="9" t="n">
        <v>0</v>
      </c>
      <c r="Z98" s="9" t="n">
        <v>0</v>
      </c>
      <c r="AA98" s="9" t="n">
        <v>0</v>
      </c>
      <c r="AB98" s="11" t="n">
        <f aca="false">(X98+Y98+Z98+AA98)/4</f>
        <v>0</v>
      </c>
      <c r="AC98" s="9" t="n">
        <v>1</v>
      </c>
      <c r="AD98" s="9" t="n">
        <v>1</v>
      </c>
      <c r="AE98" s="9" t="n">
        <v>0</v>
      </c>
      <c r="AF98" s="9" t="n">
        <v>1</v>
      </c>
      <c r="AG98" s="11" t="n">
        <f aca="false">(AC98+AD98+AE98+AF98)/4</f>
        <v>0.75</v>
      </c>
      <c r="AH98" s="9" t="n">
        <v>1</v>
      </c>
      <c r="AI98" s="9" t="n">
        <v>1</v>
      </c>
      <c r="AJ98" s="9" t="n">
        <v>1</v>
      </c>
      <c r="AK98" s="9" t="n">
        <v>1</v>
      </c>
      <c r="AL98" s="11" t="n">
        <f aca="false">(AH98+AI98+AJ98+AK98)/4</f>
        <v>1</v>
      </c>
      <c r="AM98" s="9" t="n">
        <v>32</v>
      </c>
      <c r="AN98" s="9" t="n">
        <v>36</v>
      </c>
      <c r="AO98" s="9" t="n">
        <v>28</v>
      </c>
      <c r="AP98" s="9" t="n">
        <v>49</v>
      </c>
      <c r="AQ98" s="11" t="n">
        <f aca="false">(AM98+AN98+AO98+AP98)/4</f>
        <v>36.25</v>
      </c>
      <c r="AR98" s="9" t="n">
        <v>9</v>
      </c>
      <c r="AS98" s="9" t="n">
        <v>4</v>
      </c>
      <c r="AT98" s="9" t="n">
        <v>11</v>
      </c>
      <c r="AU98" s="9" t="n">
        <v>17</v>
      </c>
      <c r="AV98" s="11" t="n">
        <f aca="false">(AR98+AS98+AT98+AU98)/4</f>
        <v>10.25</v>
      </c>
      <c r="AW98" s="9" t="n">
        <v>0</v>
      </c>
      <c r="AX98" s="9" t="n">
        <v>0</v>
      </c>
      <c r="AY98" s="9" t="n">
        <v>0</v>
      </c>
      <c r="AZ98" s="9" t="n">
        <v>0</v>
      </c>
      <c r="BA98" s="11" t="n">
        <f aca="false">(AW98+AX98+AY98+AZ98)/4</f>
        <v>0</v>
      </c>
      <c r="BB98" s="11" t="n">
        <f aca="false">(AW98/AR98)</f>
        <v>0</v>
      </c>
      <c r="BC98" s="11" t="n">
        <f aca="false">(AX98/AS98)</f>
        <v>0</v>
      </c>
      <c r="BD98" s="11" t="n">
        <f aca="false">(AY98/AT98)</f>
        <v>0</v>
      </c>
      <c r="BE98" s="11" t="n">
        <f aca="false">(AZ98/AU98)</f>
        <v>0</v>
      </c>
      <c r="BF98" s="11" t="n">
        <f aca="false">(BA98/AV98)</f>
        <v>0</v>
      </c>
      <c r="BG98" s="11" t="n">
        <f aca="false">(BF98*100)</f>
        <v>0</v>
      </c>
      <c r="BH98" s="9" t="n">
        <v>0</v>
      </c>
      <c r="BI98" s="9" t="n">
        <v>2</v>
      </c>
      <c r="BJ98" s="9" t="n">
        <v>2</v>
      </c>
      <c r="BK98" s="9" t="n">
        <v>0</v>
      </c>
      <c r="BL98" s="9" t="n">
        <v>4</v>
      </c>
      <c r="BM98" s="11" t="n">
        <f aca="false">(BI98+BJ98+BK98+BL98)/4</f>
        <v>2</v>
      </c>
      <c r="BN98" s="11" t="n">
        <f aca="false">(BI98/AR98)</f>
        <v>0.222222222222222</v>
      </c>
      <c r="BO98" s="11" t="n">
        <f aca="false">(BJ98/AS98)</f>
        <v>0.5</v>
      </c>
      <c r="BP98" s="11" t="n">
        <f aca="false">(BK98/AT98)</f>
        <v>0</v>
      </c>
      <c r="BQ98" s="11" t="n">
        <f aca="false">(BL98/AU98)</f>
        <v>0.235294117647059</v>
      </c>
      <c r="BR98" s="11" t="n">
        <f aca="false">(BM98/AV98)</f>
        <v>0.195121951219512</v>
      </c>
      <c r="BS98" s="11" t="n">
        <f aca="false">(100*BR98)</f>
        <v>19.5121951219512</v>
      </c>
      <c r="BT98" s="9" t="n">
        <v>2</v>
      </c>
      <c r="BU98" s="9" t="n">
        <v>2</v>
      </c>
      <c r="BV98" s="9" t="n">
        <v>1</v>
      </c>
      <c r="BW98" s="9" t="n">
        <v>1</v>
      </c>
      <c r="BX98" s="9" t="n">
        <v>0</v>
      </c>
      <c r="BY98" s="11" t="n">
        <f aca="false">(BU98+BV98+BW98+BX98)/4</f>
        <v>1</v>
      </c>
      <c r="BZ98" s="11" t="n">
        <f aca="false">(BU98/AR98)</f>
        <v>0.222222222222222</v>
      </c>
      <c r="CA98" s="11" t="n">
        <f aca="false">(BV98/AS98)</f>
        <v>0.25</v>
      </c>
      <c r="CB98" s="11" t="n">
        <f aca="false">(BW98/AT98)</f>
        <v>0.0909090909090909</v>
      </c>
      <c r="CC98" s="11" t="n">
        <f aca="false">(BX98/AU98)</f>
        <v>0</v>
      </c>
      <c r="CD98" s="11" t="n">
        <f aca="false">(BY98/AV98)</f>
        <v>0.0975609756097561</v>
      </c>
      <c r="CE98" s="11" t="n">
        <f aca="false">(100*CD98)</f>
        <v>9.75609756097561</v>
      </c>
      <c r="CF98" s="9" t="n">
        <v>2</v>
      </c>
      <c r="CG98" s="9" t="n">
        <v>3</v>
      </c>
      <c r="CH98" s="9" t="n">
        <v>2</v>
      </c>
      <c r="CI98" s="9" t="n">
        <v>3</v>
      </c>
      <c r="CJ98" s="9" t="n">
        <v>2</v>
      </c>
      <c r="CK98" s="11" t="n">
        <f aca="false">(CG98+CH98+CI98+CJ98)/4</f>
        <v>2.5</v>
      </c>
      <c r="CL98" s="11" t="n">
        <f aca="false">(CG98/AM98)</f>
        <v>0.09375</v>
      </c>
      <c r="CM98" s="11" t="n">
        <f aca="false">(CH98/AN98)</f>
        <v>0.0555555555555556</v>
      </c>
      <c r="CN98" s="11" t="n">
        <f aca="false">(CI98/AO98)</f>
        <v>0.107142857142857</v>
      </c>
      <c r="CO98" s="9" t="n">
        <f aca="false">(CJ98/AP98)</f>
        <v>0.0408163265306122</v>
      </c>
      <c r="CP98" s="9" t="n">
        <f aca="false">(CK98/AQ98)</f>
        <v>0.0689655172413793</v>
      </c>
      <c r="CQ98" s="9" t="n">
        <f aca="false">(100*CP98)</f>
        <v>6.89655172413793</v>
      </c>
      <c r="CR98" s="18" t="n">
        <v>1</v>
      </c>
      <c r="CS98" s="9" t="n">
        <v>54.2</v>
      </c>
      <c r="CT98" s="9" t="n">
        <v>49</v>
      </c>
      <c r="CU98" s="9" t="n">
        <v>64</v>
      </c>
      <c r="CV98" s="9" t="n">
        <v>61</v>
      </c>
      <c r="CW98" s="11" t="n">
        <f aca="false">(CS98+CT98+CU98+CV98)/4</f>
        <v>57.05</v>
      </c>
      <c r="CX98" s="9" t="n">
        <v>0</v>
      </c>
      <c r="CY98" s="9" t="n">
        <v>0</v>
      </c>
      <c r="CZ98" s="9" t="n">
        <v>0</v>
      </c>
      <c r="DA98" s="9" t="n">
        <v>0</v>
      </c>
      <c r="DB98" s="11" t="n">
        <f aca="false">(CX98+CY98+CZ98+DA98)/4</f>
        <v>0</v>
      </c>
      <c r="DC98" s="9" t="n">
        <v>1</v>
      </c>
      <c r="DD98" s="9" t="n">
        <v>1</v>
      </c>
      <c r="DE98" s="9" t="n">
        <v>1</v>
      </c>
      <c r="DF98" s="9" t="n">
        <v>1</v>
      </c>
      <c r="DG98" s="11" t="n">
        <f aca="false">(DC98+DD98+DE98+DF98)/4</f>
        <v>1</v>
      </c>
      <c r="DH98" s="9" t="n">
        <v>1</v>
      </c>
      <c r="DI98" s="9" t="n">
        <v>1</v>
      </c>
      <c r="DJ98" s="9" t="n">
        <v>1</v>
      </c>
      <c r="DK98" s="9" t="n">
        <v>1</v>
      </c>
      <c r="DL98" s="11" t="n">
        <f aca="false">(DH98+DI98+DJ98+DK98)/4</f>
        <v>1</v>
      </c>
      <c r="DM98" s="9" t="n">
        <v>42</v>
      </c>
      <c r="DN98" s="9" t="n">
        <v>33</v>
      </c>
      <c r="DO98" s="9" t="n">
        <v>13</v>
      </c>
      <c r="DP98" s="9" t="n">
        <v>15</v>
      </c>
      <c r="DQ98" s="11" t="n">
        <f aca="false">(DM98+DN98+DO98+DP98)/4</f>
        <v>25.75</v>
      </c>
      <c r="DR98" s="9" t="n">
        <v>26</v>
      </c>
      <c r="DS98" s="9" t="n">
        <v>15</v>
      </c>
      <c r="DT98" s="9" t="n">
        <v>16</v>
      </c>
      <c r="DU98" s="9" t="n">
        <v>17</v>
      </c>
      <c r="DV98" s="11" t="n">
        <f aca="false">(DR98+DS98+DT98+DU98)/4</f>
        <v>18.5</v>
      </c>
      <c r="DW98" s="9" t="n">
        <v>0</v>
      </c>
      <c r="DX98" s="9" t="n">
        <v>0</v>
      </c>
      <c r="DY98" s="9" t="n">
        <v>0</v>
      </c>
      <c r="DZ98" s="9" t="n">
        <v>0</v>
      </c>
      <c r="EA98" s="11" t="n">
        <f aca="false">(DW98+DX98+DY98+DZ98)/4</f>
        <v>0</v>
      </c>
      <c r="EB98" s="11" t="n">
        <f aca="false">(DW98/DR98)</f>
        <v>0</v>
      </c>
      <c r="EC98" s="11" t="n">
        <f aca="false">(DX98/DS98)</f>
        <v>0</v>
      </c>
      <c r="ED98" s="11" t="n">
        <f aca="false">(DY98/DT98)</f>
        <v>0</v>
      </c>
      <c r="EE98" s="11" t="n">
        <f aca="false">(DZ98/DU98)</f>
        <v>0</v>
      </c>
      <c r="EF98" s="11" t="n">
        <f aca="false">(EA98/DV98)</f>
        <v>0</v>
      </c>
      <c r="EG98" s="11" t="n">
        <f aca="false">(100*EF98)</f>
        <v>0</v>
      </c>
      <c r="EH98" s="9" t="n">
        <v>0</v>
      </c>
      <c r="EI98" s="9" t="n">
        <v>1</v>
      </c>
      <c r="EJ98" s="9" t="n">
        <v>3</v>
      </c>
      <c r="EK98" s="19" t="n">
        <v>2</v>
      </c>
      <c r="EL98" s="9" t="n">
        <v>1</v>
      </c>
      <c r="EM98" s="9" t="n">
        <f aca="false">(EI98+EJ98+EK98+EL98)/4</f>
        <v>1.75</v>
      </c>
      <c r="EN98" s="9" t="n">
        <f aca="false">(EI98/DR98)</f>
        <v>0.0384615384615385</v>
      </c>
      <c r="EO98" s="9" t="n">
        <f aca="false">(EJ98/DS98)</f>
        <v>0.2</v>
      </c>
      <c r="EP98" s="9" t="n">
        <f aca="false">(EK98/DT98)</f>
        <v>0.125</v>
      </c>
      <c r="EQ98" s="9" t="n">
        <f aca="false">(EL98/DU98)</f>
        <v>0.0588235294117647</v>
      </c>
      <c r="ER98" s="9" t="n">
        <f aca="false">EM98/DV98</f>
        <v>0.0945945945945946</v>
      </c>
      <c r="ES98" s="9" t="n">
        <f aca="false">(100*ER98)</f>
        <v>9.45945945945946</v>
      </c>
      <c r="ET98" s="9" t="n">
        <v>1</v>
      </c>
      <c r="EU98" s="18" t="n">
        <v>5</v>
      </c>
      <c r="EV98" s="9" t="n">
        <v>0</v>
      </c>
      <c r="EW98" s="9" t="n">
        <v>1</v>
      </c>
      <c r="EX98" s="9" t="n">
        <v>0</v>
      </c>
      <c r="EY98" s="11" t="n">
        <f aca="false">(EU98+EV98+EW98+EX98)/4</f>
        <v>1.5</v>
      </c>
      <c r="EZ98" s="11" t="n">
        <f aca="false">(EU98/DR98)</f>
        <v>0.192307692307692</v>
      </c>
      <c r="FA98" s="11" t="n">
        <f aca="false">(EV98/DS98)</f>
        <v>0</v>
      </c>
      <c r="FB98" s="11" t="n">
        <f aca="false">(EW98/DT98)</f>
        <v>0.0625</v>
      </c>
      <c r="FC98" s="11" t="n">
        <f aca="false">(EX98/DU98)</f>
        <v>0</v>
      </c>
      <c r="FD98" s="11" t="n">
        <f aca="false">(EY98/DV98)</f>
        <v>0.0810810810810811</v>
      </c>
      <c r="FE98" s="11" t="n">
        <f aca="false">(100*FD98)</f>
        <v>8.10810810810811</v>
      </c>
      <c r="FF98" s="9" t="n">
        <v>1</v>
      </c>
      <c r="FG98" s="9" t="n">
        <v>5</v>
      </c>
      <c r="FH98" s="9" t="n">
        <v>2</v>
      </c>
      <c r="FI98" s="9" t="n">
        <v>2</v>
      </c>
      <c r="FJ98" s="9" t="n">
        <v>0</v>
      </c>
      <c r="FK98" s="11" t="n">
        <f aca="false">(FG98+FH98+FI98+FJ98)/4</f>
        <v>2.25</v>
      </c>
      <c r="FL98" s="11" t="n">
        <f aca="false">(FG98/DR98)</f>
        <v>0.192307692307692</v>
      </c>
      <c r="FM98" s="11" t="n">
        <f aca="false">(FH98/DS98)</f>
        <v>0.133333333333333</v>
      </c>
      <c r="FN98" s="11" t="n">
        <f aca="false">(FI98/DT98)</f>
        <v>0.125</v>
      </c>
      <c r="FO98" s="11" t="n">
        <f aca="false">(FJ98/DU98)</f>
        <v>0</v>
      </c>
      <c r="FP98" s="11" t="n">
        <f aca="false">(FK98/DV98)</f>
        <v>0.121621621621622</v>
      </c>
      <c r="FQ98" s="11" t="n">
        <f aca="false">(100*FP98)</f>
        <v>12.1621621621622</v>
      </c>
      <c r="FR98" s="9" t="n">
        <v>2</v>
      </c>
      <c r="FS98" s="9" t="n">
        <v>64</v>
      </c>
      <c r="FT98" s="9" t="n">
        <v>69.3</v>
      </c>
      <c r="FU98" s="9" t="n">
        <v>58.8</v>
      </c>
      <c r="FV98" s="9" t="n">
        <v>54</v>
      </c>
      <c r="FW98" s="11" t="n">
        <f aca="false">(FS98+FT98+FU98+FV98)/4</f>
        <v>61.525</v>
      </c>
      <c r="FX98" s="9" t="n">
        <v>0</v>
      </c>
      <c r="FY98" s="9" t="n">
        <v>1</v>
      </c>
      <c r="FZ98" s="9" t="n">
        <v>0</v>
      </c>
      <c r="GA98" s="9" t="n">
        <v>0</v>
      </c>
      <c r="GB98" s="11" t="n">
        <f aca="false">(FX98+FY98+FZ98+GA98)/4</f>
        <v>0.25</v>
      </c>
      <c r="GC98" s="9" t="n">
        <v>1</v>
      </c>
      <c r="GD98" s="9" t="n">
        <v>1</v>
      </c>
      <c r="GE98" s="9" t="n">
        <v>1</v>
      </c>
      <c r="GF98" s="9" t="n">
        <v>1</v>
      </c>
      <c r="GG98" s="11" t="n">
        <f aca="false">(GC98+GD98+GE98+GF98)/4</f>
        <v>1</v>
      </c>
      <c r="GH98" s="9" t="n">
        <v>1</v>
      </c>
      <c r="GI98" s="9" t="n">
        <v>1</v>
      </c>
      <c r="GJ98" s="9" t="n">
        <v>1</v>
      </c>
      <c r="GK98" s="9" t="n">
        <v>1</v>
      </c>
      <c r="GL98" s="11" t="n">
        <f aca="false">(GH98+GI98+GJ98+GK98)/4</f>
        <v>1</v>
      </c>
      <c r="GM98" s="9" t="n">
        <v>20</v>
      </c>
      <c r="GN98" s="9" t="n">
        <v>28</v>
      </c>
      <c r="GO98" s="9" t="n">
        <v>21</v>
      </c>
      <c r="GP98" s="9" t="n">
        <v>35</v>
      </c>
      <c r="GQ98" s="11" t="n">
        <f aca="false">(GM98+GN98+GO98+GP98)/4</f>
        <v>26</v>
      </c>
      <c r="GR98" s="9" t="n">
        <v>16</v>
      </c>
      <c r="GS98" s="9" t="n">
        <v>15</v>
      </c>
      <c r="GT98" s="9" t="n">
        <v>16</v>
      </c>
      <c r="GU98" s="9" t="n">
        <v>16</v>
      </c>
      <c r="GV98" s="11" t="n">
        <f aca="false">(GR98+GS98+GT98+GU98)/4</f>
        <v>15.75</v>
      </c>
      <c r="GW98" s="9" t="n">
        <v>0</v>
      </c>
      <c r="GX98" s="9" t="n">
        <v>5</v>
      </c>
      <c r="GY98" s="9" t="n">
        <v>0</v>
      </c>
      <c r="GZ98" s="9" t="n">
        <v>0</v>
      </c>
      <c r="HA98" s="11" t="n">
        <f aca="false">(GW98+GX98+GY98+GZ98)/4</f>
        <v>1.25</v>
      </c>
      <c r="HB98" s="9" t="n">
        <f aca="false">(GW98/GR98)</f>
        <v>0</v>
      </c>
      <c r="HC98" s="9" t="n">
        <f aca="false">(GX98/GS98)</f>
        <v>0.333333333333333</v>
      </c>
      <c r="HD98" s="9" t="n">
        <f aca="false">(GY98/GT98)</f>
        <v>0</v>
      </c>
      <c r="HE98" s="9" t="n">
        <f aca="false">(GZ98/GU98)/4</f>
        <v>0</v>
      </c>
      <c r="HF98" s="9" t="n">
        <f aca="false">(HB98+HC98+HD98+HE98)/4</f>
        <v>0.0833333333333333</v>
      </c>
      <c r="HG98" s="9" t="n">
        <f aca="false">(100*HF98)</f>
        <v>8.33333333333333</v>
      </c>
      <c r="HH98" s="18" t="n">
        <v>1</v>
      </c>
      <c r="HI98" s="9" t="n">
        <v>2</v>
      </c>
      <c r="HJ98" s="9" t="n">
        <v>3</v>
      </c>
      <c r="HK98" s="9" t="n">
        <v>2</v>
      </c>
      <c r="HL98" s="19" t="n">
        <v>1</v>
      </c>
      <c r="HM98" s="9" t="n">
        <f aca="false">(HI98+HJ98+HK98+HL98)/4</f>
        <v>2</v>
      </c>
      <c r="HN98" s="9" t="n">
        <f aca="false">(HI98/GR98)</f>
        <v>0.125</v>
      </c>
      <c r="HO98" s="9" t="n">
        <f aca="false">(HJ98/GS98)</f>
        <v>0.2</v>
      </c>
      <c r="HP98" s="9" t="n">
        <f aca="false">(HK98/GT98)</f>
        <v>0.125</v>
      </c>
      <c r="HQ98" s="9" t="n">
        <f aca="false">(HL98/GU98)</f>
        <v>0.0625</v>
      </c>
      <c r="HR98" s="9" t="n">
        <f aca="false">(HM98/GV98)</f>
        <v>0.126984126984127</v>
      </c>
      <c r="HS98" s="9" t="n">
        <f aca="false">(100*HR98)</f>
        <v>12.6984126984127</v>
      </c>
      <c r="HT98" s="18" t="n">
        <v>2</v>
      </c>
      <c r="HU98" s="9" t="n">
        <v>1</v>
      </c>
      <c r="HV98" s="9" t="n">
        <v>1</v>
      </c>
      <c r="HW98" s="9" t="n">
        <v>3</v>
      </c>
      <c r="HX98" s="19" t="n">
        <v>1</v>
      </c>
      <c r="HY98" s="9" t="n">
        <f aca="false">(HU98+HV98+HW98+HX98)/4</f>
        <v>1.5</v>
      </c>
      <c r="HZ98" s="9" t="n">
        <f aca="false">(HU98/GR98)</f>
        <v>0.0625</v>
      </c>
      <c r="IA98" s="9" t="n">
        <f aca="false">HV98/GS98</f>
        <v>0.0666666666666667</v>
      </c>
      <c r="IB98" s="9" t="n">
        <f aca="false">(HW98/GT98)</f>
        <v>0.1875</v>
      </c>
      <c r="IC98" s="9" t="n">
        <f aca="false">(HX98/GU98)</f>
        <v>0.0625</v>
      </c>
      <c r="ID98" s="9" t="n">
        <f aca="false">(HY98/GV98)</f>
        <v>0.0952380952380952</v>
      </c>
      <c r="IE98" s="9" t="n">
        <f aca="false">(100*ID98)</f>
        <v>9.52380952380952</v>
      </c>
      <c r="IF98" s="18" t="n">
        <v>1</v>
      </c>
      <c r="IG98" s="9" t="n">
        <v>0</v>
      </c>
      <c r="IH98" s="9" t="n">
        <v>0</v>
      </c>
      <c r="II98" s="19" t="n">
        <v>2</v>
      </c>
      <c r="IJ98" s="9" t="n">
        <v>1</v>
      </c>
      <c r="IK98" s="9" t="n">
        <f aca="false">(IG98+IH98+II98+IJ98)/4</f>
        <v>0.75</v>
      </c>
      <c r="IL98" s="9" t="n">
        <f aca="false">(IG98/GM98)</f>
        <v>0</v>
      </c>
      <c r="IM98" s="9" t="n">
        <f aca="false">(IH98/GN98)</f>
        <v>0</v>
      </c>
      <c r="IN98" s="9" t="n">
        <f aca="false">(II98/GO98)</f>
        <v>0.0952380952380952</v>
      </c>
      <c r="IO98" s="9" t="n">
        <f aca="false">(IJ98/GP98)</f>
        <v>0.0285714285714286</v>
      </c>
      <c r="IP98" s="9" t="n">
        <f aca="false">(IK98/GQ98)</f>
        <v>0.0288461538461538</v>
      </c>
      <c r="IQ98" s="9" t="n">
        <f aca="false">(100*IP98)</f>
        <v>2.88461538461538</v>
      </c>
      <c r="IR98" s="18" t="n">
        <v>1</v>
      </c>
      <c r="IS98" s="9" t="n">
        <v>58.5</v>
      </c>
      <c r="IT98" s="9" t="n">
        <v>84.3</v>
      </c>
      <c r="IU98" s="19" t="n">
        <v>49.6</v>
      </c>
      <c r="IV98" s="9" t="n">
        <v>77.1</v>
      </c>
      <c r="IW98" s="9" t="n">
        <f aca="false">(IS98+IT98+IU98+IV98)/4</f>
        <v>67.375</v>
      </c>
      <c r="IX98" s="16" t="n">
        <v>45242</v>
      </c>
      <c r="IY98" s="10" t="s">
        <v>268</v>
      </c>
    </row>
    <row r="99" customFormat="false" ht="15.75" hidden="false" customHeight="true" outlineLevel="0" collapsed="false">
      <c r="A99" s="9" t="s">
        <v>370</v>
      </c>
      <c r="B99" s="10" t="s">
        <v>493</v>
      </c>
      <c r="C99" s="10" t="s">
        <v>400</v>
      </c>
      <c r="D99" s="9" t="n">
        <v>2</v>
      </c>
      <c r="E99" s="9" t="n">
        <v>33</v>
      </c>
      <c r="F99" s="10" t="s">
        <v>498</v>
      </c>
      <c r="G99" s="11" t="s">
        <v>263</v>
      </c>
      <c r="H99" s="9" t="n">
        <v>21</v>
      </c>
      <c r="I99" s="9" t="n">
        <v>10</v>
      </c>
      <c r="J99" s="12" t="s">
        <v>270</v>
      </c>
      <c r="K99" s="20"/>
      <c r="L99" s="20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 t="n">
        <v>0</v>
      </c>
      <c r="Y99" s="9" t="n">
        <v>0</v>
      </c>
      <c r="Z99" s="9" t="n">
        <v>0</v>
      </c>
      <c r="AA99" s="9" t="n">
        <v>0</v>
      </c>
      <c r="AB99" s="11" t="n">
        <f aca="false">(X99+Y99+Z99+AA99)/4</f>
        <v>0</v>
      </c>
      <c r="AC99" s="9" t="n">
        <v>1</v>
      </c>
      <c r="AD99" s="9" t="n">
        <v>1</v>
      </c>
      <c r="AE99" s="9" t="n">
        <v>1</v>
      </c>
      <c r="AF99" s="9" t="n">
        <v>1</v>
      </c>
      <c r="AG99" s="11" t="n">
        <f aca="false">(AC99+AD99+AE99+AF99)/4</f>
        <v>1</v>
      </c>
      <c r="AH99" s="9" t="n">
        <v>1</v>
      </c>
      <c r="AI99" s="9" t="n">
        <v>1</v>
      </c>
      <c r="AJ99" s="9" t="n">
        <v>1</v>
      </c>
      <c r="AK99" s="9" t="n">
        <v>0</v>
      </c>
      <c r="AL99" s="11" t="n">
        <f aca="false">(AH99+AI99+AJ99+AK99)/4</f>
        <v>0.75</v>
      </c>
      <c r="AM99" s="9" t="n">
        <v>19</v>
      </c>
      <c r="AN99" s="9" t="n">
        <v>3</v>
      </c>
      <c r="AO99" s="9" t="n">
        <v>16</v>
      </c>
      <c r="AP99" s="9" t="n">
        <v>4</v>
      </c>
      <c r="AQ99" s="11" t="n">
        <f aca="false">(AM99+AN99+AO99+AP99)/4</f>
        <v>10.5</v>
      </c>
      <c r="AR99" s="9" t="n">
        <v>13</v>
      </c>
      <c r="AS99" s="9" t="n">
        <v>10</v>
      </c>
      <c r="AT99" s="9" t="n">
        <v>9</v>
      </c>
      <c r="AU99" s="9" t="n">
        <v>3</v>
      </c>
      <c r="AV99" s="11" t="n">
        <f aca="false">(AR99+AS99+AT99+AU99)/4</f>
        <v>8.75</v>
      </c>
      <c r="AW99" s="9" t="n">
        <v>0</v>
      </c>
      <c r="AX99" s="9" t="n">
        <v>0</v>
      </c>
      <c r="AY99" s="9" t="n">
        <v>0</v>
      </c>
      <c r="AZ99" s="9" t="n">
        <v>0</v>
      </c>
      <c r="BA99" s="11" t="n">
        <f aca="false">(AW99+AX99+AY99+AZ99)/4</f>
        <v>0</v>
      </c>
      <c r="BB99" s="11" t="n">
        <f aca="false">(AW99/AR99)</f>
        <v>0</v>
      </c>
      <c r="BC99" s="11" t="n">
        <f aca="false">(AX99/AS99)</f>
        <v>0</v>
      </c>
      <c r="BD99" s="11" t="n">
        <f aca="false">(AY99/AT99)</f>
        <v>0</v>
      </c>
      <c r="BE99" s="11" t="n">
        <f aca="false">(AZ99/AU99)</f>
        <v>0</v>
      </c>
      <c r="BF99" s="11" t="n">
        <f aca="false">(BA99/AV99)</f>
        <v>0</v>
      </c>
      <c r="BG99" s="11" t="n">
        <f aca="false">(BF99*100)</f>
        <v>0</v>
      </c>
      <c r="BH99" s="9" t="n">
        <v>0</v>
      </c>
      <c r="BI99" s="9" t="n">
        <v>2</v>
      </c>
      <c r="BJ99" s="9" t="n">
        <v>1</v>
      </c>
      <c r="BK99" s="9" t="n">
        <v>2</v>
      </c>
      <c r="BL99" s="9" t="n">
        <v>2</v>
      </c>
      <c r="BM99" s="11" t="n">
        <f aca="false">(BI99+BJ99+BK99+BL99)/4</f>
        <v>1.75</v>
      </c>
      <c r="BN99" s="11" t="n">
        <f aca="false">(BI99/AR99)</f>
        <v>0.153846153846154</v>
      </c>
      <c r="BO99" s="11" t="n">
        <f aca="false">(BJ99/AS99)</f>
        <v>0.1</v>
      </c>
      <c r="BP99" s="11" t="n">
        <f aca="false">(BK99/AT99)</f>
        <v>0.222222222222222</v>
      </c>
      <c r="BQ99" s="11" t="n">
        <f aca="false">(BL99/AU99)</f>
        <v>0.666666666666667</v>
      </c>
      <c r="BR99" s="11" t="n">
        <f aca="false">(BM99/AV99)</f>
        <v>0.2</v>
      </c>
      <c r="BS99" s="11" t="n">
        <f aca="false">(100*BR99)</f>
        <v>20</v>
      </c>
      <c r="BT99" s="9" t="n">
        <v>2</v>
      </c>
      <c r="BU99" s="9" t="n">
        <v>0</v>
      </c>
      <c r="BV99" s="9" t="n">
        <v>1</v>
      </c>
      <c r="BW99" s="9" t="n">
        <v>1</v>
      </c>
      <c r="BX99" s="9" t="n">
        <v>0</v>
      </c>
      <c r="BY99" s="11" t="n">
        <f aca="false">(BU99+BV99+BW99+BX99)/4</f>
        <v>0.5</v>
      </c>
      <c r="BZ99" s="11" t="n">
        <f aca="false">(BU99/AR99)</f>
        <v>0</v>
      </c>
      <c r="CA99" s="11" t="n">
        <f aca="false">(BV99/AS99)</f>
        <v>0.1</v>
      </c>
      <c r="CB99" s="11" t="n">
        <f aca="false">(BW99/AT99)</f>
        <v>0.111111111111111</v>
      </c>
      <c r="CC99" s="11" t="n">
        <f aca="false">(BX99/AU99)</f>
        <v>0</v>
      </c>
      <c r="CD99" s="11" t="n">
        <f aca="false">(BY99/AV99)</f>
        <v>0.0571428571428571</v>
      </c>
      <c r="CE99" s="11" t="n">
        <f aca="false">(100*CD99)</f>
        <v>5.71428571428571</v>
      </c>
      <c r="CF99" s="9" t="n">
        <v>1</v>
      </c>
      <c r="CG99" s="9" t="n">
        <v>5</v>
      </c>
      <c r="CH99" s="9" t="n">
        <v>2</v>
      </c>
      <c r="CI99" s="9" t="n">
        <v>3</v>
      </c>
      <c r="CJ99" s="9" t="n">
        <v>0</v>
      </c>
      <c r="CK99" s="11" t="n">
        <f aca="false">(CG99+CH99+CI99+CJ99)/4</f>
        <v>2.5</v>
      </c>
      <c r="CL99" s="11" t="n">
        <f aca="false">(CG99/AM99)</f>
        <v>0.263157894736842</v>
      </c>
      <c r="CM99" s="11" t="n">
        <f aca="false">(CH99/AN99)</f>
        <v>0.666666666666667</v>
      </c>
      <c r="CN99" s="11" t="n">
        <f aca="false">(CI99/AO99)</f>
        <v>0.1875</v>
      </c>
      <c r="CO99" s="9" t="n">
        <f aca="false">(CJ99/AP99)</f>
        <v>0</v>
      </c>
      <c r="CP99" s="9" t="n">
        <f aca="false">(CK99/AQ99)</f>
        <v>0.238095238095238</v>
      </c>
      <c r="CQ99" s="9" t="n">
        <f aca="false">(100*CP99)</f>
        <v>23.8095238095238</v>
      </c>
      <c r="CR99" s="18" t="n">
        <v>2</v>
      </c>
      <c r="CS99" s="9" t="n">
        <v>58.4</v>
      </c>
      <c r="CT99" s="9" t="n">
        <v>69.2</v>
      </c>
      <c r="CU99" s="9" t="n">
        <v>69.1</v>
      </c>
      <c r="CV99" s="9" t="n">
        <v>42.9</v>
      </c>
      <c r="CW99" s="11" t="n">
        <f aca="false">(CS99+CT99+CU99+CV99)/4</f>
        <v>59.9</v>
      </c>
      <c r="CX99" s="9" t="n">
        <v>0</v>
      </c>
      <c r="CY99" s="9" t="n">
        <v>0</v>
      </c>
      <c r="CZ99" s="9" t="n">
        <v>0</v>
      </c>
      <c r="DA99" s="9" t="n">
        <v>1</v>
      </c>
      <c r="DB99" s="11" t="n">
        <f aca="false">(CX99+CY99+CZ99+DA99)/4</f>
        <v>0.25</v>
      </c>
      <c r="DC99" s="9" t="n">
        <v>1</v>
      </c>
      <c r="DD99" s="9" t="n">
        <v>1</v>
      </c>
      <c r="DE99" s="9" t="n">
        <v>0</v>
      </c>
      <c r="DF99" s="9" t="n">
        <v>1</v>
      </c>
      <c r="DG99" s="11" t="n">
        <f aca="false">(DC99+DD99+DE99+DF99)/4</f>
        <v>0.75</v>
      </c>
      <c r="DH99" s="9" t="n">
        <v>1</v>
      </c>
      <c r="DI99" s="9" t="n">
        <v>1</v>
      </c>
      <c r="DJ99" s="9" t="n">
        <v>0</v>
      </c>
      <c r="DK99" s="9" t="n">
        <v>1</v>
      </c>
      <c r="DL99" s="11" t="n">
        <f aca="false">(DH99+DI99+DJ99+DK99)/4</f>
        <v>0.75</v>
      </c>
      <c r="DM99" s="9" t="n">
        <v>27</v>
      </c>
      <c r="DN99" s="9" t="n">
        <v>22</v>
      </c>
      <c r="DO99" s="9" t="n">
        <v>25</v>
      </c>
      <c r="DP99" s="9" t="n">
        <v>16</v>
      </c>
      <c r="DQ99" s="11" t="n">
        <f aca="false">(DM99+DN99+DO99+DP99)/4</f>
        <v>22.5</v>
      </c>
      <c r="DR99" s="9" t="n">
        <v>10</v>
      </c>
      <c r="DS99" s="9" t="n">
        <v>18</v>
      </c>
      <c r="DT99" s="9" t="n">
        <v>10</v>
      </c>
      <c r="DU99" s="9" t="n">
        <v>18</v>
      </c>
      <c r="DV99" s="11" t="n">
        <f aca="false">(DR99+DS99+DT99+DU99)/4</f>
        <v>14</v>
      </c>
      <c r="DW99" s="9" t="n">
        <v>0</v>
      </c>
      <c r="DX99" s="9" t="n">
        <v>0</v>
      </c>
      <c r="DY99" s="9" t="n">
        <v>0</v>
      </c>
      <c r="DZ99" s="9" t="n">
        <v>1</v>
      </c>
      <c r="EA99" s="11" t="n">
        <f aca="false">(DW99+DX99+DY99+DZ99)/4</f>
        <v>0.25</v>
      </c>
      <c r="EB99" s="11" t="n">
        <f aca="false">(DW99/DR99)</f>
        <v>0</v>
      </c>
      <c r="EC99" s="11" t="n">
        <f aca="false">(DX99/DS99)</f>
        <v>0</v>
      </c>
      <c r="ED99" s="11" t="n">
        <f aca="false">(DY99/DT99)</f>
        <v>0</v>
      </c>
      <c r="EE99" s="11" t="n">
        <f aca="false">(DZ99/DU99)</f>
        <v>0.0555555555555556</v>
      </c>
      <c r="EF99" s="11" t="n">
        <f aca="false">(EA99/DV99)</f>
        <v>0.0178571428571429</v>
      </c>
      <c r="EG99" s="11" t="n">
        <f aca="false">(100*EF99)</f>
        <v>1.78571428571429</v>
      </c>
      <c r="EH99" s="9" t="n">
        <v>1</v>
      </c>
      <c r="EI99" s="9" t="n">
        <v>4</v>
      </c>
      <c r="EJ99" s="9" t="n">
        <v>2</v>
      </c>
      <c r="EK99" s="19" t="n">
        <v>0</v>
      </c>
      <c r="EL99" s="9" t="n">
        <v>1</v>
      </c>
      <c r="EM99" s="9" t="n">
        <f aca="false">(EI99+EJ99+EK99+EL99)/4</f>
        <v>1.75</v>
      </c>
      <c r="EN99" s="9" t="n">
        <f aca="false">(EI99/DR99)</f>
        <v>0.4</v>
      </c>
      <c r="EO99" s="9" t="n">
        <f aca="false">(EJ99/DS99)</f>
        <v>0.111111111111111</v>
      </c>
      <c r="EP99" s="9" t="n">
        <f aca="false">(EK99/DT99)</f>
        <v>0</v>
      </c>
      <c r="EQ99" s="9" t="n">
        <f aca="false">(EL99/DU99)</f>
        <v>0.0555555555555556</v>
      </c>
      <c r="ER99" s="9" t="n">
        <f aca="false">EM99/DV99</f>
        <v>0.125</v>
      </c>
      <c r="ES99" s="9" t="n">
        <f aca="false">(100*ER99)</f>
        <v>12.5</v>
      </c>
      <c r="ET99" s="9" t="n">
        <v>2</v>
      </c>
      <c r="EU99" s="18" t="n">
        <v>0</v>
      </c>
      <c r="EV99" s="9" t="n">
        <v>0</v>
      </c>
      <c r="EW99" s="9" t="n">
        <v>0</v>
      </c>
      <c r="EX99" s="9" t="n">
        <v>4</v>
      </c>
      <c r="EY99" s="11" t="n">
        <f aca="false">(EU99+EV99+EW99+EX99)/4</f>
        <v>1</v>
      </c>
      <c r="EZ99" s="11" t="n">
        <f aca="false">(EU99/DR99)</f>
        <v>0</v>
      </c>
      <c r="FA99" s="11" t="n">
        <f aca="false">(EV99/DS99)</f>
        <v>0</v>
      </c>
      <c r="FB99" s="11" t="n">
        <f aca="false">(EW99/DT99)</f>
        <v>0</v>
      </c>
      <c r="FC99" s="11" t="n">
        <f aca="false">(EX99/DU99)</f>
        <v>0.222222222222222</v>
      </c>
      <c r="FD99" s="11" t="n">
        <f aca="false">(EY99/DV99)</f>
        <v>0.0714285714285714</v>
      </c>
      <c r="FE99" s="11" t="n">
        <f aca="false">(100*FD99)</f>
        <v>7.14285714285714</v>
      </c>
      <c r="FF99" s="9" t="n">
        <v>1</v>
      </c>
      <c r="FG99" s="9" t="n">
        <v>12</v>
      </c>
      <c r="FH99" s="9" t="n">
        <v>11</v>
      </c>
      <c r="FI99" s="9" t="n">
        <v>0</v>
      </c>
      <c r="FJ99" s="9" t="n">
        <v>1</v>
      </c>
      <c r="FK99" s="11" t="n">
        <f aca="false">(FG99+FH99+FI99+FJ99)/4</f>
        <v>6</v>
      </c>
      <c r="FL99" s="11" t="n">
        <f aca="false">(FG99/DR99)</f>
        <v>1.2</v>
      </c>
      <c r="FM99" s="11" t="n">
        <f aca="false">(FH99/DS99)</f>
        <v>0.611111111111111</v>
      </c>
      <c r="FN99" s="11" t="n">
        <f aca="false">(FI99/DT99)</f>
        <v>0</v>
      </c>
      <c r="FO99" s="11" t="n">
        <f aca="false">(FJ99/DU99)</f>
        <v>0.0555555555555556</v>
      </c>
      <c r="FP99" s="11" t="n">
        <f aca="false">(FK99/DV99)</f>
        <v>0.428571428571429</v>
      </c>
      <c r="FQ99" s="11" t="n">
        <f aca="false">(100*FP99)</f>
        <v>42.8571428571429</v>
      </c>
      <c r="FR99" s="9" t="n">
        <v>3</v>
      </c>
      <c r="FS99" s="9" t="n">
        <v>65.5</v>
      </c>
      <c r="FT99" s="9" t="n">
        <v>80.5</v>
      </c>
      <c r="FU99" s="9" t="n">
        <v>74.2</v>
      </c>
      <c r="FV99" s="9" t="n">
        <v>78.9</v>
      </c>
      <c r="FW99" s="11" t="n">
        <f aca="false">(FS99+FT99+FU99+FV99)/4</f>
        <v>74.775</v>
      </c>
      <c r="FX99" s="9" t="n">
        <v>1</v>
      </c>
      <c r="FY99" s="9" t="n">
        <v>1</v>
      </c>
      <c r="FZ99" s="9" t="n">
        <v>1</v>
      </c>
      <c r="GA99" s="9" t="n">
        <v>1</v>
      </c>
      <c r="GB99" s="11" t="n">
        <f aca="false">(FX99+FY99+FZ99+GA99)/4</f>
        <v>1</v>
      </c>
      <c r="GC99" s="9" t="n">
        <v>1</v>
      </c>
      <c r="GD99" s="9" t="n">
        <v>1</v>
      </c>
      <c r="GE99" s="9" t="n">
        <v>1</v>
      </c>
      <c r="GF99" s="9" t="n">
        <v>1</v>
      </c>
      <c r="GG99" s="11" t="n">
        <f aca="false">(GC99+GD99+GE99+GF99)/4</f>
        <v>1</v>
      </c>
      <c r="GH99" s="9" t="n">
        <v>1</v>
      </c>
      <c r="GI99" s="9" t="n">
        <v>1</v>
      </c>
      <c r="GJ99" s="9" t="n">
        <v>1</v>
      </c>
      <c r="GK99" s="9" t="n">
        <v>1</v>
      </c>
      <c r="GL99" s="11" t="n">
        <f aca="false">(GH99+GI99+GJ99+GK99)/4</f>
        <v>1</v>
      </c>
      <c r="GM99" s="9" t="n">
        <v>33</v>
      </c>
      <c r="GN99" s="9" t="n">
        <v>42</v>
      </c>
      <c r="GO99" s="9" t="n">
        <v>51</v>
      </c>
      <c r="GP99" s="9" t="n">
        <v>20</v>
      </c>
      <c r="GQ99" s="11" t="n">
        <f aca="false">(GM99+GN99+GO99+GP99)/4</f>
        <v>36.5</v>
      </c>
      <c r="GR99" s="9" t="n">
        <v>9</v>
      </c>
      <c r="GS99" s="9" t="n">
        <v>13</v>
      </c>
      <c r="GT99" s="9" t="n">
        <v>46</v>
      </c>
      <c r="GU99" s="9" t="n">
        <v>8</v>
      </c>
      <c r="GV99" s="11" t="n">
        <f aca="false">(GR99+GS99+GT99+GU99)/4</f>
        <v>19</v>
      </c>
      <c r="GW99" s="11" t="n">
        <v>1</v>
      </c>
      <c r="GX99" s="11" t="n">
        <v>1</v>
      </c>
      <c r="GY99" s="11" t="n">
        <v>1</v>
      </c>
      <c r="GZ99" s="11" t="n">
        <v>1</v>
      </c>
      <c r="HA99" s="11" t="n">
        <f aca="false">(GW99+GX99+GY99+GZ99)/4</f>
        <v>1</v>
      </c>
      <c r="HB99" s="9" t="n">
        <f aca="false">(GW99/GR99)</f>
        <v>0.111111111111111</v>
      </c>
      <c r="HC99" s="9" t="n">
        <f aca="false">(GX99/GS99)</f>
        <v>0.0769230769230769</v>
      </c>
      <c r="HD99" s="9" t="n">
        <f aca="false">(GY99/GT99)</f>
        <v>0.0217391304347826</v>
      </c>
      <c r="HE99" s="9" t="n">
        <f aca="false">(GZ99/GU99)/4</f>
        <v>0.03125</v>
      </c>
      <c r="HF99" s="9" t="n">
        <f aca="false">(HB99+HC99+HD99+HE99)/4</f>
        <v>0.0602558296172427</v>
      </c>
      <c r="HG99" s="9" t="n">
        <f aca="false">(100*HF99)</f>
        <v>6.02558296172427</v>
      </c>
      <c r="HH99" s="11" t="n">
        <v>1</v>
      </c>
      <c r="HI99" s="9" t="n">
        <v>4</v>
      </c>
      <c r="HJ99" s="9" t="n">
        <v>1</v>
      </c>
      <c r="HK99" s="9" t="n">
        <v>1</v>
      </c>
      <c r="HL99" s="19" t="n">
        <v>2</v>
      </c>
      <c r="HM99" s="9" t="n">
        <f aca="false">(HI99+HJ99+HK99+HL99)/4</f>
        <v>2</v>
      </c>
      <c r="HN99" s="9" t="n">
        <f aca="false">(HI99/GR99)</f>
        <v>0.444444444444444</v>
      </c>
      <c r="HO99" s="9" t="n">
        <f aca="false">(HJ99/GS99)</f>
        <v>0.0769230769230769</v>
      </c>
      <c r="HP99" s="9" t="n">
        <f aca="false">(HK99/GT99)</f>
        <v>0.0217391304347826</v>
      </c>
      <c r="HQ99" s="9" t="n">
        <f aca="false">(HL99/GU99)</f>
        <v>0.25</v>
      </c>
      <c r="HR99" s="9" t="n">
        <f aca="false">(HM99/GV99)</f>
        <v>0.105263157894737</v>
      </c>
      <c r="HS99" s="9" t="n">
        <f aca="false">(100*HR99)</f>
        <v>10.5263157894737</v>
      </c>
      <c r="HT99" s="18" t="n">
        <v>2</v>
      </c>
      <c r="HU99" s="9" t="n">
        <v>3</v>
      </c>
      <c r="HV99" s="9" t="n">
        <v>0</v>
      </c>
      <c r="HW99" s="9" t="n">
        <v>1</v>
      </c>
      <c r="HX99" s="19" t="n">
        <v>0</v>
      </c>
      <c r="HY99" s="9" t="n">
        <f aca="false">(HU99+HV99+HW99+HX99)/4</f>
        <v>1</v>
      </c>
      <c r="HZ99" s="9" t="n">
        <f aca="false">(HU99/GR99)</f>
        <v>0.333333333333333</v>
      </c>
      <c r="IA99" s="9" t="n">
        <f aca="false">HV99/GS99</f>
        <v>0</v>
      </c>
      <c r="IB99" s="9" t="n">
        <f aca="false">(HW99/GT99)</f>
        <v>0.0217391304347826</v>
      </c>
      <c r="IC99" s="9" t="n">
        <f aca="false">(HX99/GU99)</f>
        <v>0</v>
      </c>
      <c r="ID99" s="9" t="n">
        <f aca="false">(HY99/GV99)</f>
        <v>0.0526315789473684</v>
      </c>
      <c r="IE99" s="9" t="n">
        <f aca="false">(100*ID99)</f>
        <v>5.26315789473684</v>
      </c>
      <c r="IF99" s="18" t="n">
        <v>1</v>
      </c>
      <c r="IG99" s="9" t="n">
        <v>2</v>
      </c>
      <c r="IH99" s="9" t="n">
        <v>2</v>
      </c>
      <c r="II99" s="19" t="n">
        <v>2</v>
      </c>
      <c r="IJ99" s="9" t="n">
        <v>8</v>
      </c>
      <c r="IK99" s="9" t="n">
        <f aca="false">(IG99+IH99+II99+IJ99)/4</f>
        <v>3.5</v>
      </c>
      <c r="IL99" s="9" t="n">
        <f aca="false">(IG99/GM99)</f>
        <v>0.0606060606060606</v>
      </c>
      <c r="IM99" s="9" t="n">
        <f aca="false">(IH99/GN99)</f>
        <v>0.0476190476190476</v>
      </c>
      <c r="IN99" s="9" t="n">
        <f aca="false">(II99/GO99)</f>
        <v>0.0392156862745098</v>
      </c>
      <c r="IO99" s="9" t="n">
        <f aca="false">(IJ99/GP99)</f>
        <v>0.4</v>
      </c>
      <c r="IP99" s="9" t="n">
        <f aca="false">(IK99/GQ99)</f>
        <v>0.0958904109589041</v>
      </c>
      <c r="IQ99" s="9" t="n">
        <f aca="false">(100*IP99)</f>
        <v>9.58904109589041</v>
      </c>
      <c r="IR99" s="18" t="n">
        <v>1</v>
      </c>
      <c r="IS99" s="9" t="n">
        <v>72.8</v>
      </c>
      <c r="IT99" s="9" t="n">
        <v>78.9</v>
      </c>
      <c r="IU99" s="19" t="n">
        <v>52.6</v>
      </c>
      <c r="IV99" s="9" t="n">
        <v>51.1</v>
      </c>
      <c r="IW99" s="9" t="n">
        <f aca="false">(IS99+IT99+IU99+IV99)/4</f>
        <v>63.85</v>
      </c>
      <c r="IX99" s="16" t="n">
        <v>45242</v>
      </c>
      <c r="IY99" s="10" t="s">
        <v>268</v>
      </c>
    </row>
    <row r="100" customFormat="false" ht="15.75" hidden="false" customHeight="true" outlineLevel="0" collapsed="false">
      <c r="A100" s="9" t="s">
        <v>370</v>
      </c>
      <c r="B100" s="10" t="s">
        <v>493</v>
      </c>
      <c r="C100" s="10" t="s">
        <v>400</v>
      </c>
      <c r="D100" s="9" t="n">
        <v>2</v>
      </c>
      <c r="E100" s="9" t="n">
        <v>33</v>
      </c>
      <c r="F100" s="10" t="s">
        <v>499</v>
      </c>
      <c r="G100" s="11" t="s">
        <v>263</v>
      </c>
      <c r="H100" s="9" t="n">
        <v>21</v>
      </c>
      <c r="I100" s="9" t="n">
        <v>20</v>
      </c>
      <c r="J100" s="10" t="s">
        <v>272</v>
      </c>
      <c r="K100" s="20"/>
      <c r="L100" s="20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 t="n">
        <v>0</v>
      </c>
      <c r="Y100" s="9" t="n">
        <v>0</v>
      </c>
      <c r="Z100" s="9" t="n">
        <v>0</v>
      </c>
      <c r="AA100" s="9" t="n">
        <v>0</v>
      </c>
      <c r="AB100" s="11" t="n">
        <f aca="false">(X100+Y100+Z100+AA100)/4</f>
        <v>0</v>
      </c>
      <c r="AC100" s="9" t="n">
        <v>1</v>
      </c>
      <c r="AD100" s="9" t="n">
        <v>1</v>
      </c>
      <c r="AE100" s="9" t="n">
        <v>1</v>
      </c>
      <c r="AF100" s="9" t="n">
        <v>1</v>
      </c>
      <c r="AG100" s="11" t="n">
        <f aca="false">(AC100+AD100+AE100+AF100)/4</f>
        <v>1</v>
      </c>
      <c r="AH100" s="9" t="n">
        <v>1</v>
      </c>
      <c r="AI100" s="9" t="n">
        <v>1</v>
      </c>
      <c r="AJ100" s="9" t="n">
        <v>1</v>
      </c>
      <c r="AK100" s="9" t="n">
        <v>1</v>
      </c>
      <c r="AL100" s="11" t="n">
        <f aca="false">(AH100+AI100+AJ100+AK100)/4</f>
        <v>1</v>
      </c>
      <c r="AM100" s="9" t="n">
        <v>5</v>
      </c>
      <c r="AN100" s="9" t="n">
        <v>5</v>
      </c>
      <c r="AO100" s="9" t="n">
        <v>3</v>
      </c>
      <c r="AP100" s="9" t="n">
        <v>1</v>
      </c>
      <c r="AQ100" s="11" t="n">
        <f aca="false">(AM100+AN100+AO100+AP100)/4</f>
        <v>3.5</v>
      </c>
      <c r="AR100" s="9" t="n">
        <v>18</v>
      </c>
      <c r="AS100" s="9" t="n">
        <v>22</v>
      </c>
      <c r="AT100" s="9" t="n">
        <v>16</v>
      </c>
      <c r="AU100" s="9" t="n">
        <v>4</v>
      </c>
      <c r="AV100" s="11" t="n">
        <f aca="false">(AR100+AS100+AT100+AU100)/4</f>
        <v>15</v>
      </c>
      <c r="AW100" s="9" t="n">
        <v>0</v>
      </c>
      <c r="AX100" s="9" t="n">
        <v>0</v>
      </c>
      <c r="AY100" s="9" t="n">
        <v>0</v>
      </c>
      <c r="AZ100" s="9" t="n">
        <v>0</v>
      </c>
      <c r="BA100" s="11" t="n">
        <f aca="false">(AW100+AX100+AY100+AZ100)/4</f>
        <v>0</v>
      </c>
      <c r="BB100" s="11" t="n">
        <f aca="false">(AW100/AR100)</f>
        <v>0</v>
      </c>
      <c r="BC100" s="11" t="n">
        <f aca="false">(AX100/AS100)</f>
        <v>0</v>
      </c>
      <c r="BD100" s="11" t="n">
        <f aca="false">(AY100/AT100)</f>
        <v>0</v>
      </c>
      <c r="BE100" s="11" t="n">
        <f aca="false">(AZ100/AU100)</f>
        <v>0</v>
      </c>
      <c r="BF100" s="11" t="n">
        <f aca="false">(BA100/AV100)</f>
        <v>0</v>
      </c>
      <c r="BG100" s="11" t="n">
        <f aca="false">(BF100*100)</f>
        <v>0</v>
      </c>
      <c r="BH100" s="9" t="n">
        <v>0</v>
      </c>
      <c r="BI100" s="9" t="n">
        <v>3</v>
      </c>
      <c r="BJ100" s="9" t="n">
        <v>2</v>
      </c>
      <c r="BK100" s="9" t="n">
        <v>10</v>
      </c>
      <c r="BL100" s="9" t="n">
        <v>2</v>
      </c>
      <c r="BM100" s="11" t="n">
        <f aca="false">(BI100+BJ100+BK100+BL100)/4</f>
        <v>4.25</v>
      </c>
      <c r="BN100" s="11" t="n">
        <f aca="false">(BI100/AR100)</f>
        <v>0.166666666666667</v>
      </c>
      <c r="BO100" s="11" t="n">
        <f aca="false">(BJ100/AS100)</f>
        <v>0.0909090909090909</v>
      </c>
      <c r="BP100" s="11" t="n">
        <f aca="false">(BK100/AT100)</f>
        <v>0.625</v>
      </c>
      <c r="BQ100" s="11" t="n">
        <f aca="false">(BL100/AU100)</f>
        <v>0.5</v>
      </c>
      <c r="BR100" s="11" t="n">
        <f aca="false">(BM100/AV100)</f>
        <v>0.283333333333333</v>
      </c>
      <c r="BS100" s="11" t="n">
        <f aca="false">(100*BR100)</f>
        <v>28.3333333333333</v>
      </c>
      <c r="BT100" s="9" t="n">
        <v>3</v>
      </c>
      <c r="BU100" s="9" t="n">
        <v>0</v>
      </c>
      <c r="BV100" s="9" t="n">
        <v>1</v>
      </c>
      <c r="BW100" s="9" t="n">
        <v>1</v>
      </c>
      <c r="BX100" s="9" t="n">
        <v>0</v>
      </c>
      <c r="BY100" s="11" t="n">
        <f aca="false">(BU100+BV100+BW100+BX100)/4</f>
        <v>0.5</v>
      </c>
      <c r="BZ100" s="11" t="n">
        <f aca="false">(BU100/AR100)</f>
        <v>0</v>
      </c>
      <c r="CA100" s="11" t="n">
        <f aca="false">(BV100/AS100)</f>
        <v>0.0454545454545455</v>
      </c>
      <c r="CB100" s="11" t="n">
        <f aca="false">(BW100/AT100)</f>
        <v>0.0625</v>
      </c>
      <c r="CC100" s="11" t="n">
        <f aca="false">(BX100/AU100)</f>
        <v>0</v>
      </c>
      <c r="CD100" s="11" t="n">
        <f aca="false">(BY100/AV100)</f>
        <v>0.0333333333333333</v>
      </c>
      <c r="CE100" s="11" t="n">
        <f aca="false">(100*CD100)</f>
        <v>3.33333333333333</v>
      </c>
      <c r="CF100" s="9" t="n">
        <v>1</v>
      </c>
      <c r="CG100" s="9" t="n">
        <v>0</v>
      </c>
      <c r="CH100" s="9" t="n">
        <v>0</v>
      </c>
      <c r="CI100" s="9" t="n">
        <v>0</v>
      </c>
      <c r="CJ100" s="9" t="n">
        <v>0</v>
      </c>
      <c r="CK100" s="11" t="n">
        <f aca="false">(CG100+CH100+CI100+CJ100)/4</f>
        <v>0</v>
      </c>
      <c r="CL100" s="11" t="n">
        <f aca="false">(CG100/AM100)</f>
        <v>0</v>
      </c>
      <c r="CM100" s="11" t="n">
        <f aca="false">(CH100/AN100)</f>
        <v>0</v>
      </c>
      <c r="CN100" s="11" t="n">
        <f aca="false">(CI100/AO100)</f>
        <v>0</v>
      </c>
      <c r="CO100" s="9" t="n">
        <f aca="false">(CJ100/AP100)</f>
        <v>0</v>
      </c>
      <c r="CP100" s="9" t="n">
        <v>0</v>
      </c>
      <c r="CQ100" s="9" t="n">
        <f aca="false">(100*CP100)</f>
        <v>0</v>
      </c>
      <c r="CR100" s="18" t="n">
        <v>0</v>
      </c>
      <c r="CS100" s="9" t="n">
        <v>47.6</v>
      </c>
      <c r="CT100" s="9" t="n">
        <v>48.3</v>
      </c>
      <c r="CU100" s="9" t="n">
        <v>61.7</v>
      </c>
      <c r="CV100" s="9" t="n">
        <v>62.8</v>
      </c>
      <c r="CW100" s="11" t="n">
        <f aca="false">(CS100+CT100+CU100+CV100)/4</f>
        <v>55.1</v>
      </c>
      <c r="CX100" s="9" t="n">
        <v>0</v>
      </c>
      <c r="CY100" s="9" t="n">
        <v>0</v>
      </c>
      <c r="CZ100" s="9" t="n">
        <v>0</v>
      </c>
      <c r="DA100" s="9" t="n">
        <v>0</v>
      </c>
      <c r="DB100" s="11" t="n">
        <f aca="false">(CX100+CY100+CZ100+DA100)/4</f>
        <v>0</v>
      </c>
      <c r="DC100" s="9" t="n">
        <v>1</v>
      </c>
      <c r="DD100" s="9" t="n">
        <v>1</v>
      </c>
      <c r="DE100" s="9" t="n">
        <v>1</v>
      </c>
      <c r="DF100" s="9" t="n">
        <v>1</v>
      </c>
      <c r="DG100" s="11" t="n">
        <f aca="false">(DC100+DD100+DE100+DF100)/4</f>
        <v>1</v>
      </c>
      <c r="DH100" s="9" t="n">
        <v>1</v>
      </c>
      <c r="DI100" s="9" t="n">
        <v>1</v>
      </c>
      <c r="DJ100" s="9" t="n">
        <v>1</v>
      </c>
      <c r="DK100" s="9" t="n">
        <v>1</v>
      </c>
      <c r="DL100" s="11" t="n">
        <f aca="false">(DH100+DI100+DJ100+DK100)/4</f>
        <v>1</v>
      </c>
      <c r="DM100" s="9" t="n">
        <v>54</v>
      </c>
      <c r="DN100" s="9" t="n">
        <v>53</v>
      </c>
      <c r="DO100" s="9" t="n">
        <v>48</v>
      </c>
      <c r="DP100" s="9" t="n">
        <v>34</v>
      </c>
      <c r="DQ100" s="11" t="n">
        <f aca="false">(DM100+DN100+DO100+DP100)/4</f>
        <v>47.25</v>
      </c>
      <c r="DR100" s="9" t="n">
        <v>7</v>
      </c>
      <c r="DS100" s="9" t="n">
        <v>18</v>
      </c>
      <c r="DT100" s="9" t="n">
        <v>11</v>
      </c>
      <c r="DU100" s="9" t="n">
        <v>14</v>
      </c>
      <c r="DV100" s="11" t="n">
        <f aca="false">(DR100+DS100+DT100+DU100)/4</f>
        <v>12.5</v>
      </c>
      <c r="DW100" s="9" t="n">
        <v>0</v>
      </c>
      <c r="DX100" s="9" t="n">
        <v>0</v>
      </c>
      <c r="DY100" s="9" t="n">
        <v>0</v>
      </c>
      <c r="DZ100" s="9" t="n">
        <v>0</v>
      </c>
      <c r="EA100" s="11" t="n">
        <f aca="false">(DW100+DX100+DY100+DZ100)/4</f>
        <v>0</v>
      </c>
      <c r="EB100" s="11" t="n">
        <f aca="false">(DW100/DR100)</f>
        <v>0</v>
      </c>
      <c r="EC100" s="11" t="n">
        <f aca="false">(DX100/DS100)</f>
        <v>0</v>
      </c>
      <c r="ED100" s="11" t="n">
        <f aca="false">(DY100/DT100)</f>
        <v>0</v>
      </c>
      <c r="EE100" s="11" t="n">
        <f aca="false">(DZ100/DU100)</f>
        <v>0</v>
      </c>
      <c r="EF100" s="11" t="n">
        <f aca="false">(EA100/DV100)</f>
        <v>0</v>
      </c>
      <c r="EG100" s="11" t="n">
        <f aca="false">(100*EF100)</f>
        <v>0</v>
      </c>
      <c r="EH100" s="9" t="n">
        <v>0</v>
      </c>
      <c r="EI100" s="9" t="n">
        <v>3</v>
      </c>
      <c r="EJ100" s="9" t="n">
        <v>1</v>
      </c>
      <c r="EK100" s="19" t="n">
        <v>3</v>
      </c>
      <c r="EL100" s="9" t="n">
        <v>5</v>
      </c>
      <c r="EM100" s="9" t="n">
        <f aca="false">(EI100+EJ100+EK100+EL100)/4</f>
        <v>3</v>
      </c>
      <c r="EN100" s="9" t="n">
        <f aca="false">(EI100/DR100)</f>
        <v>0.428571428571429</v>
      </c>
      <c r="EO100" s="9" t="n">
        <f aca="false">(EJ100/DS100)</f>
        <v>0.0555555555555556</v>
      </c>
      <c r="EP100" s="9" t="n">
        <f aca="false">(EK100/DT100)</f>
        <v>0.272727272727273</v>
      </c>
      <c r="EQ100" s="9" t="n">
        <f aca="false">(EL100/DU100)</f>
        <v>0.357142857142857</v>
      </c>
      <c r="ER100" s="9" t="n">
        <f aca="false">EM100/DV100</f>
        <v>0.24</v>
      </c>
      <c r="ES100" s="9" t="n">
        <f aca="false">(100*ER100)</f>
        <v>24</v>
      </c>
      <c r="ET100" s="9" t="n">
        <v>2</v>
      </c>
      <c r="EU100" s="18" t="n">
        <v>1</v>
      </c>
      <c r="EV100" s="9" t="n">
        <v>1</v>
      </c>
      <c r="EW100" s="9" t="n">
        <v>6</v>
      </c>
      <c r="EX100" s="9" t="n">
        <v>2</v>
      </c>
      <c r="EY100" s="11" t="n">
        <f aca="false">(EU100+EV100+EW100+EX100)/4</f>
        <v>2.5</v>
      </c>
      <c r="EZ100" s="11" t="n">
        <f aca="false">(EU100/DR100)</f>
        <v>0.142857142857143</v>
      </c>
      <c r="FA100" s="11" t="n">
        <f aca="false">(EV100/DS100)</f>
        <v>0.0555555555555556</v>
      </c>
      <c r="FB100" s="11" t="n">
        <f aca="false">(EW100/DT100)</f>
        <v>0.545454545454545</v>
      </c>
      <c r="FC100" s="11" t="n">
        <f aca="false">(EX100/DU100)</f>
        <v>0.142857142857143</v>
      </c>
      <c r="FD100" s="11" t="n">
        <f aca="false">(EY100/DV100)</f>
        <v>0.2</v>
      </c>
      <c r="FE100" s="11" t="n">
        <f aca="false">(100*FD100)</f>
        <v>20</v>
      </c>
      <c r="FF100" s="9" t="n">
        <v>2</v>
      </c>
      <c r="FG100" s="9" t="n">
        <v>2</v>
      </c>
      <c r="FH100" s="9" t="n">
        <v>2</v>
      </c>
      <c r="FI100" s="9" t="n">
        <v>0</v>
      </c>
      <c r="FJ100" s="9" t="n">
        <v>2</v>
      </c>
      <c r="FK100" s="11" t="n">
        <f aca="false">(FG100+FH100+FI100+FJ100)/4</f>
        <v>1.5</v>
      </c>
      <c r="FL100" s="11" t="n">
        <f aca="false">(FG100/DR100)</f>
        <v>0.285714285714286</v>
      </c>
      <c r="FM100" s="11" t="n">
        <f aca="false">(FH100/DS100)</f>
        <v>0.111111111111111</v>
      </c>
      <c r="FN100" s="11" t="n">
        <f aca="false">(FI100/DT100)</f>
        <v>0</v>
      </c>
      <c r="FO100" s="11" t="n">
        <f aca="false">(FJ100/DU100)</f>
        <v>0.142857142857143</v>
      </c>
      <c r="FP100" s="11" t="n">
        <f aca="false">(FK100/DV100)</f>
        <v>0.12</v>
      </c>
      <c r="FQ100" s="11" t="n">
        <f aca="false">(100*FP100)</f>
        <v>12</v>
      </c>
      <c r="FR100" s="9" t="n">
        <v>2</v>
      </c>
      <c r="FS100" s="9" t="n">
        <v>72.2</v>
      </c>
      <c r="FT100" s="9" t="n">
        <v>82.4</v>
      </c>
      <c r="FU100" s="9" t="n">
        <v>58.8</v>
      </c>
      <c r="FV100" s="9" t="n">
        <v>62.9</v>
      </c>
      <c r="FW100" s="11" t="n">
        <f aca="false">(FS100+FT100+FU100+FV100)/4</f>
        <v>69.075</v>
      </c>
      <c r="FX100" s="9" t="n">
        <v>0</v>
      </c>
      <c r="FY100" s="9" t="n">
        <v>0</v>
      </c>
      <c r="FZ100" s="9" t="n">
        <v>1</v>
      </c>
      <c r="GA100" s="9" t="n">
        <v>0</v>
      </c>
      <c r="GB100" s="11" t="n">
        <f aca="false">(FX100+FY100+FZ100+GA100)/4</f>
        <v>0.25</v>
      </c>
      <c r="GC100" s="9" t="n">
        <v>1</v>
      </c>
      <c r="GD100" s="9" t="n">
        <v>1</v>
      </c>
      <c r="GE100" s="9" t="n">
        <v>1</v>
      </c>
      <c r="GF100" s="9" t="n">
        <v>1</v>
      </c>
      <c r="GG100" s="11" t="n">
        <f aca="false">(GC100+GD100+GE100+GF100)/4</f>
        <v>1</v>
      </c>
      <c r="GH100" s="9" t="n">
        <v>1</v>
      </c>
      <c r="GI100" s="9" t="n">
        <v>1</v>
      </c>
      <c r="GJ100" s="9" t="n">
        <v>1</v>
      </c>
      <c r="GK100" s="9" t="n">
        <v>1</v>
      </c>
      <c r="GL100" s="11" t="n">
        <f aca="false">(GH100+GI100+GJ100+GK100)/4</f>
        <v>1</v>
      </c>
      <c r="GM100" s="9" t="n">
        <v>70</v>
      </c>
      <c r="GN100" s="9" t="n">
        <v>52</v>
      </c>
      <c r="GO100" s="9" t="n">
        <v>70</v>
      </c>
      <c r="GP100" s="9" t="n">
        <v>95</v>
      </c>
      <c r="GQ100" s="11" t="n">
        <f aca="false">(GM100+GN100+GO100+GP100)/4</f>
        <v>71.75</v>
      </c>
      <c r="GR100" s="9" t="n">
        <v>26</v>
      </c>
      <c r="GS100" s="9" t="n">
        <v>30</v>
      </c>
      <c r="GT100" s="9" t="n">
        <v>14</v>
      </c>
      <c r="GU100" s="9" t="n">
        <v>4</v>
      </c>
      <c r="GV100" s="11" t="n">
        <f aca="false">(GR100+GS100+GT100+GU100)/4</f>
        <v>18.5</v>
      </c>
      <c r="GW100" s="9" t="n">
        <v>0</v>
      </c>
      <c r="GX100" s="9" t="n">
        <v>0</v>
      </c>
      <c r="GY100" s="9" t="n">
        <v>1</v>
      </c>
      <c r="GZ100" s="9" t="n">
        <v>0</v>
      </c>
      <c r="HA100" s="11" t="n">
        <f aca="false">(GW100+GX100+GY100+GZ100)/4</f>
        <v>0.25</v>
      </c>
      <c r="HB100" s="9" t="n">
        <f aca="false">(GW100/GR100)</f>
        <v>0</v>
      </c>
      <c r="HC100" s="9" t="n">
        <f aca="false">(GX100/GS100)</f>
        <v>0</v>
      </c>
      <c r="HD100" s="9" t="n">
        <f aca="false">(GY100/GT100)</f>
        <v>0.0714285714285714</v>
      </c>
      <c r="HE100" s="9" t="n">
        <f aca="false">(GZ100/GU100)/4</f>
        <v>0</v>
      </c>
      <c r="HF100" s="9" t="n">
        <f aca="false">(HB100+HC100+HD100+HE100)/4</f>
        <v>0.0178571428571429</v>
      </c>
      <c r="HG100" s="9" t="n">
        <f aca="false">(100*HF100)</f>
        <v>1.78571428571429</v>
      </c>
      <c r="HH100" s="18"/>
      <c r="HI100" s="9" t="n">
        <v>3</v>
      </c>
      <c r="HJ100" s="9" t="n">
        <v>2</v>
      </c>
      <c r="HK100" s="9" t="n">
        <v>10</v>
      </c>
      <c r="HL100" s="19" t="n">
        <v>0</v>
      </c>
      <c r="HM100" s="9" t="n">
        <f aca="false">(HI100+HJ100+HK100+HL100)/4</f>
        <v>3.75</v>
      </c>
      <c r="HN100" s="9" t="n">
        <f aca="false">(HI100/GR100)</f>
        <v>0.115384615384615</v>
      </c>
      <c r="HO100" s="9" t="n">
        <f aca="false">(HJ100/GS100)</f>
        <v>0.0666666666666667</v>
      </c>
      <c r="HP100" s="9" t="n">
        <f aca="false">(HK100/GT100)</f>
        <v>0.714285714285714</v>
      </c>
      <c r="HQ100" s="9" t="n">
        <f aca="false">(HL100/GU100)</f>
        <v>0</v>
      </c>
      <c r="HR100" s="9" t="n">
        <f aca="false">(HM100/GV100)</f>
        <v>0.202702702702703</v>
      </c>
      <c r="HS100" s="9" t="n">
        <f aca="false">(100*HR100)</f>
        <v>20.2702702702703</v>
      </c>
      <c r="HT100" s="18" t="n">
        <v>2</v>
      </c>
      <c r="HU100" s="9" t="n">
        <v>0</v>
      </c>
      <c r="HV100" s="9" t="n">
        <v>0</v>
      </c>
      <c r="HW100" s="9" t="n">
        <v>1</v>
      </c>
      <c r="HX100" s="19" t="n">
        <v>1</v>
      </c>
      <c r="HY100" s="9" t="n">
        <f aca="false">(HU100+HV100+HW100+HX100)/4</f>
        <v>0.5</v>
      </c>
      <c r="HZ100" s="9" t="n">
        <f aca="false">(HU100/GR100)</f>
        <v>0</v>
      </c>
      <c r="IA100" s="9" t="n">
        <f aca="false">HV100/GS100</f>
        <v>0</v>
      </c>
      <c r="IB100" s="9" t="n">
        <f aca="false">(HW100/GT100)</f>
        <v>0.0714285714285714</v>
      </c>
      <c r="IC100" s="9" t="n">
        <f aca="false">(HX100/GU100)</f>
        <v>0.25</v>
      </c>
      <c r="ID100" s="9" t="n">
        <f aca="false">(HY100/GV100)</f>
        <v>0.027027027027027</v>
      </c>
      <c r="IE100" s="9" t="n">
        <f aca="false">(100*ID100)</f>
        <v>2.7027027027027</v>
      </c>
      <c r="IF100" s="18" t="n">
        <v>1</v>
      </c>
      <c r="IG100" s="9" t="n">
        <v>5</v>
      </c>
      <c r="IH100" s="9" t="n">
        <v>6</v>
      </c>
      <c r="II100" s="19" t="n">
        <v>30</v>
      </c>
      <c r="IJ100" s="9" t="n">
        <v>3</v>
      </c>
      <c r="IK100" s="9" t="n">
        <f aca="false">(IG100+IH100+II100+IJ100)/4</f>
        <v>11</v>
      </c>
      <c r="IL100" s="9" t="n">
        <f aca="false">(IG100/GM100)</f>
        <v>0.0714285714285714</v>
      </c>
      <c r="IM100" s="9" t="n">
        <f aca="false">(IH100/GN100)</f>
        <v>0.115384615384615</v>
      </c>
      <c r="IN100" s="9" t="n">
        <f aca="false">(II100/GO100)</f>
        <v>0.428571428571429</v>
      </c>
      <c r="IO100" s="9" t="n">
        <f aca="false">(IJ100/GP100)</f>
        <v>0.0315789473684211</v>
      </c>
      <c r="IP100" s="9" t="n">
        <f aca="false">(IK100/GQ100)</f>
        <v>0.153310104529617</v>
      </c>
      <c r="IQ100" s="9" t="n">
        <f aca="false">(100*IP100)</f>
        <v>15.3310104529617</v>
      </c>
      <c r="IR100" s="18" t="n">
        <v>2</v>
      </c>
      <c r="IS100" s="9" t="n">
        <v>60.3</v>
      </c>
      <c r="IT100" s="9" t="n">
        <v>54</v>
      </c>
      <c r="IU100" s="19" t="n">
        <v>59.9</v>
      </c>
      <c r="IV100" s="9" t="n">
        <v>67.4</v>
      </c>
      <c r="IW100" s="9" t="n">
        <f aca="false">(IS100+IT100+IU100+IV100)/4</f>
        <v>60.4</v>
      </c>
      <c r="IX100" s="16" t="n">
        <v>45242</v>
      </c>
      <c r="IY100" s="10" t="s">
        <v>268</v>
      </c>
    </row>
    <row r="101" customFormat="false" ht="15.75" hidden="false" customHeight="true" outlineLevel="0" collapsed="false">
      <c r="A101" s="9" t="s">
        <v>370</v>
      </c>
      <c r="B101" s="10" t="s">
        <v>500</v>
      </c>
      <c r="C101" s="10" t="s">
        <v>400</v>
      </c>
      <c r="D101" s="9" t="n">
        <v>3</v>
      </c>
      <c r="E101" s="9" t="n">
        <v>34</v>
      </c>
      <c r="F101" s="10" t="s">
        <v>501</v>
      </c>
      <c r="G101" s="10" t="s">
        <v>275</v>
      </c>
      <c r="H101" s="9" t="n">
        <v>21</v>
      </c>
      <c r="I101" s="9" t="n">
        <v>5</v>
      </c>
      <c r="J101" s="12" t="s">
        <v>264</v>
      </c>
      <c r="K101" s="31" t="s">
        <v>502</v>
      </c>
      <c r="L101" s="31" t="s">
        <v>503</v>
      </c>
      <c r="M101" s="14" t="n">
        <v>1302</v>
      </c>
      <c r="N101" s="15" t="n">
        <v>45154</v>
      </c>
      <c r="O101" s="10" t="s">
        <v>294</v>
      </c>
      <c r="P101" s="9"/>
      <c r="Q101" s="9" t="n">
        <v>29.24</v>
      </c>
      <c r="R101" s="9" t="n">
        <v>10</v>
      </c>
      <c r="S101" s="9" t="n">
        <v>-15</v>
      </c>
      <c r="T101" s="9" t="n">
        <v>90</v>
      </c>
      <c r="U101" s="9"/>
      <c r="V101" s="9" t="n">
        <f aca="false">(32/100)</f>
        <v>0.32</v>
      </c>
      <c r="W101" s="22" t="s">
        <v>504</v>
      </c>
      <c r="X101" s="9" t="n">
        <v>0</v>
      </c>
      <c r="Y101" s="9" t="n">
        <v>0</v>
      </c>
      <c r="Z101" s="9" t="n">
        <v>0</v>
      </c>
      <c r="AA101" s="9" t="n">
        <v>0</v>
      </c>
      <c r="AB101" s="11" t="n">
        <f aca="false">(X101+Y101+Z101+AA101)/4</f>
        <v>0</v>
      </c>
      <c r="AC101" s="9" t="n">
        <v>1</v>
      </c>
      <c r="AD101" s="9" t="n">
        <v>1</v>
      </c>
      <c r="AE101" s="9" t="n">
        <v>1</v>
      </c>
      <c r="AF101" s="9" t="n">
        <v>1</v>
      </c>
      <c r="AG101" s="11" t="n">
        <f aca="false">(AC101+AD101+AE101+AF101)/4</f>
        <v>1</v>
      </c>
      <c r="AH101" s="9" t="n">
        <v>1</v>
      </c>
      <c r="AI101" s="9" t="n">
        <v>1</v>
      </c>
      <c r="AJ101" s="9" t="n">
        <v>1</v>
      </c>
      <c r="AK101" s="9" t="n">
        <v>1</v>
      </c>
      <c r="AL101" s="11" t="n">
        <f aca="false">(AH101+AI101+AJ101+AK101)/4</f>
        <v>1</v>
      </c>
      <c r="AM101" s="9" t="n">
        <v>64</v>
      </c>
      <c r="AN101" s="9" t="n">
        <v>105</v>
      </c>
      <c r="AO101" s="9" t="n">
        <v>88</v>
      </c>
      <c r="AP101" s="9" t="n">
        <v>27</v>
      </c>
      <c r="AQ101" s="11" t="n">
        <f aca="false">(AM101+AN101+AO101+AP101)/4</f>
        <v>71</v>
      </c>
      <c r="AR101" s="9" t="n">
        <v>14</v>
      </c>
      <c r="AS101" s="9" t="n">
        <v>22</v>
      </c>
      <c r="AT101" s="9" t="n">
        <v>25</v>
      </c>
      <c r="AU101" s="9" t="n">
        <v>1</v>
      </c>
      <c r="AV101" s="11" t="n">
        <f aca="false">(AR101+AS101+AT101+AU101)/4</f>
        <v>15.5</v>
      </c>
      <c r="AW101" s="9" t="n">
        <v>0</v>
      </c>
      <c r="AX101" s="9" t="n">
        <v>0</v>
      </c>
      <c r="AY101" s="9" t="n">
        <v>0</v>
      </c>
      <c r="AZ101" s="9" t="n">
        <v>0</v>
      </c>
      <c r="BA101" s="11" t="n">
        <f aca="false">(AW101+AX101+AY101+AZ101)/4</f>
        <v>0</v>
      </c>
      <c r="BB101" s="11" t="n">
        <f aca="false">(AW101/AR101)</f>
        <v>0</v>
      </c>
      <c r="BC101" s="11" t="n">
        <f aca="false">(AX101/AS101)</f>
        <v>0</v>
      </c>
      <c r="BD101" s="11" t="n">
        <f aca="false">(AY101/AT101)</f>
        <v>0</v>
      </c>
      <c r="BE101" s="11" t="n">
        <f aca="false">(AZ101/AU101)</f>
        <v>0</v>
      </c>
      <c r="BF101" s="11" t="n">
        <f aca="false">(BA101/AV101)</f>
        <v>0</v>
      </c>
      <c r="BG101" s="11" t="n">
        <f aca="false">(BF101*100)</f>
        <v>0</v>
      </c>
      <c r="BH101" s="9" t="n">
        <v>0</v>
      </c>
      <c r="BI101" s="9" t="n">
        <v>1</v>
      </c>
      <c r="BJ101" s="9" t="n">
        <v>1</v>
      </c>
      <c r="BK101" s="9" t="n">
        <v>1</v>
      </c>
      <c r="BL101" s="9" t="n">
        <v>0</v>
      </c>
      <c r="BM101" s="11" t="n">
        <f aca="false">(BI101+BJ101+BK101+BL101)/4</f>
        <v>0.75</v>
      </c>
      <c r="BN101" s="11" t="n">
        <f aca="false">(BI101/AR101)</f>
        <v>0.0714285714285714</v>
      </c>
      <c r="BO101" s="11" t="n">
        <f aca="false">(BJ101/AS101)</f>
        <v>0.0454545454545455</v>
      </c>
      <c r="BP101" s="11" t="n">
        <f aca="false">(BK101/AT101)</f>
        <v>0.04</v>
      </c>
      <c r="BQ101" s="11" t="n">
        <f aca="false">(BL101/AU101)</f>
        <v>0</v>
      </c>
      <c r="BR101" s="11" t="n">
        <f aca="false">(BM101/AV101)</f>
        <v>0.0483870967741936</v>
      </c>
      <c r="BS101" s="11" t="n">
        <f aca="false">(100*BR101)</f>
        <v>4.83870967741936</v>
      </c>
      <c r="BT101" s="9" t="n">
        <v>1</v>
      </c>
      <c r="BU101" s="9" t="n">
        <v>0</v>
      </c>
      <c r="BV101" s="9" t="n">
        <v>0</v>
      </c>
      <c r="BW101" s="9" t="n">
        <v>0</v>
      </c>
      <c r="BX101" s="9" t="n">
        <v>0</v>
      </c>
      <c r="BY101" s="11" t="n">
        <f aca="false">(BU101+BV101+BW101+BX101)/4</f>
        <v>0</v>
      </c>
      <c r="BZ101" s="11" t="n">
        <f aca="false">(BU101/AR101)</f>
        <v>0</v>
      </c>
      <c r="CA101" s="11" t="n">
        <f aca="false">(BV101/AS101)</f>
        <v>0</v>
      </c>
      <c r="CB101" s="11" t="n">
        <f aca="false">(BW101/AT101)</f>
        <v>0</v>
      </c>
      <c r="CC101" s="11" t="n">
        <f aca="false">(BX101/AU101)</f>
        <v>0</v>
      </c>
      <c r="CD101" s="11" t="n">
        <f aca="false">(BY101/AV101)</f>
        <v>0</v>
      </c>
      <c r="CE101" s="11" t="n">
        <f aca="false">(100*CD101)</f>
        <v>0</v>
      </c>
      <c r="CF101" s="9" t="n">
        <v>0</v>
      </c>
      <c r="CG101" s="9" t="n">
        <v>7</v>
      </c>
      <c r="CH101" s="9" t="n">
        <v>14</v>
      </c>
      <c r="CI101" s="9" t="n">
        <v>14</v>
      </c>
      <c r="CJ101" s="9" t="n">
        <v>18</v>
      </c>
      <c r="CK101" s="11" t="n">
        <f aca="false">(CG101+CH101+CI101+CJ101)/4</f>
        <v>13.25</v>
      </c>
      <c r="CL101" s="11" t="n">
        <f aca="false">(CG101/AM101)</f>
        <v>0.109375</v>
      </c>
      <c r="CM101" s="11" t="n">
        <f aca="false">(CH101/AN101)</f>
        <v>0.133333333333333</v>
      </c>
      <c r="CN101" s="11" t="n">
        <f aca="false">(CI101/AO101)</f>
        <v>0.159090909090909</v>
      </c>
      <c r="CO101" s="9" t="n">
        <f aca="false">(CJ101/AP101)</f>
        <v>0.666666666666667</v>
      </c>
      <c r="CP101" s="9" t="n">
        <f aca="false">(CK101/AQ101)</f>
        <v>0.186619718309859</v>
      </c>
      <c r="CQ101" s="9" t="n">
        <f aca="false">(100*CP101)</f>
        <v>18.6619718309859</v>
      </c>
      <c r="CR101" s="18" t="n">
        <v>2</v>
      </c>
      <c r="CS101" s="9" t="n">
        <v>48.6</v>
      </c>
      <c r="CT101" s="9" t="n">
        <v>63.1</v>
      </c>
      <c r="CU101" s="9" t="n">
        <v>65.2</v>
      </c>
      <c r="CV101" s="9" t="n">
        <v>67.1</v>
      </c>
      <c r="CW101" s="11" t="n">
        <f aca="false">(CS101+CT101+CU101+CV101)/4</f>
        <v>61</v>
      </c>
      <c r="CX101" s="9" t="n">
        <v>0</v>
      </c>
      <c r="CY101" s="9" t="n">
        <v>0</v>
      </c>
      <c r="CZ101" s="9" t="n">
        <v>0</v>
      </c>
      <c r="DA101" s="9" t="n">
        <v>0</v>
      </c>
      <c r="DB101" s="11" t="n">
        <f aca="false">(CX101+CY101+CZ101+DA101)/4</f>
        <v>0</v>
      </c>
      <c r="DC101" s="9" t="n">
        <v>1</v>
      </c>
      <c r="DD101" s="9" t="n">
        <v>1</v>
      </c>
      <c r="DE101" s="9" t="n">
        <v>1</v>
      </c>
      <c r="DF101" s="9" t="n">
        <v>1</v>
      </c>
      <c r="DG101" s="11" t="n">
        <f aca="false">(DC101+DD101+DE101+DF101)/4</f>
        <v>1</v>
      </c>
      <c r="DH101" s="9" t="n">
        <v>1</v>
      </c>
      <c r="DI101" s="9" t="n">
        <v>1</v>
      </c>
      <c r="DJ101" s="9" t="n">
        <v>1</v>
      </c>
      <c r="DK101" s="9" t="n">
        <v>1</v>
      </c>
      <c r="DL101" s="11" t="n">
        <f aca="false">(DH101+DI101+DJ101+DK101)/4</f>
        <v>1</v>
      </c>
      <c r="DM101" s="9" t="n">
        <v>106</v>
      </c>
      <c r="DN101" s="9" t="n">
        <v>140</v>
      </c>
      <c r="DO101" s="9" t="n">
        <v>93</v>
      </c>
      <c r="DP101" s="9" t="n">
        <v>2</v>
      </c>
      <c r="DQ101" s="11" t="n">
        <f aca="false">(DM101+DN101+DO101+DP101)/4</f>
        <v>85.25</v>
      </c>
      <c r="DR101" s="9" t="n">
        <v>19</v>
      </c>
      <c r="DS101" s="9" t="n">
        <v>35</v>
      </c>
      <c r="DT101" s="9" t="n">
        <v>42</v>
      </c>
      <c r="DU101" s="9" t="n">
        <v>7</v>
      </c>
      <c r="DV101" s="11" t="n">
        <f aca="false">(DR101+DS101+DT101+DU101)/4</f>
        <v>25.75</v>
      </c>
      <c r="DW101" s="9" t="n">
        <v>0</v>
      </c>
      <c r="DX101" s="9" t="n">
        <v>0</v>
      </c>
      <c r="DY101" s="9" t="n">
        <v>0</v>
      </c>
      <c r="DZ101" s="9" t="n">
        <v>0</v>
      </c>
      <c r="EA101" s="11" t="n">
        <f aca="false">(DW101+DX101+DY101+DZ101)/4</f>
        <v>0</v>
      </c>
      <c r="EB101" s="11" t="n">
        <f aca="false">(DW101/DR101)</f>
        <v>0</v>
      </c>
      <c r="EC101" s="11" t="n">
        <f aca="false">(DX101/DS101)</f>
        <v>0</v>
      </c>
      <c r="ED101" s="11" t="n">
        <f aca="false">(DY101/DT101)</f>
        <v>0</v>
      </c>
      <c r="EE101" s="11" t="n">
        <f aca="false">(DZ101/DU101)</f>
        <v>0</v>
      </c>
      <c r="EF101" s="11" t="n">
        <f aca="false">(EA101/DV101)</f>
        <v>0</v>
      </c>
      <c r="EG101" s="11" t="n">
        <f aca="false">(100*EF101)</f>
        <v>0</v>
      </c>
      <c r="EH101" s="9" t="n">
        <v>0</v>
      </c>
      <c r="EI101" s="9" t="n">
        <v>11</v>
      </c>
      <c r="EJ101" s="9" t="n">
        <v>16</v>
      </c>
      <c r="EK101" s="19" t="n">
        <v>3</v>
      </c>
      <c r="EL101" s="9" t="n">
        <v>2</v>
      </c>
      <c r="EM101" s="9" t="n">
        <f aca="false">(EI101+EJ101+EK101+EL101)/4</f>
        <v>8</v>
      </c>
      <c r="EN101" s="9" t="n">
        <f aca="false">(EI101/DR101)</f>
        <v>0.578947368421053</v>
      </c>
      <c r="EO101" s="9" t="n">
        <f aca="false">(EJ101/DS101)</f>
        <v>0.457142857142857</v>
      </c>
      <c r="EP101" s="9" t="n">
        <f aca="false">(EK101/DT101)</f>
        <v>0.0714285714285714</v>
      </c>
      <c r="EQ101" s="9" t="n">
        <f aca="false">(EL101/DU101)</f>
        <v>0.285714285714286</v>
      </c>
      <c r="ER101" s="9" t="n">
        <f aca="false">EM101/DV101</f>
        <v>0.310679611650485</v>
      </c>
      <c r="ES101" s="9" t="n">
        <f aca="false">(100*ER101)</f>
        <v>31.0679611650485</v>
      </c>
      <c r="ET101" s="9" t="n">
        <v>3</v>
      </c>
      <c r="EU101" s="18" t="n">
        <v>0</v>
      </c>
      <c r="EV101" s="9" t="n">
        <v>2</v>
      </c>
      <c r="EW101" s="9" t="n">
        <v>1</v>
      </c>
      <c r="EX101" s="9" t="n">
        <v>4</v>
      </c>
      <c r="EY101" s="11" t="n">
        <f aca="false">(EU101+EV101+EW101+EX101)/4</f>
        <v>1.75</v>
      </c>
      <c r="EZ101" s="11" t="n">
        <f aca="false">(EU101/DR101)</f>
        <v>0</v>
      </c>
      <c r="FA101" s="11" t="n">
        <f aca="false">(EV101/DS101)</f>
        <v>0.0571428571428571</v>
      </c>
      <c r="FB101" s="11" t="n">
        <f aca="false">(EW101/DT101)</f>
        <v>0.0238095238095238</v>
      </c>
      <c r="FC101" s="11" t="n">
        <f aca="false">(EX101/DU101)</f>
        <v>0.571428571428571</v>
      </c>
      <c r="FD101" s="11" t="n">
        <f aca="false">(EY101/DV101)</f>
        <v>0.0679611650485437</v>
      </c>
      <c r="FE101" s="11" t="n">
        <f aca="false">(100*FD101)</f>
        <v>6.79611650485437</v>
      </c>
      <c r="FF101" s="9" t="n">
        <v>1</v>
      </c>
      <c r="FG101" s="9" t="n">
        <v>25</v>
      </c>
      <c r="FH101" s="9" t="n">
        <v>7</v>
      </c>
      <c r="FI101" s="9" t="n">
        <v>2</v>
      </c>
      <c r="FJ101" s="9" t="n">
        <v>0</v>
      </c>
      <c r="FK101" s="11" t="n">
        <f aca="false">(FG101+FH101+FI101+FJ101)/4</f>
        <v>8.5</v>
      </c>
      <c r="FL101" s="11" t="n">
        <f aca="false">(FG101/DR101)</f>
        <v>1.31578947368421</v>
      </c>
      <c r="FM101" s="11" t="n">
        <f aca="false">(FH101/DS101)</f>
        <v>0.2</v>
      </c>
      <c r="FN101" s="11" t="n">
        <f aca="false">(FI101/DT101)</f>
        <v>0.0476190476190476</v>
      </c>
      <c r="FO101" s="11" t="n">
        <f aca="false">(FJ101/DU101)</f>
        <v>0</v>
      </c>
      <c r="FP101" s="11" t="n">
        <f aca="false">(FK101/DV101)</f>
        <v>0.330097087378641</v>
      </c>
      <c r="FQ101" s="11" t="n">
        <f aca="false">(100*FP101)</f>
        <v>33.0097087378641</v>
      </c>
      <c r="FR101" s="9" t="n">
        <v>3</v>
      </c>
      <c r="FS101" s="9" t="n">
        <v>73.1</v>
      </c>
      <c r="FT101" s="9" t="n">
        <v>70.3</v>
      </c>
      <c r="FU101" s="9" t="n">
        <v>45.2</v>
      </c>
      <c r="FV101" s="9" t="n">
        <v>70.3</v>
      </c>
      <c r="FW101" s="11" t="n">
        <f aca="false">(FS101+FT101+FU101+FV101)/4</f>
        <v>64.725</v>
      </c>
      <c r="FX101" s="9" t="n">
        <v>0</v>
      </c>
      <c r="FY101" s="9" t="n">
        <v>1</v>
      </c>
      <c r="FZ101" s="9" t="n">
        <v>1</v>
      </c>
      <c r="GA101" s="9" t="n">
        <v>0</v>
      </c>
      <c r="GB101" s="11" t="n">
        <f aca="false">(FX101+FY101+FZ101+GA101)/4</f>
        <v>0.5</v>
      </c>
      <c r="GC101" s="9" t="n">
        <v>1</v>
      </c>
      <c r="GD101" s="9" t="n">
        <v>1</v>
      </c>
      <c r="GE101" s="9" t="n">
        <v>1</v>
      </c>
      <c r="GF101" s="9" t="n">
        <v>1</v>
      </c>
      <c r="GG101" s="11" t="n">
        <f aca="false">(GC101+GD101+GE101+GF101)/4</f>
        <v>1</v>
      </c>
      <c r="GH101" s="9" t="n">
        <v>1</v>
      </c>
      <c r="GI101" s="9" t="n">
        <v>0</v>
      </c>
      <c r="GJ101" s="9" t="n">
        <v>1</v>
      </c>
      <c r="GK101" s="9" t="n">
        <v>1</v>
      </c>
      <c r="GL101" s="11" t="n">
        <f aca="false">(GH101+GI101+GJ101+GK101)/4</f>
        <v>0.75</v>
      </c>
      <c r="GM101" s="9" t="n">
        <v>154</v>
      </c>
      <c r="GN101" s="9" t="n">
        <v>10</v>
      </c>
      <c r="GO101" s="9" t="n">
        <v>73</v>
      </c>
      <c r="GP101" s="9" t="n">
        <v>94</v>
      </c>
      <c r="GQ101" s="11" t="n">
        <f aca="false">(GM101+GN101+GO101+GP101)/4</f>
        <v>82.75</v>
      </c>
      <c r="GR101" s="9" t="n">
        <v>7</v>
      </c>
      <c r="GS101" s="9" t="n">
        <v>8</v>
      </c>
      <c r="GT101" s="9" t="n">
        <v>6</v>
      </c>
      <c r="GU101" s="9" t="n">
        <v>6</v>
      </c>
      <c r="GV101" s="11" t="n">
        <f aca="false">(GR101+GS101+GT101+GU101)/4</f>
        <v>6.75</v>
      </c>
      <c r="GW101" s="9" t="n">
        <v>0</v>
      </c>
      <c r="GX101" s="9" t="n">
        <v>4</v>
      </c>
      <c r="GY101" s="9" t="n">
        <v>4</v>
      </c>
      <c r="GZ101" s="9" t="n">
        <v>0</v>
      </c>
      <c r="HA101" s="11" t="n">
        <f aca="false">(GW101+GX101+GY101+GZ101)/4</f>
        <v>2</v>
      </c>
      <c r="HB101" s="9" t="n">
        <f aca="false">(GW101/GR101)</f>
        <v>0</v>
      </c>
      <c r="HC101" s="9" t="n">
        <f aca="false">(GX101/GS101)</f>
        <v>0.5</v>
      </c>
      <c r="HD101" s="9" t="n">
        <f aca="false">(GY101/GT101)</f>
        <v>0.666666666666667</v>
      </c>
      <c r="HE101" s="9" t="n">
        <f aca="false">(GZ101/GU101)/4</f>
        <v>0</v>
      </c>
      <c r="HF101" s="9" t="n">
        <f aca="false">(HB101+HC101+HD101+HE101)/4</f>
        <v>0.291666666666667</v>
      </c>
      <c r="HG101" s="9" t="n">
        <f aca="false">(100*HF101)</f>
        <v>29.1666666666667</v>
      </c>
      <c r="HH101" s="18" t="n">
        <v>3</v>
      </c>
      <c r="HI101" s="9" t="n">
        <v>3</v>
      </c>
      <c r="HJ101" s="9" t="n">
        <v>7</v>
      </c>
      <c r="HK101" s="9" t="n">
        <v>4</v>
      </c>
      <c r="HL101" s="19" t="n">
        <v>4</v>
      </c>
      <c r="HM101" s="9" t="n">
        <f aca="false">(HI101+HJ101+HK101+HL101)/4</f>
        <v>4.5</v>
      </c>
      <c r="HN101" s="9" t="n">
        <f aca="false">(HI101/GR101)</f>
        <v>0.428571428571429</v>
      </c>
      <c r="HO101" s="9" t="n">
        <f aca="false">(HJ101/GS101)</f>
        <v>0.875</v>
      </c>
      <c r="HP101" s="9" t="n">
        <f aca="false">(HK101/GT101)</f>
        <v>0.666666666666667</v>
      </c>
      <c r="HQ101" s="9" t="n">
        <f aca="false">(HL101/GU101)</f>
        <v>0.666666666666667</v>
      </c>
      <c r="HR101" s="9" t="n">
        <f aca="false">(HM101/GV101)</f>
        <v>0.666666666666667</v>
      </c>
      <c r="HS101" s="9" t="n">
        <f aca="false">(100*HR101)</f>
        <v>66.6666666666667</v>
      </c>
      <c r="HT101" s="18" t="n">
        <v>3</v>
      </c>
      <c r="HU101" s="9" t="n">
        <v>0</v>
      </c>
      <c r="HV101" s="9" t="n">
        <v>0</v>
      </c>
      <c r="HW101" s="9" t="n">
        <v>0</v>
      </c>
      <c r="HX101" s="19" t="n">
        <v>0</v>
      </c>
      <c r="HY101" s="9" t="n">
        <f aca="false">(HU101+HV101+HW101+HX101)/4</f>
        <v>0</v>
      </c>
      <c r="HZ101" s="9" t="n">
        <f aca="false">(HU101/GR101)</f>
        <v>0</v>
      </c>
      <c r="IA101" s="9" t="n">
        <f aca="false">HV101/GS101</f>
        <v>0</v>
      </c>
      <c r="IB101" s="9" t="n">
        <f aca="false">(HW101/GT101)</f>
        <v>0</v>
      </c>
      <c r="IC101" s="9" t="n">
        <f aca="false">(HX101/GU101)</f>
        <v>0</v>
      </c>
      <c r="ID101" s="9" t="n">
        <f aca="false">(HY101/GV101)</f>
        <v>0</v>
      </c>
      <c r="IE101" s="9" t="n">
        <f aca="false">(100*ID101)</f>
        <v>0</v>
      </c>
      <c r="IF101" s="18" t="n">
        <v>0</v>
      </c>
      <c r="IG101" s="9" t="n">
        <v>1</v>
      </c>
      <c r="IH101" s="9" t="n">
        <v>0</v>
      </c>
      <c r="II101" s="19" t="n">
        <v>2</v>
      </c>
      <c r="IJ101" s="9" t="n">
        <v>20</v>
      </c>
      <c r="IK101" s="9" t="n">
        <f aca="false">(IG101+IH101+II101+IJ101)/4</f>
        <v>5.75</v>
      </c>
      <c r="IL101" s="9" t="n">
        <f aca="false">(IG101/GM101)</f>
        <v>0.00649350649350649</v>
      </c>
      <c r="IM101" s="9" t="n">
        <f aca="false">(IH101/GN101)</f>
        <v>0</v>
      </c>
      <c r="IN101" s="9" t="n">
        <f aca="false">(II101/GO101)</f>
        <v>0.0273972602739726</v>
      </c>
      <c r="IO101" s="9" t="n">
        <f aca="false">(IJ101/GP101)</f>
        <v>0.212765957446809</v>
      </c>
      <c r="IP101" s="9" t="n">
        <f aca="false">(IK101/GQ101)</f>
        <v>0.0694864048338369</v>
      </c>
      <c r="IQ101" s="9" t="n">
        <f aca="false">(100*IP101)</f>
        <v>6.94864048338369</v>
      </c>
      <c r="IR101" s="18" t="n">
        <v>1</v>
      </c>
      <c r="IS101" s="9" t="n">
        <v>69.2</v>
      </c>
      <c r="IT101" s="9" t="n">
        <v>73.7</v>
      </c>
      <c r="IU101" s="19" t="n">
        <v>73.2</v>
      </c>
      <c r="IV101" s="9" t="n">
        <v>62.4</v>
      </c>
      <c r="IW101" s="9" t="n">
        <f aca="false">(IS101+IT101+IU101+IV101)/4</f>
        <v>69.625</v>
      </c>
      <c r="IX101" s="16" t="n">
        <v>45241</v>
      </c>
      <c r="IY101" s="10" t="s">
        <v>268</v>
      </c>
    </row>
    <row r="102" customFormat="false" ht="15.75" hidden="false" customHeight="true" outlineLevel="0" collapsed="false">
      <c r="A102" s="9" t="s">
        <v>370</v>
      </c>
      <c r="B102" s="10" t="s">
        <v>500</v>
      </c>
      <c r="C102" s="10" t="s">
        <v>400</v>
      </c>
      <c r="D102" s="9" t="n">
        <v>3</v>
      </c>
      <c r="E102" s="9" t="n">
        <v>34</v>
      </c>
      <c r="F102" s="10" t="s">
        <v>505</v>
      </c>
      <c r="G102" s="10" t="s">
        <v>394</v>
      </c>
      <c r="H102" s="9" t="n">
        <v>21</v>
      </c>
      <c r="I102" s="9" t="n">
        <v>11</v>
      </c>
      <c r="J102" s="12" t="s">
        <v>270</v>
      </c>
      <c r="K102" s="20"/>
      <c r="L102" s="20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 t="n">
        <v>0</v>
      </c>
      <c r="Y102" s="9" t="n">
        <v>0</v>
      </c>
      <c r="Z102" s="9" t="n">
        <v>0</v>
      </c>
      <c r="AA102" s="9" t="n">
        <v>0</v>
      </c>
      <c r="AB102" s="11" t="n">
        <f aca="false">(X102+Y102+Z102+AA102)/4</f>
        <v>0</v>
      </c>
      <c r="AC102" s="9" t="n">
        <v>0</v>
      </c>
      <c r="AD102" s="9" t="n">
        <v>0</v>
      </c>
      <c r="AE102" s="9" t="n">
        <v>0</v>
      </c>
      <c r="AF102" s="9" t="n">
        <v>0</v>
      </c>
      <c r="AG102" s="11" t="n">
        <f aca="false">(AC102+AD102+AE102+AF102)/4</f>
        <v>0</v>
      </c>
      <c r="AH102" s="9" t="n">
        <v>0</v>
      </c>
      <c r="AI102" s="9" t="n">
        <v>0</v>
      </c>
      <c r="AJ102" s="9" t="n">
        <v>0</v>
      </c>
      <c r="AK102" s="9" t="n">
        <v>0</v>
      </c>
      <c r="AL102" s="11" t="n">
        <v>0</v>
      </c>
      <c r="AM102" s="9" t="n">
        <v>144</v>
      </c>
      <c r="AN102" s="9" t="n">
        <v>22</v>
      </c>
      <c r="AO102" s="9" t="n">
        <v>103</v>
      </c>
      <c r="AP102" s="9" t="n">
        <v>102</v>
      </c>
      <c r="AQ102" s="11" t="n">
        <f aca="false">(AM102+AN102+AO102+AP102)/4</f>
        <v>92.75</v>
      </c>
      <c r="AR102" s="9" t="n">
        <v>20</v>
      </c>
      <c r="AS102" s="9" t="n">
        <v>20</v>
      </c>
      <c r="AT102" s="9" t="n">
        <v>15</v>
      </c>
      <c r="AU102" s="9" t="n">
        <v>7</v>
      </c>
      <c r="AV102" s="11" t="n">
        <f aca="false">(AR102+AS102+AT102+AU102)/4</f>
        <v>15.5</v>
      </c>
      <c r="AW102" s="9" t="n">
        <v>0</v>
      </c>
      <c r="AX102" s="9" t="n">
        <v>0</v>
      </c>
      <c r="AY102" s="9" t="n">
        <v>0</v>
      </c>
      <c r="AZ102" s="9" t="n">
        <v>0</v>
      </c>
      <c r="BA102" s="11" t="n">
        <f aca="false">(AW102+AX102+AY102+AZ102)/4</f>
        <v>0</v>
      </c>
      <c r="BB102" s="11" t="n">
        <f aca="false">(AW102/AR102)</f>
        <v>0</v>
      </c>
      <c r="BC102" s="11" t="n">
        <f aca="false">(AX102/AS102)</f>
        <v>0</v>
      </c>
      <c r="BD102" s="11" t="n">
        <f aca="false">(AY102/AT102)</f>
        <v>0</v>
      </c>
      <c r="BE102" s="11" t="n">
        <f aca="false">(AZ102/AU102)</f>
        <v>0</v>
      </c>
      <c r="BF102" s="11" t="n">
        <f aca="false">(BA102/AV102)</f>
        <v>0</v>
      </c>
      <c r="BG102" s="11" t="n">
        <f aca="false">(BF102*100)</f>
        <v>0</v>
      </c>
      <c r="BH102" s="9" t="n">
        <v>0</v>
      </c>
      <c r="BI102" s="9" t="n">
        <v>8</v>
      </c>
      <c r="BJ102" s="9" t="n">
        <v>7</v>
      </c>
      <c r="BK102" s="9" t="n">
        <v>8</v>
      </c>
      <c r="BL102" s="9" t="n">
        <v>3</v>
      </c>
      <c r="BM102" s="11" t="n">
        <f aca="false">(BI102+BJ102+BK102+BL102)/4</f>
        <v>6.5</v>
      </c>
      <c r="BN102" s="11" t="n">
        <f aca="false">(BI102/AR102)</f>
        <v>0.4</v>
      </c>
      <c r="BO102" s="11" t="n">
        <f aca="false">(BJ102/AS102)</f>
        <v>0.35</v>
      </c>
      <c r="BP102" s="11" t="n">
        <f aca="false">(BK102/AT102)</f>
        <v>0.533333333333333</v>
      </c>
      <c r="BQ102" s="11" t="n">
        <f aca="false">(BL102/AU102)</f>
        <v>0.428571428571429</v>
      </c>
      <c r="BR102" s="11" t="n">
        <f aca="false">(BM102/AV102)</f>
        <v>0.419354838709677</v>
      </c>
      <c r="BS102" s="11" t="n">
        <f aca="false">(100*BR102)</f>
        <v>41.9354838709677</v>
      </c>
      <c r="BT102" s="9" t="n">
        <v>3</v>
      </c>
      <c r="BU102" s="11" t="n">
        <v>0</v>
      </c>
      <c r="BV102" s="11" t="n">
        <v>1</v>
      </c>
      <c r="BW102" s="11" t="n">
        <v>0</v>
      </c>
      <c r="BX102" s="11" t="n">
        <v>0</v>
      </c>
      <c r="BY102" s="11" t="n">
        <f aca="false">(BU102+BV102+BW102+BX102)/4</f>
        <v>0.25</v>
      </c>
      <c r="BZ102" s="11" t="n">
        <f aca="false">(BU102/AR102)</f>
        <v>0</v>
      </c>
      <c r="CA102" s="11" t="n">
        <f aca="false">(BV102/AS102)</f>
        <v>0.05</v>
      </c>
      <c r="CB102" s="11" t="n">
        <f aca="false">(BW102/AT102)</f>
        <v>0</v>
      </c>
      <c r="CC102" s="11" t="n">
        <f aca="false">(BX102/AU102)</f>
        <v>0</v>
      </c>
      <c r="CD102" s="11" t="n">
        <f aca="false">(BY102/AV102)</f>
        <v>0.0161290322580645</v>
      </c>
      <c r="CE102" s="11" t="n">
        <f aca="false">(100*CD102)</f>
        <v>1.61290322580645</v>
      </c>
      <c r="CF102" s="9" t="n">
        <v>1</v>
      </c>
      <c r="CG102" s="9" t="n">
        <v>28</v>
      </c>
      <c r="CH102" s="9" t="n">
        <v>2</v>
      </c>
      <c r="CI102" s="9" t="n">
        <v>20</v>
      </c>
      <c r="CJ102" s="9" t="n">
        <v>8</v>
      </c>
      <c r="CK102" s="11" t="n">
        <f aca="false">(CG102+CH102+CI102+CJ102)/4</f>
        <v>14.5</v>
      </c>
      <c r="CL102" s="11" t="n">
        <f aca="false">(CG102/AM102)</f>
        <v>0.194444444444444</v>
      </c>
      <c r="CM102" s="11" t="n">
        <f aca="false">(CH102/AN102)</f>
        <v>0.0909090909090909</v>
      </c>
      <c r="CN102" s="11" t="n">
        <f aca="false">(CI102/AO102)</f>
        <v>0.194174757281553</v>
      </c>
      <c r="CO102" s="9" t="n">
        <f aca="false">(CJ102/AP102)</f>
        <v>0.0784313725490196</v>
      </c>
      <c r="CP102" s="9" t="n">
        <f aca="false">(CK102/AQ102)</f>
        <v>0.15633423180593</v>
      </c>
      <c r="CQ102" s="9" t="n">
        <f aca="false">(100*CP102)</f>
        <v>15.633423180593</v>
      </c>
      <c r="CR102" s="18" t="n">
        <v>2</v>
      </c>
      <c r="CS102" s="9" t="n">
        <v>49.2</v>
      </c>
      <c r="CT102" s="9" t="n">
        <v>72.1</v>
      </c>
      <c r="CU102" s="9" t="n">
        <v>50.8</v>
      </c>
      <c r="CV102" s="9" t="n">
        <v>54.2</v>
      </c>
      <c r="CW102" s="11" t="n">
        <f aca="false">(CS102+CT102+CU102+CV102)/4</f>
        <v>56.575</v>
      </c>
      <c r="CX102" s="9" t="n">
        <v>0</v>
      </c>
      <c r="CY102" s="9" t="n">
        <v>0</v>
      </c>
      <c r="CZ102" s="9" t="n">
        <v>0</v>
      </c>
      <c r="DA102" s="9" t="n">
        <v>0</v>
      </c>
      <c r="DB102" s="11" t="n">
        <v>0</v>
      </c>
      <c r="DC102" s="9" t="n">
        <v>0</v>
      </c>
      <c r="DD102" s="9" t="n">
        <v>0</v>
      </c>
      <c r="DE102" s="9" t="n">
        <v>0</v>
      </c>
      <c r="DF102" s="9" t="n">
        <v>0</v>
      </c>
      <c r="DG102" s="11" t="n">
        <v>0</v>
      </c>
      <c r="DH102" s="9" t="n">
        <v>0</v>
      </c>
      <c r="DI102" s="9" t="n">
        <v>0</v>
      </c>
      <c r="DJ102" s="9" t="n">
        <v>0</v>
      </c>
      <c r="DK102" s="9" t="n">
        <v>0</v>
      </c>
      <c r="DL102" s="11" t="n">
        <v>0</v>
      </c>
      <c r="DM102" s="9" t="n">
        <v>0</v>
      </c>
      <c r="DN102" s="9" t="n">
        <v>0</v>
      </c>
      <c r="DO102" s="9" t="n">
        <v>0</v>
      </c>
      <c r="DP102" s="9" t="n">
        <v>0</v>
      </c>
      <c r="DQ102" s="11" t="n">
        <v>0</v>
      </c>
      <c r="DR102" s="9" t="n">
        <v>0</v>
      </c>
      <c r="DS102" s="9" t="n">
        <v>0</v>
      </c>
      <c r="DT102" s="9" t="n">
        <v>0</v>
      </c>
      <c r="DU102" s="9" t="n">
        <v>0</v>
      </c>
      <c r="DV102" s="11" t="n">
        <v>0</v>
      </c>
      <c r="DW102" s="9" t="n">
        <v>0</v>
      </c>
      <c r="DX102" s="9" t="n">
        <v>0</v>
      </c>
      <c r="DY102" s="9" t="n">
        <v>0</v>
      </c>
      <c r="DZ102" s="9" t="n">
        <v>0</v>
      </c>
      <c r="EA102" s="11" t="n">
        <v>0</v>
      </c>
      <c r="EB102" s="11" t="n">
        <v>0</v>
      </c>
      <c r="EC102" s="11" t="n">
        <v>0</v>
      </c>
      <c r="ED102" s="11" t="n">
        <v>0</v>
      </c>
      <c r="EE102" s="11" t="n">
        <v>0</v>
      </c>
      <c r="EF102" s="11" t="n">
        <v>0</v>
      </c>
      <c r="EG102" s="11" t="n">
        <v>0</v>
      </c>
      <c r="EH102" s="9" t="n">
        <v>0</v>
      </c>
      <c r="EI102" s="9" t="n">
        <v>0</v>
      </c>
      <c r="EJ102" s="9" t="n">
        <v>2</v>
      </c>
      <c r="EK102" s="19" t="n">
        <v>1</v>
      </c>
      <c r="EL102" s="9" t="n">
        <v>7</v>
      </c>
      <c r="EM102" s="9" t="n">
        <f aca="false">(EI102+EJ102+EK102+EL102)/4</f>
        <v>2.5</v>
      </c>
      <c r="EN102" s="9" t="e">
        <f aca="false">(EI102/DR102)</f>
        <v>#DIV/0!</v>
      </c>
      <c r="EO102" s="9" t="e">
        <f aca="false">(EJ102/DS102)</f>
        <v>#DIV/0!</v>
      </c>
      <c r="EP102" s="9" t="e">
        <f aca="false">(EK102/DT102)</f>
        <v>#DIV/0!</v>
      </c>
      <c r="EQ102" s="9" t="e">
        <f aca="false">(EL102/DU102)</f>
        <v>#DIV/0!</v>
      </c>
      <c r="ER102" s="9" t="e">
        <f aca="false">EM102/DV102</f>
        <v>#DIV/0!</v>
      </c>
      <c r="ES102" s="9" t="e">
        <f aca="false">(100*ER102)</f>
        <v>#DIV/0!</v>
      </c>
      <c r="ET102" s="9"/>
      <c r="EU102" s="18" t="n">
        <v>0</v>
      </c>
      <c r="EV102" s="9" t="n">
        <v>2</v>
      </c>
      <c r="EW102" s="9" t="n">
        <v>2</v>
      </c>
      <c r="EX102" s="9" t="n">
        <v>3</v>
      </c>
      <c r="EY102" s="11" t="n">
        <f aca="false">(EU102+EV102+EW102+EX102)/4</f>
        <v>1.75</v>
      </c>
      <c r="EZ102" s="11" t="e">
        <f aca="false">(EU102/DR102)</f>
        <v>#DIV/0!</v>
      </c>
      <c r="FA102" s="11" t="e">
        <f aca="false">(EV102/DS102)</f>
        <v>#DIV/0!</v>
      </c>
      <c r="FB102" s="11" t="e">
        <f aca="false">(EW102/DT102)</f>
        <v>#DIV/0!</v>
      </c>
      <c r="FC102" s="11" t="e">
        <f aca="false">(EX102/DU102)</f>
        <v>#DIV/0!</v>
      </c>
      <c r="FD102" s="11" t="e">
        <f aca="false">(EY102/DV102)</f>
        <v>#DIV/0!</v>
      </c>
      <c r="FE102" s="11" t="e">
        <f aca="false">(100*FD102)</f>
        <v>#DIV/0!</v>
      </c>
      <c r="FF102" s="9"/>
      <c r="FG102" s="9" t="n">
        <v>21</v>
      </c>
      <c r="FH102" s="9" t="n">
        <v>4</v>
      </c>
      <c r="FI102" s="9" t="n">
        <v>2</v>
      </c>
      <c r="FJ102" s="9" t="n">
        <v>1</v>
      </c>
      <c r="FK102" s="11" t="n">
        <f aca="false">(FG102+FH102+FI102+FJ102)/4</f>
        <v>7</v>
      </c>
      <c r="FL102" s="11" t="e">
        <f aca="false">(FG102/DR102)</f>
        <v>#DIV/0!</v>
      </c>
      <c r="FM102" s="11" t="e">
        <f aca="false">(FH102/DS102)</f>
        <v>#DIV/0!</v>
      </c>
      <c r="FN102" s="11" t="e">
        <f aca="false">(FI102/DT102)</f>
        <v>#DIV/0!</v>
      </c>
      <c r="FO102" s="11" t="e">
        <f aca="false">(FJ102/DU102)</f>
        <v>#DIV/0!</v>
      </c>
      <c r="FP102" s="11" t="e">
        <f aca="false">(FK102/DV102)</f>
        <v>#DIV/0!</v>
      </c>
      <c r="FQ102" s="11" t="e">
        <f aca="false">(100*FP102)</f>
        <v>#DIV/0!</v>
      </c>
      <c r="FR102" s="9"/>
      <c r="FS102" s="9" t="n">
        <v>62.7</v>
      </c>
      <c r="FT102" s="9" t="n">
        <v>61.8</v>
      </c>
      <c r="FU102" s="9" t="n">
        <v>62.6</v>
      </c>
      <c r="FV102" s="9" t="n">
        <v>63.1</v>
      </c>
      <c r="FW102" s="11" t="n">
        <f aca="false">(FS102+FT102+FU102+FV102)/4</f>
        <v>62.55</v>
      </c>
      <c r="FX102" s="9" t="n">
        <v>0</v>
      </c>
      <c r="FY102" s="9" t="n">
        <v>0</v>
      </c>
      <c r="FZ102" s="9" t="n">
        <v>0</v>
      </c>
      <c r="GA102" s="9" t="n">
        <v>0</v>
      </c>
      <c r="GB102" s="11" t="n">
        <v>0</v>
      </c>
      <c r="GC102" s="9" t="n">
        <v>1</v>
      </c>
      <c r="GD102" s="9" t="n">
        <v>1</v>
      </c>
      <c r="GE102" s="9" t="n">
        <v>1</v>
      </c>
      <c r="GF102" s="9" t="n">
        <v>1</v>
      </c>
      <c r="GG102" s="11" t="n">
        <f aca="false">(GC102+GD102+GE102+GF102)/4</f>
        <v>1</v>
      </c>
      <c r="GH102" s="9" t="n">
        <v>1</v>
      </c>
      <c r="GI102" s="9" t="n">
        <v>1</v>
      </c>
      <c r="GJ102" s="9" t="n">
        <v>1</v>
      </c>
      <c r="GK102" s="9" t="n">
        <v>1</v>
      </c>
      <c r="GL102" s="11" t="n">
        <f aca="false">(GH102+GI102+GJ102+GK102)/4</f>
        <v>1</v>
      </c>
      <c r="GM102" s="9" t="n">
        <v>60</v>
      </c>
      <c r="GN102" s="9" t="n">
        <v>82</v>
      </c>
      <c r="GO102" s="9" t="n">
        <v>70</v>
      </c>
      <c r="GP102" s="9" t="n">
        <v>25</v>
      </c>
      <c r="GQ102" s="11" t="n">
        <f aca="false">(GM102+GN102+GO102+GP102)/4</f>
        <v>59.25</v>
      </c>
      <c r="GR102" s="9" t="n">
        <v>20</v>
      </c>
      <c r="GS102" s="9" t="n">
        <v>6</v>
      </c>
      <c r="GT102" s="9" t="n">
        <v>12</v>
      </c>
      <c r="GU102" s="9" t="n">
        <v>13</v>
      </c>
      <c r="GV102" s="11" t="n">
        <f aca="false">(GR102+GS102+GT102+GU102)/4</f>
        <v>12.75</v>
      </c>
      <c r="GW102" s="9" t="n">
        <v>0</v>
      </c>
      <c r="GX102" s="9" t="n">
        <v>0</v>
      </c>
      <c r="GY102" s="9" t="n">
        <v>0</v>
      </c>
      <c r="GZ102" s="9" t="n">
        <v>0</v>
      </c>
      <c r="HA102" s="11" t="n">
        <f aca="false">(GW102+GX102+GY102+GZ102)/4</f>
        <v>0</v>
      </c>
      <c r="HB102" s="9" t="n">
        <f aca="false">(GW102/GR102)</f>
        <v>0</v>
      </c>
      <c r="HC102" s="9" t="n">
        <f aca="false">(GX102/GS102)</f>
        <v>0</v>
      </c>
      <c r="HD102" s="9" t="n">
        <f aca="false">(GY102/GT102)</f>
        <v>0</v>
      </c>
      <c r="HE102" s="9" t="n">
        <f aca="false">(GZ102/GU102)/4</f>
        <v>0</v>
      </c>
      <c r="HF102" s="9" t="n">
        <f aca="false">(HB102+HC102+HD102+HE102)/4</f>
        <v>0</v>
      </c>
      <c r="HG102" s="9" t="n">
        <f aca="false">(100*HF102)</f>
        <v>0</v>
      </c>
      <c r="HH102" s="18" t="n">
        <v>0</v>
      </c>
      <c r="HI102" s="9" t="n">
        <v>2</v>
      </c>
      <c r="HJ102" s="9" t="n">
        <v>4</v>
      </c>
      <c r="HK102" s="9" t="n">
        <v>4</v>
      </c>
      <c r="HL102" s="19" t="n">
        <v>3</v>
      </c>
      <c r="HM102" s="9" t="n">
        <f aca="false">(HI102+HJ102+HK102+HL102)/4</f>
        <v>3.25</v>
      </c>
      <c r="HN102" s="9" t="n">
        <f aca="false">(HI102/GR102)</f>
        <v>0.1</v>
      </c>
      <c r="HO102" s="9" t="n">
        <f aca="false">(HJ102/GS102)</f>
        <v>0.666666666666667</v>
      </c>
      <c r="HP102" s="9" t="n">
        <f aca="false">(HK102/GT102)</f>
        <v>0.333333333333333</v>
      </c>
      <c r="HQ102" s="9" t="n">
        <f aca="false">(HL102/GU102)</f>
        <v>0.230769230769231</v>
      </c>
      <c r="HR102" s="9" t="n">
        <f aca="false">(HM102/GV102)</f>
        <v>0.254901960784314</v>
      </c>
      <c r="HS102" s="9" t="n">
        <f aca="false">(100*HR102)</f>
        <v>25.4901960784314</v>
      </c>
      <c r="HT102" s="18" t="n">
        <v>3</v>
      </c>
      <c r="HU102" s="9" t="n">
        <v>4</v>
      </c>
      <c r="HV102" s="9" t="n">
        <v>6</v>
      </c>
      <c r="HW102" s="9" t="n">
        <v>3</v>
      </c>
      <c r="HX102" s="19" t="n">
        <v>3</v>
      </c>
      <c r="HY102" s="9" t="n">
        <f aca="false">(HU102+HV102+HW102+HX102)/4</f>
        <v>4</v>
      </c>
      <c r="HZ102" s="9" t="n">
        <f aca="false">(HU102/GR102)</f>
        <v>0.2</v>
      </c>
      <c r="IA102" s="9" t="n">
        <f aca="false">HV102/GS102</f>
        <v>1</v>
      </c>
      <c r="IB102" s="9" t="n">
        <f aca="false">(HW102/GT102)</f>
        <v>0.25</v>
      </c>
      <c r="IC102" s="9" t="n">
        <f aca="false">(HX102/GU102)</f>
        <v>0.230769230769231</v>
      </c>
      <c r="ID102" s="9" t="n">
        <f aca="false">(HY102/GV102)</f>
        <v>0.313725490196078</v>
      </c>
      <c r="IE102" s="9" t="n">
        <f aca="false">(100*ID102)</f>
        <v>31.3725490196078</v>
      </c>
      <c r="IF102" s="18" t="n">
        <v>3</v>
      </c>
      <c r="IG102" s="9" t="n">
        <v>0</v>
      </c>
      <c r="IH102" s="9" t="n">
        <v>11</v>
      </c>
      <c r="II102" s="19" t="n">
        <v>7</v>
      </c>
      <c r="IJ102" s="9" t="n">
        <v>16</v>
      </c>
      <c r="IK102" s="9" t="n">
        <f aca="false">(IG102+IH102+II102+IJ102)/4</f>
        <v>8.5</v>
      </c>
      <c r="IL102" s="9" t="n">
        <f aca="false">(IG102/GM102)</f>
        <v>0</v>
      </c>
      <c r="IM102" s="9" t="n">
        <f aca="false">(IH102/GN102)</f>
        <v>0.134146341463415</v>
      </c>
      <c r="IN102" s="9" t="n">
        <f aca="false">(II102/GO102)</f>
        <v>0.1</v>
      </c>
      <c r="IO102" s="9" t="n">
        <f aca="false">(IJ102/GP102)</f>
        <v>0.64</v>
      </c>
      <c r="IP102" s="9" t="n">
        <f aca="false">(IK102/GQ102)</f>
        <v>0.143459915611814</v>
      </c>
      <c r="IQ102" s="9" t="n">
        <f aca="false">(100*IP102)</f>
        <v>14.3459915611814</v>
      </c>
      <c r="IR102" s="18" t="n">
        <v>2</v>
      </c>
      <c r="IS102" s="9" t="n">
        <v>48.2</v>
      </c>
      <c r="IT102" s="9" t="n">
        <v>49.1</v>
      </c>
      <c r="IU102" s="19" t="n">
        <v>52.3</v>
      </c>
      <c r="IV102" s="9" t="n">
        <v>55.4</v>
      </c>
      <c r="IW102" s="9" t="n">
        <f aca="false">(IS102+IT102+IU102+IV102)/4</f>
        <v>51.25</v>
      </c>
      <c r="IX102" s="16" t="n">
        <v>45241</v>
      </c>
      <c r="IY102" s="10" t="s">
        <v>268</v>
      </c>
    </row>
    <row r="103" customFormat="false" ht="15.75" hidden="false" customHeight="true" outlineLevel="0" collapsed="false">
      <c r="A103" s="9" t="s">
        <v>370</v>
      </c>
      <c r="B103" s="10" t="s">
        <v>500</v>
      </c>
      <c r="C103" s="10" t="s">
        <v>400</v>
      </c>
      <c r="D103" s="9" t="n">
        <v>3</v>
      </c>
      <c r="E103" s="9" t="n">
        <v>34</v>
      </c>
      <c r="F103" s="10" t="s">
        <v>506</v>
      </c>
      <c r="G103" s="10" t="s">
        <v>291</v>
      </c>
      <c r="H103" s="9" t="n">
        <v>21</v>
      </c>
      <c r="I103" s="9" t="n">
        <v>20</v>
      </c>
      <c r="J103" s="10" t="s">
        <v>272</v>
      </c>
      <c r="K103" s="20"/>
      <c r="L103" s="20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 t="n">
        <v>0</v>
      </c>
      <c r="Y103" s="9" t="n">
        <v>0</v>
      </c>
      <c r="Z103" s="9" t="n">
        <v>0</v>
      </c>
      <c r="AA103" s="9" t="n">
        <v>0</v>
      </c>
      <c r="AB103" s="11" t="n">
        <f aca="false">(X103+Y103+Z103+AA103)/4</f>
        <v>0</v>
      </c>
      <c r="AC103" s="9" t="n">
        <v>1</v>
      </c>
      <c r="AD103" s="9" t="n">
        <v>1</v>
      </c>
      <c r="AE103" s="9" t="n">
        <v>1</v>
      </c>
      <c r="AF103" s="9" t="n">
        <v>1</v>
      </c>
      <c r="AG103" s="11" t="n">
        <f aca="false">(AC103+AD103+AE103+AF103)/4</f>
        <v>1</v>
      </c>
      <c r="AH103" s="9" t="n">
        <v>1</v>
      </c>
      <c r="AI103" s="9" t="n">
        <v>1</v>
      </c>
      <c r="AJ103" s="9" t="n">
        <v>1</v>
      </c>
      <c r="AK103" s="9" t="n">
        <v>1</v>
      </c>
      <c r="AL103" s="11" t="n">
        <f aca="false">(AH103+AI103+AJ103+AK103)/4</f>
        <v>1</v>
      </c>
      <c r="AM103" s="9" t="n">
        <v>7</v>
      </c>
      <c r="AN103" s="9" t="n">
        <v>75</v>
      </c>
      <c r="AO103" s="9" t="n">
        <v>68</v>
      </c>
      <c r="AP103" s="9" t="n">
        <v>68</v>
      </c>
      <c r="AQ103" s="11" t="n">
        <f aca="false">(AM103+AN103+AO103+AP103)/4</f>
        <v>54.5</v>
      </c>
      <c r="AR103" s="9" t="n">
        <v>56</v>
      </c>
      <c r="AS103" s="9" t="n">
        <v>31</v>
      </c>
      <c r="AT103" s="9" t="n">
        <v>11</v>
      </c>
      <c r="AU103" s="9" t="n">
        <v>8</v>
      </c>
      <c r="AV103" s="11" t="n">
        <f aca="false">(AR103+AS103+AT103+AU103)/4</f>
        <v>26.5</v>
      </c>
      <c r="AW103" s="9" t="n">
        <v>0</v>
      </c>
      <c r="AX103" s="9" t="n">
        <v>0</v>
      </c>
      <c r="AY103" s="9" t="n">
        <v>0</v>
      </c>
      <c r="AZ103" s="9" t="n">
        <v>0</v>
      </c>
      <c r="BA103" s="11" t="n">
        <f aca="false">(AW103+AX103+AY103+AZ103)/4</f>
        <v>0</v>
      </c>
      <c r="BB103" s="11" t="n">
        <f aca="false">(AW103/AR103)</f>
        <v>0</v>
      </c>
      <c r="BC103" s="11" t="n">
        <f aca="false">(AX103/AS103)</f>
        <v>0</v>
      </c>
      <c r="BD103" s="11" t="n">
        <f aca="false">(AY103/AT103)</f>
        <v>0</v>
      </c>
      <c r="BE103" s="11" t="n">
        <f aca="false">(AZ103/AU103)</f>
        <v>0</v>
      </c>
      <c r="BF103" s="11" t="n">
        <f aca="false">(BA103/AV103)</f>
        <v>0</v>
      </c>
      <c r="BG103" s="11" t="n">
        <f aca="false">(BF103*100)</f>
        <v>0</v>
      </c>
      <c r="BH103" s="9" t="n">
        <v>0</v>
      </c>
      <c r="BI103" s="9" t="n">
        <v>1</v>
      </c>
      <c r="BJ103" s="9" t="n">
        <v>2</v>
      </c>
      <c r="BK103" s="9" t="n">
        <v>4</v>
      </c>
      <c r="BL103" s="9" t="n">
        <v>2</v>
      </c>
      <c r="BM103" s="11" t="n">
        <f aca="false">(BI103+BJ103+BK103+BL103)/4</f>
        <v>2.25</v>
      </c>
      <c r="BN103" s="11" t="n">
        <f aca="false">(BI103/AR103)</f>
        <v>0.0178571428571429</v>
      </c>
      <c r="BO103" s="11" t="n">
        <f aca="false">(BJ103/AS103)</f>
        <v>0.0645161290322581</v>
      </c>
      <c r="BP103" s="11" t="n">
        <f aca="false">(BK103/AT103)</f>
        <v>0.363636363636364</v>
      </c>
      <c r="BQ103" s="11" t="n">
        <f aca="false">(BL103/AU103)</f>
        <v>0.25</v>
      </c>
      <c r="BR103" s="11" t="n">
        <f aca="false">(BM103/AV103)</f>
        <v>0.0849056603773585</v>
      </c>
      <c r="BS103" s="11" t="n">
        <f aca="false">(100*BR103)</f>
        <v>8.49056603773585</v>
      </c>
      <c r="BT103" s="9" t="n">
        <v>2</v>
      </c>
      <c r="BU103" s="9" t="n">
        <v>0</v>
      </c>
      <c r="BV103" s="9" t="n">
        <v>0</v>
      </c>
      <c r="BW103" s="9" t="n">
        <v>0</v>
      </c>
      <c r="BX103" s="9" t="n">
        <v>0</v>
      </c>
      <c r="BY103" s="11" t="n">
        <f aca="false">(BU103+BV103+BW103+BX103)/4</f>
        <v>0</v>
      </c>
      <c r="BZ103" s="11" t="n">
        <f aca="false">(BU103/AR103)</f>
        <v>0</v>
      </c>
      <c r="CA103" s="11" t="n">
        <f aca="false">(BV103/AS103)</f>
        <v>0</v>
      </c>
      <c r="CB103" s="11" t="n">
        <f aca="false">(BW103/AT103)</f>
        <v>0</v>
      </c>
      <c r="CC103" s="11" t="n">
        <f aca="false">(BX103/AU103)</f>
        <v>0</v>
      </c>
      <c r="CD103" s="11" t="n">
        <f aca="false">(BY103/AV103)</f>
        <v>0</v>
      </c>
      <c r="CE103" s="11" t="n">
        <f aca="false">(100*CD103)</f>
        <v>0</v>
      </c>
      <c r="CF103" s="9" t="n">
        <v>0</v>
      </c>
      <c r="CG103" s="9" t="n">
        <v>1</v>
      </c>
      <c r="CH103" s="9" t="n">
        <v>2</v>
      </c>
      <c r="CI103" s="9" t="n">
        <v>4</v>
      </c>
      <c r="CJ103" s="9" t="n">
        <v>2</v>
      </c>
      <c r="CK103" s="11" t="n">
        <f aca="false">(CG103+CH103+CI103+CJ103)/4</f>
        <v>2.25</v>
      </c>
      <c r="CL103" s="11" t="n">
        <f aca="false">(CG103/AM103)</f>
        <v>0.142857142857143</v>
      </c>
      <c r="CM103" s="11" t="n">
        <f aca="false">(CH103/AN103)</f>
        <v>0.0266666666666667</v>
      </c>
      <c r="CN103" s="11" t="n">
        <f aca="false">(CI103/AO103)</f>
        <v>0.0588235294117647</v>
      </c>
      <c r="CO103" s="9" t="n">
        <f aca="false">(CJ103/AP103)</f>
        <v>0.0294117647058824</v>
      </c>
      <c r="CP103" s="9" t="n">
        <f aca="false">(CK103/AQ103)</f>
        <v>0.0412844036697248</v>
      </c>
      <c r="CQ103" s="9" t="n">
        <f aca="false">(100*CP103)</f>
        <v>4.12844036697248</v>
      </c>
      <c r="CR103" s="18" t="n">
        <v>1</v>
      </c>
      <c r="CS103" s="9" t="n">
        <v>68</v>
      </c>
      <c r="CT103" s="9" t="n">
        <v>64.4</v>
      </c>
      <c r="CU103" s="9" t="n">
        <v>57.6</v>
      </c>
      <c r="CV103" s="9" t="n">
        <v>51</v>
      </c>
      <c r="CW103" s="11" t="n">
        <f aca="false">(CS103+CT103+CU103+CV103)/4</f>
        <v>60.25</v>
      </c>
      <c r="CX103" s="9" t="n">
        <v>1</v>
      </c>
      <c r="CY103" s="9" t="n">
        <v>1</v>
      </c>
      <c r="CZ103" s="9" t="n">
        <v>0</v>
      </c>
      <c r="DA103" s="9" t="n">
        <v>0</v>
      </c>
      <c r="DB103" s="11" t="n">
        <f aca="false">(CX103+CY103+CZ103+DA103)/4</f>
        <v>0.5</v>
      </c>
      <c r="DC103" s="9" t="n">
        <v>1</v>
      </c>
      <c r="DD103" s="9" t="n">
        <v>1</v>
      </c>
      <c r="DE103" s="9" t="n">
        <v>1</v>
      </c>
      <c r="DF103" s="9" t="n">
        <v>1</v>
      </c>
      <c r="DG103" s="11" t="n">
        <f aca="false">(DC103+DD103+DE103+DF103)/4</f>
        <v>1</v>
      </c>
      <c r="DH103" s="9" t="n">
        <v>1</v>
      </c>
      <c r="DI103" s="9" t="n">
        <v>1</v>
      </c>
      <c r="DJ103" s="9" t="n">
        <v>1</v>
      </c>
      <c r="DK103" s="9" t="n">
        <v>1</v>
      </c>
      <c r="DL103" s="11" t="n">
        <f aca="false">(DH103+DI103+DJ103+DK103)/4</f>
        <v>1</v>
      </c>
      <c r="DM103" s="9" t="n">
        <v>95</v>
      </c>
      <c r="DN103" s="9" t="n">
        <v>25</v>
      </c>
      <c r="DO103" s="9" t="n">
        <v>42</v>
      </c>
      <c r="DP103" s="9" t="n">
        <v>67</v>
      </c>
      <c r="DQ103" s="11" t="n">
        <f aca="false">(DM103+DN103+DO103+DP103)/4</f>
        <v>57.25</v>
      </c>
      <c r="DR103" s="9" t="n">
        <v>23</v>
      </c>
      <c r="DS103" s="9" t="n">
        <v>71</v>
      </c>
      <c r="DT103" s="9" t="n">
        <v>9</v>
      </c>
      <c r="DU103" s="9" t="n">
        <v>14</v>
      </c>
      <c r="DV103" s="11" t="n">
        <f aca="false">(DR103+DS103+DT103+DU103)/4</f>
        <v>29.25</v>
      </c>
      <c r="DW103" s="9" t="n">
        <v>2</v>
      </c>
      <c r="DX103" s="9" t="n">
        <v>1</v>
      </c>
      <c r="DY103" s="9" t="n">
        <v>0</v>
      </c>
      <c r="DZ103" s="9" t="n">
        <v>0</v>
      </c>
      <c r="EA103" s="11" t="n">
        <f aca="false">(DW103+DX103+DY103+DZ103)/4</f>
        <v>0.75</v>
      </c>
      <c r="EB103" s="11" t="n">
        <f aca="false">(DW103/DR103)</f>
        <v>0.0869565217391304</v>
      </c>
      <c r="EC103" s="11" t="n">
        <f aca="false">(DX103/DS103)</f>
        <v>0.0140845070422535</v>
      </c>
      <c r="ED103" s="11" t="n">
        <f aca="false">(DY103/DT103)</f>
        <v>0</v>
      </c>
      <c r="EE103" s="11" t="n">
        <f aca="false">(DZ103/DU103)</f>
        <v>0</v>
      </c>
      <c r="EF103" s="11" t="n">
        <f aca="false">(EA103/DV103)</f>
        <v>0.0256410256410256</v>
      </c>
      <c r="EG103" s="11" t="n">
        <f aca="false">(100*EF103)</f>
        <v>2.56410256410256</v>
      </c>
      <c r="EH103" s="9" t="n">
        <v>1</v>
      </c>
      <c r="EI103" s="9" t="n">
        <v>7</v>
      </c>
      <c r="EJ103" s="9" t="n">
        <v>8</v>
      </c>
      <c r="EK103" s="19" t="n">
        <v>2</v>
      </c>
      <c r="EL103" s="9" t="n">
        <v>2</v>
      </c>
      <c r="EM103" s="9" t="n">
        <f aca="false">(EI103+EJ103+EK103+EL103)/4</f>
        <v>4.75</v>
      </c>
      <c r="EN103" s="9" t="n">
        <f aca="false">(EI103/DR103)</f>
        <v>0.304347826086957</v>
      </c>
      <c r="EO103" s="9" t="n">
        <f aca="false">(EJ103/DS103)</f>
        <v>0.112676056338028</v>
      </c>
      <c r="EP103" s="9" t="n">
        <f aca="false">(EK103/DT103)</f>
        <v>0.222222222222222</v>
      </c>
      <c r="EQ103" s="9" t="n">
        <f aca="false">(EL103/DU103)</f>
        <v>0.142857142857143</v>
      </c>
      <c r="ER103" s="9" t="n">
        <f aca="false">EM103/DV103</f>
        <v>0.162393162393162</v>
      </c>
      <c r="ES103" s="9" t="n">
        <f aca="false">(100*ER103)</f>
        <v>16.2393162393162</v>
      </c>
      <c r="ET103" s="9" t="n">
        <v>2</v>
      </c>
      <c r="EU103" s="18" t="n">
        <v>0</v>
      </c>
      <c r="EV103" s="9" t="n">
        <v>0</v>
      </c>
      <c r="EW103" s="9" t="n">
        <v>0</v>
      </c>
      <c r="EX103" s="9" t="n">
        <v>3</v>
      </c>
      <c r="EY103" s="11" t="n">
        <f aca="false">(EU103+EV103+EW103+EX103)/4</f>
        <v>0.75</v>
      </c>
      <c r="EZ103" s="11" t="n">
        <f aca="false">(EU103/DR103)</f>
        <v>0</v>
      </c>
      <c r="FA103" s="11" t="n">
        <f aca="false">(EV103/DS103)</f>
        <v>0</v>
      </c>
      <c r="FB103" s="11" t="n">
        <f aca="false">(EW103/DT103)</f>
        <v>0</v>
      </c>
      <c r="FC103" s="11" t="n">
        <f aca="false">(EX103/DU103)</f>
        <v>0.214285714285714</v>
      </c>
      <c r="FD103" s="11" t="n">
        <f aca="false">(EY103/DV103)</f>
        <v>0.0256410256410256</v>
      </c>
      <c r="FE103" s="11" t="n">
        <f aca="false">(100*FD103)</f>
        <v>2.56410256410256</v>
      </c>
      <c r="FF103" s="9" t="n">
        <v>1</v>
      </c>
      <c r="FG103" s="9" t="n">
        <v>9</v>
      </c>
      <c r="FH103" s="9" t="n">
        <v>3</v>
      </c>
      <c r="FI103" s="9" t="n">
        <v>2</v>
      </c>
      <c r="FJ103" s="9" t="n">
        <v>4</v>
      </c>
      <c r="FK103" s="11" t="n">
        <f aca="false">(FG103+FH103+FI103+FJ103)/4</f>
        <v>4.5</v>
      </c>
      <c r="FL103" s="11" t="n">
        <f aca="false">(FG103/DR103)</f>
        <v>0.391304347826087</v>
      </c>
      <c r="FM103" s="11" t="n">
        <f aca="false">(FH103/DS103)</f>
        <v>0.0422535211267606</v>
      </c>
      <c r="FN103" s="11" t="n">
        <f aca="false">(FI103/DT103)</f>
        <v>0.222222222222222</v>
      </c>
      <c r="FO103" s="11" t="n">
        <f aca="false">(FJ103/DU103)</f>
        <v>0.285714285714286</v>
      </c>
      <c r="FP103" s="11" t="n">
        <f aca="false">(FK103/DV103)</f>
        <v>0.153846153846154</v>
      </c>
      <c r="FQ103" s="11" t="n">
        <f aca="false">(100*FP103)</f>
        <v>15.3846153846154</v>
      </c>
      <c r="FR103" s="9" t="n">
        <v>2</v>
      </c>
      <c r="FS103" s="9" t="n">
        <v>62.8</v>
      </c>
      <c r="FT103" s="9" t="n">
        <v>51.9</v>
      </c>
      <c r="FU103" s="9" t="n">
        <v>55.9</v>
      </c>
      <c r="FV103" s="9" t="n">
        <v>66.3</v>
      </c>
      <c r="FW103" s="11" t="n">
        <f aca="false">(FS103+FT103+FU103+FV103)/4</f>
        <v>59.225</v>
      </c>
      <c r="FX103" s="9" t="n">
        <v>0</v>
      </c>
      <c r="FY103" s="9" t="n">
        <v>0</v>
      </c>
      <c r="FZ103" s="9" t="n">
        <v>1</v>
      </c>
      <c r="GA103" s="9" t="n">
        <v>0</v>
      </c>
      <c r="GB103" s="11" t="n">
        <f aca="false">(FX103+FY103+FZ103+GA103)/4</f>
        <v>0.25</v>
      </c>
      <c r="GC103" s="9" t="n">
        <v>1</v>
      </c>
      <c r="GD103" s="9" t="n">
        <v>1</v>
      </c>
      <c r="GE103" s="9" t="n">
        <v>1</v>
      </c>
      <c r="GF103" s="9" t="n">
        <v>1</v>
      </c>
      <c r="GG103" s="11" t="n">
        <f aca="false">(GC103+GD103+GE103+GF103)/4</f>
        <v>1</v>
      </c>
      <c r="GH103" s="9" t="n">
        <v>1</v>
      </c>
      <c r="GI103" s="9" t="n">
        <v>1</v>
      </c>
      <c r="GJ103" s="9" t="n">
        <v>1</v>
      </c>
      <c r="GK103" s="9" t="n">
        <v>1</v>
      </c>
      <c r="GL103" s="11" t="n">
        <f aca="false">(GH103+GI103+GJ103+GK103)/4</f>
        <v>1</v>
      </c>
      <c r="GM103" s="9" t="n">
        <v>21</v>
      </c>
      <c r="GN103" s="9" t="n">
        <v>59</v>
      </c>
      <c r="GO103" s="9" t="n">
        <v>57</v>
      </c>
      <c r="GP103" s="9" t="n">
        <v>45</v>
      </c>
      <c r="GQ103" s="11" t="n">
        <f aca="false">(GM103+GN103+GO103+GP103)/4</f>
        <v>45.5</v>
      </c>
      <c r="GR103" s="9" t="n">
        <v>6</v>
      </c>
      <c r="GS103" s="9" t="n">
        <v>71</v>
      </c>
      <c r="GT103" s="9" t="n">
        <v>24</v>
      </c>
      <c r="GU103" s="9" t="n">
        <v>11</v>
      </c>
      <c r="GV103" s="11" t="n">
        <f aca="false">(GR103+GS103+GT103+GU103)/4</f>
        <v>28</v>
      </c>
      <c r="GW103" s="9" t="n">
        <v>0</v>
      </c>
      <c r="GX103" s="9" t="n">
        <v>0</v>
      </c>
      <c r="GY103" s="9" t="n">
        <v>1</v>
      </c>
      <c r="GZ103" s="9" t="n">
        <v>0</v>
      </c>
      <c r="HA103" s="11" t="n">
        <f aca="false">(GW103+GX103+GY103+GZ103)/4</f>
        <v>0.25</v>
      </c>
      <c r="HB103" s="9" t="n">
        <f aca="false">(GW103/GR103)</f>
        <v>0</v>
      </c>
      <c r="HC103" s="9" t="n">
        <f aca="false">(GX103/GS103)</f>
        <v>0</v>
      </c>
      <c r="HD103" s="9" t="n">
        <f aca="false">(GY103/GT103)</f>
        <v>0.0416666666666667</v>
      </c>
      <c r="HE103" s="9" t="n">
        <f aca="false">(GZ103/GU103)/4</f>
        <v>0</v>
      </c>
      <c r="HF103" s="9" t="n">
        <f aca="false">(HB103+HC103+HD103+HE103)/4</f>
        <v>0.0104166666666667</v>
      </c>
      <c r="HG103" s="9" t="n">
        <f aca="false">(100*HF103)</f>
        <v>1.04166666666667</v>
      </c>
      <c r="HH103" s="18" t="n">
        <v>1</v>
      </c>
      <c r="HI103" s="9" t="n">
        <v>4</v>
      </c>
      <c r="HJ103" s="9" t="n">
        <v>5</v>
      </c>
      <c r="HK103" s="9" t="n">
        <v>4</v>
      </c>
      <c r="HL103" s="19" t="n">
        <v>6</v>
      </c>
      <c r="HM103" s="9" t="n">
        <f aca="false">(HI103+HJ103+HK103+HL103)/4</f>
        <v>4.75</v>
      </c>
      <c r="HN103" s="9" t="n">
        <f aca="false">(HI103/GR103)</f>
        <v>0.666666666666667</v>
      </c>
      <c r="HO103" s="9" t="n">
        <f aca="false">(HJ103/GS103)</f>
        <v>0.0704225352112676</v>
      </c>
      <c r="HP103" s="9" t="n">
        <f aca="false">(HK103/GT103)</f>
        <v>0.166666666666667</v>
      </c>
      <c r="HQ103" s="9" t="n">
        <f aca="false">(HL103/GU103)</f>
        <v>0.545454545454545</v>
      </c>
      <c r="HR103" s="9" t="n">
        <f aca="false">(HM103/GV103)</f>
        <v>0.169642857142857</v>
      </c>
      <c r="HS103" s="9" t="n">
        <f aca="false">(100*HR103)</f>
        <v>16.9642857142857</v>
      </c>
      <c r="HT103" s="18" t="n">
        <v>2</v>
      </c>
      <c r="HU103" s="9" t="n">
        <v>0</v>
      </c>
      <c r="HV103" s="9" t="n">
        <v>0</v>
      </c>
      <c r="HW103" s="9" t="n">
        <v>4</v>
      </c>
      <c r="HX103" s="19" t="n">
        <v>2</v>
      </c>
      <c r="HY103" s="9" t="n">
        <f aca="false">(HU103+HV103+HW103+HX103)/4</f>
        <v>1.5</v>
      </c>
      <c r="HZ103" s="9" t="n">
        <f aca="false">(HU103/GR103)</f>
        <v>0</v>
      </c>
      <c r="IA103" s="9" t="n">
        <f aca="false">HV103/GS103</f>
        <v>0</v>
      </c>
      <c r="IB103" s="9" t="n">
        <f aca="false">(HW103/GT103)</f>
        <v>0.166666666666667</v>
      </c>
      <c r="IC103" s="9" t="n">
        <f aca="false">(HX103/GU103)</f>
        <v>0.181818181818182</v>
      </c>
      <c r="ID103" s="9" t="n">
        <f aca="false">(HY103/GV103)</f>
        <v>0.0535714285714286</v>
      </c>
      <c r="IE103" s="9" t="n">
        <f aca="false">(100*ID103)</f>
        <v>5.35714285714286</v>
      </c>
      <c r="IF103" s="18" t="n">
        <v>1</v>
      </c>
      <c r="IG103" s="9" t="n">
        <v>6</v>
      </c>
      <c r="IH103" s="9" t="n">
        <v>1</v>
      </c>
      <c r="II103" s="19" t="n">
        <v>0</v>
      </c>
      <c r="IJ103" s="9" t="n">
        <v>4</v>
      </c>
      <c r="IK103" s="9" t="n">
        <f aca="false">(IG103+IH103+II103+IJ103)/4</f>
        <v>2.75</v>
      </c>
      <c r="IL103" s="9" t="n">
        <f aca="false">(IG103/GM103)</f>
        <v>0.285714285714286</v>
      </c>
      <c r="IM103" s="9" t="n">
        <f aca="false">(IH103/GN103)</f>
        <v>0.0169491525423729</v>
      </c>
      <c r="IN103" s="9" t="n">
        <f aca="false">(II103/GO103)</f>
        <v>0</v>
      </c>
      <c r="IO103" s="9" t="n">
        <f aca="false">(IJ103/GP103)</f>
        <v>0.0888888888888889</v>
      </c>
      <c r="IP103" s="9" t="n">
        <f aca="false">(IK103/GQ103)</f>
        <v>0.0604395604395604</v>
      </c>
      <c r="IQ103" s="9" t="n">
        <f aca="false">(100*IP103)</f>
        <v>6.04395604395604</v>
      </c>
      <c r="IR103" s="18" t="n">
        <v>1</v>
      </c>
      <c r="IS103" s="9" t="n">
        <v>60.6</v>
      </c>
      <c r="IT103" s="9" t="n">
        <v>47.3</v>
      </c>
      <c r="IU103" s="19" t="n">
        <v>52.1</v>
      </c>
      <c r="IV103" s="9" t="n">
        <v>58.1</v>
      </c>
      <c r="IW103" s="9" t="n">
        <f aca="false">(IS103+IT103+IU103+IV103)/4</f>
        <v>54.525</v>
      </c>
      <c r="IX103" s="16" t="n">
        <v>45241</v>
      </c>
      <c r="IY103" s="10" t="s">
        <v>268</v>
      </c>
    </row>
    <row r="104" customFormat="false" ht="15.75" hidden="false" customHeight="true" outlineLevel="0" collapsed="false">
      <c r="A104" s="9" t="s">
        <v>370</v>
      </c>
      <c r="B104" s="10" t="s">
        <v>507</v>
      </c>
      <c r="C104" s="10" t="s">
        <v>400</v>
      </c>
      <c r="D104" s="9" t="n">
        <v>4</v>
      </c>
      <c r="E104" s="9" t="n">
        <v>35</v>
      </c>
      <c r="F104" s="10" t="s">
        <v>508</v>
      </c>
      <c r="G104" s="10" t="s">
        <v>280</v>
      </c>
      <c r="H104" s="9" t="n">
        <v>21</v>
      </c>
      <c r="I104" s="9" t="n">
        <v>5</v>
      </c>
      <c r="J104" s="12" t="s">
        <v>264</v>
      </c>
      <c r="K104" s="13" t="s">
        <v>509</v>
      </c>
      <c r="L104" s="13" t="s">
        <v>510</v>
      </c>
      <c r="M104" s="14" t="n">
        <v>1307</v>
      </c>
      <c r="N104" s="15" t="n">
        <v>45154</v>
      </c>
      <c r="O104" s="10" t="s">
        <v>294</v>
      </c>
      <c r="P104" s="9"/>
      <c r="Q104" s="9" t="n">
        <v>2.42</v>
      </c>
      <c r="R104" s="9" t="n">
        <v>10</v>
      </c>
      <c r="S104" s="9" t="n">
        <v>-11</v>
      </c>
      <c r="T104" s="9" t="n">
        <v>75</v>
      </c>
      <c r="U104" s="9"/>
      <c r="V104" s="9" t="n">
        <f aca="false">(21.1/100)</f>
        <v>0.211</v>
      </c>
      <c r="W104" s="9"/>
      <c r="X104" s="9" t="n">
        <v>0</v>
      </c>
      <c r="Y104" s="9" t="n">
        <v>0</v>
      </c>
      <c r="Z104" s="9" t="n">
        <v>0</v>
      </c>
      <c r="AA104" s="9" t="n">
        <v>0</v>
      </c>
      <c r="AB104" s="11" t="n">
        <f aca="false">(X104+Y104+Z104+AA104)/4</f>
        <v>0</v>
      </c>
      <c r="AC104" s="9" t="n">
        <v>1</v>
      </c>
      <c r="AD104" s="9" t="n">
        <v>1</v>
      </c>
      <c r="AE104" s="9" t="n">
        <v>1</v>
      </c>
      <c r="AF104" s="9" t="n">
        <v>1</v>
      </c>
      <c r="AG104" s="11" t="n">
        <f aca="false">(AC104+AD104+AE104+AF104)/4</f>
        <v>1</v>
      </c>
      <c r="AH104" s="9" t="n">
        <v>1</v>
      </c>
      <c r="AI104" s="9" t="n">
        <v>1</v>
      </c>
      <c r="AJ104" s="9" t="n">
        <v>0</v>
      </c>
      <c r="AK104" s="9" t="n">
        <v>1</v>
      </c>
      <c r="AL104" s="11" t="n">
        <f aca="false">(AH104+AI104+AJ104+AK104)/4</f>
        <v>0.75</v>
      </c>
      <c r="AM104" s="9" t="n">
        <v>62</v>
      </c>
      <c r="AN104" s="9" t="n">
        <v>24</v>
      </c>
      <c r="AO104" s="9" t="n">
        <v>68</v>
      </c>
      <c r="AP104" s="9" t="n">
        <v>6</v>
      </c>
      <c r="AQ104" s="11" t="n">
        <f aca="false">(AM104+AN104+AO104+AP104)/4</f>
        <v>40</v>
      </c>
      <c r="AR104" s="9" t="n">
        <v>8</v>
      </c>
      <c r="AS104" s="9" t="n">
        <v>17</v>
      </c>
      <c r="AT104" s="9" t="n">
        <v>7</v>
      </c>
      <c r="AU104" s="9" t="n">
        <v>18</v>
      </c>
      <c r="AV104" s="11" t="n">
        <f aca="false">(AR104+AS104+AT104+AU104)/4</f>
        <v>12.5</v>
      </c>
      <c r="AW104" s="9" t="n">
        <v>0</v>
      </c>
      <c r="AX104" s="9" t="n">
        <v>0</v>
      </c>
      <c r="AY104" s="9" t="n">
        <v>0</v>
      </c>
      <c r="AZ104" s="9" t="n">
        <v>0</v>
      </c>
      <c r="BA104" s="11" t="n">
        <f aca="false">(AW104+AX104+AY104+AZ104)/4</f>
        <v>0</v>
      </c>
      <c r="BB104" s="11" t="n">
        <f aca="false">(AW104/AR104)</f>
        <v>0</v>
      </c>
      <c r="BC104" s="11" t="n">
        <f aca="false">(AX104/AS104)</f>
        <v>0</v>
      </c>
      <c r="BD104" s="11" t="n">
        <f aca="false">(AY104/AT104)</f>
        <v>0</v>
      </c>
      <c r="BE104" s="11" t="n">
        <f aca="false">(AZ104/AU104)</f>
        <v>0</v>
      </c>
      <c r="BF104" s="11" t="n">
        <f aca="false">(BA104/AV104)</f>
        <v>0</v>
      </c>
      <c r="BG104" s="11" t="n">
        <f aca="false">(BF104*100)</f>
        <v>0</v>
      </c>
      <c r="BH104" s="9" t="n">
        <v>0</v>
      </c>
      <c r="BI104" s="9" t="n">
        <v>2</v>
      </c>
      <c r="BJ104" s="9" t="n">
        <v>3</v>
      </c>
      <c r="BK104" s="9" t="n">
        <v>3</v>
      </c>
      <c r="BL104" s="9" t="n">
        <v>2</v>
      </c>
      <c r="BM104" s="11" t="n">
        <f aca="false">(BI104+BJ104+BK104+BL104)/4</f>
        <v>2.5</v>
      </c>
      <c r="BN104" s="11" t="n">
        <f aca="false">(BI104/AR104)</f>
        <v>0.25</v>
      </c>
      <c r="BO104" s="11" t="n">
        <f aca="false">(BJ104/AS104)</f>
        <v>0.176470588235294</v>
      </c>
      <c r="BP104" s="11" t="n">
        <f aca="false">(BK104/AT104)</f>
        <v>0.428571428571429</v>
      </c>
      <c r="BQ104" s="11" t="n">
        <f aca="false">(BL104/AU104)</f>
        <v>0.111111111111111</v>
      </c>
      <c r="BR104" s="11" t="n">
        <f aca="false">(BM104/AV104)</f>
        <v>0.2</v>
      </c>
      <c r="BS104" s="11" t="n">
        <f aca="false">(100*BR104)</f>
        <v>20</v>
      </c>
      <c r="BT104" s="9" t="n">
        <v>2</v>
      </c>
      <c r="BU104" s="9" t="n">
        <v>0</v>
      </c>
      <c r="BV104" s="9" t="n">
        <v>0</v>
      </c>
      <c r="BW104" s="9" t="n">
        <v>0</v>
      </c>
      <c r="BX104" s="9" t="n">
        <v>1</v>
      </c>
      <c r="BY104" s="11" t="n">
        <f aca="false">(BU104+BV104+BW104+BX104)/4</f>
        <v>0.25</v>
      </c>
      <c r="BZ104" s="11" t="n">
        <f aca="false">(BU104/AR104)</f>
        <v>0</v>
      </c>
      <c r="CA104" s="11" t="n">
        <f aca="false">(BV104/AS104)</f>
        <v>0</v>
      </c>
      <c r="CB104" s="11" t="n">
        <f aca="false">(BW104/AT104)</f>
        <v>0</v>
      </c>
      <c r="CC104" s="11" t="n">
        <f aca="false">(BX104/AU104)</f>
        <v>0.0555555555555556</v>
      </c>
      <c r="CD104" s="11" t="n">
        <f aca="false">(BY104/AV104)</f>
        <v>0.02</v>
      </c>
      <c r="CE104" s="11" t="n">
        <f aca="false">(100*CD104)</f>
        <v>2</v>
      </c>
      <c r="CF104" s="9" t="n">
        <v>1</v>
      </c>
      <c r="CG104" s="9" t="n">
        <v>4</v>
      </c>
      <c r="CH104" s="9" t="n">
        <v>2</v>
      </c>
      <c r="CI104" s="9" t="n">
        <v>0</v>
      </c>
      <c r="CJ104" s="9" t="n">
        <v>2</v>
      </c>
      <c r="CK104" s="11" t="n">
        <f aca="false">(CG104+CH104+CI104+CJ104)/4</f>
        <v>2</v>
      </c>
      <c r="CL104" s="11" t="n">
        <f aca="false">(CG104/AM104)</f>
        <v>0.0645161290322581</v>
      </c>
      <c r="CM104" s="11" t="n">
        <f aca="false">(CH104/AN104)</f>
        <v>0.0833333333333333</v>
      </c>
      <c r="CN104" s="11" t="n">
        <f aca="false">(CI104/AO104)</f>
        <v>0</v>
      </c>
      <c r="CO104" s="9" t="n">
        <f aca="false">(CJ104/AP104)</f>
        <v>0.333333333333333</v>
      </c>
      <c r="CP104" s="9" t="n">
        <f aca="false">(CK104/AQ104)</f>
        <v>0.05</v>
      </c>
      <c r="CQ104" s="9" t="n">
        <f aca="false">(100*CP104)</f>
        <v>5</v>
      </c>
      <c r="CR104" s="18" t="n">
        <v>1</v>
      </c>
      <c r="CS104" s="9" t="n">
        <v>51.2</v>
      </c>
      <c r="CT104" s="9" t="n">
        <v>59.4</v>
      </c>
      <c r="CU104" s="9" t="n">
        <v>57.2</v>
      </c>
      <c r="CV104" s="9" t="n">
        <v>67.6</v>
      </c>
      <c r="CW104" s="11" t="n">
        <f aca="false">(CS104+CT104+CU104+CV104)/4</f>
        <v>58.85</v>
      </c>
      <c r="CX104" s="9" t="n">
        <v>0</v>
      </c>
      <c r="CY104" s="9" t="n">
        <v>0</v>
      </c>
      <c r="CZ104" s="9" t="n">
        <v>0</v>
      </c>
      <c r="DA104" s="9" t="n">
        <v>0</v>
      </c>
      <c r="DB104" s="11" t="n">
        <f aca="false">(CX104+CY104+CZ104+DA104)/4</f>
        <v>0</v>
      </c>
      <c r="DC104" s="9" t="n">
        <v>1</v>
      </c>
      <c r="DD104" s="9" t="n">
        <v>1</v>
      </c>
      <c r="DE104" s="9" t="n">
        <v>1</v>
      </c>
      <c r="DF104" s="9" t="n">
        <v>1</v>
      </c>
      <c r="DG104" s="11" t="n">
        <f aca="false">(DC104+DD104+DE104+DF104)/4</f>
        <v>1</v>
      </c>
      <c r="DH104" s="9" t="n">
        <v>1</v>
      </c>
      <c r="DI104" s="9" t="n">
        <v>1</v>
      </c>
      <c r="DJ104" s="9" t="n">
        <v>1</v>
      </c>
      <c r="DK104" s="9" t="n">
        <v>1</v>
      </c>
      <c r="DL104" s="11" t="n">
        <f aca="false">(DH104+DI104+DJ104+DK104)/4</f>
        <v>1</v>
      </c>
      <c r="DM104" s="9" t="n">
        <v>38</v>
      </c>
      <c r="DN104" s="9" t="n">
        <v>37</v>
      </c>
      <c r="DO104" s="9" t="n">
        <v>92</v>
      </c>
      <c r="DP104" s="9" t="n">
        <v>71</v>
      </c>
      <c r="DQ104" s="11" t="n">
        <f aca="false">(DM104+DN104+DO104+DP104)/4</f>
        <v>59.5</v>
      </c>
      <c r="DR104" s="9" t="n">
        <v>18</v>
      </c>
      <c r="DS104" s="9" t="n">
        <v>10</v>
      </c>
      <c r="DT104" s="9" t="n">
        <v>18</v>
      </c>
      <c r="DU104" s="9" t="n">
        <v>22</v>
      </c>
      <c r="DV104" s="11" t="n">
        <f aca="false">(DR104+DS104+DT104+DU104)/4</f>
        <v>17</v>
      </c>
      <c r="DW104" s="9" t="n">
        <v>0</v>
      </c>
      <c r="DX104" s="9" t="n">
        <v>0</v>
      </c>
      <c r="DY104" s="9" t="n">
        <v>0</v>
      </c>
      <c r="DZ104" s="9" t="n">
        <v>0</v>
      </c>
      <c r="EA104" s="11" t="n">
        <f aca="false">(DW104+DX104+DY104+DZ104)/4</f>
        <v>0</v>
      </c>
      <c r="EB104" s="11" t="n">
        <f aca="false">(DW104/DR104)</f>
        <v>0</v>
      </c>
      <c r="EC104" s="11" t="n">
        <f aca="false">(DX104/DS104)</f>
        <v>0</v>
      </c>
      <c r="ED104" s="11" t="n">
        <f aca="false">(DY104/DT104)</f>
        <v>0</v>
      </c>
      <c r="EE104" s="11" t="n">
        <f aca="false">(DZ104/DU104)</f>
        <v>0</v>
      </c>
      <c r="EF104" s="11" t="n">
        <f aca="false">(EA104/DV104)</f>
        <v>0</v>
      </c>
      <c r="EG104" s="11" t="n">
        <f aca="false">(100*EF104)</f>
        <v>0</v>
      </c>
      <c r="EH104" s="9" t="n">
        <v>0</v>
      </c>
      <c r="EI104" s="9" t="n">
        <v>5</v>
      </c>
      <c r="EJ104" s="9" t="n">
        <v>3</v>
      </c>
      <c r="EK104" s="19" t="n">
        <v>4</v>
      </c>
      <c r="EL104" s="9" t="n">
        <v>2</v>
      </c>
      <c r="EM104" s="9" t="n">
        <f aca="false">(EI104+EJ104+EK104+EL104)/4</f>
        <v>3.5</v>
      </c>
      <c r="EN104" s="9" t="n">
        <f aca="false">(EI104/DR104)</f>
        <v>0.277777777777778</v>
      </c>
      <c r="EO104" s="9" t="n">
        <f aca="false">(EJ104/DS104)</f>
        <v>0.3</v>
      </c>
      <c r="EP104" s="9" t="n">
        <f aca="false">(EK104/DT104)</f>
        <v>0.222222222222222</v>
      </c>
      <c r="EQ104" s="9" t="n">
        <f aca="false">(EL104/DU104)</f>
        <v>0.0909090909090909</v>
      </c>
      <c r="ER104" s="9" t="n">
        <f aca="false">EM104/DV104</f>
        <v>0.205882352941176</v>
      </c>
      <c r="ES104" s="9" t="n">
        <f aca="false">(100*ER104)</f>
        <v>20.5882352941176</v>
      </c>
      <c r="ET104" s="9" t="n">
        <v>2</v>
      </c>
      <c r="EU104" s="18" t="n">
        <v>2</v>
      </c>
      <c r="EV104" s="9" t="n">
        <v>1</v>
      </c>
      <c r="EW104" s="9" t="n">
        <v>0</v>
      </c>
      <c r="EX104" s="9" t="n">
        <v>1</v>
      </c>
      <c r="EY104" s="11" t="n">
        <f aca="false">(EU104+EV104+EW104+EX104)/4</f>
        <v>1</v>
      </c>
      <c r="EZ104" s="11" t="n">
        <f aca="false">(EU104/DR104)</f>
        <v>0.111111111111111</v>
      </c>
      <c r="FA104" s="11" t="n">
        <f aca="false">(EV104/DS104)</f>
        <v>0.1</v>
      </c>
      <c r="FB104" s="11" t="n">
        <f aca="false">(EW104/DT104)</f>
        <v>0</v>
      </c>
      <c r="FC104" s="11" t="n">
        <f aca="false">(EX104/DU104)</f>
        <v>0.0454545454545455</v>
      </c>
      <c r="FD104" s="11" t="n">
        <f aca="false">(EY104/DV104)</f>
        <v>0.0588235294117647</v>
      </c>
      <c r="FE104" s="11" t="n">
        <f aca="false">(100*FD104)</f>
        <v>5.88235294117647</v>
      </c>
      <c r="FF104" s="9" t="n">
        <v>1</v>
      </c>
      <c r="FG104" s="9" t="n">
        <v>9</v>
      </c>
      <c r="FH104" s="9" t="n">
        <v>2</v>
      </c>
      <c r="FI104" s="9" t="n">
        <v>2</v>
      </c>
      <c r="FJ104" s="9" t="n">
        <v>1</v>
      </c>
      <c r="FK104" s="11" t="n">
        <f aca="false">(FG104+FH104+FI104+FJ104)/4</f>
        <v>3.5</v>
      </c>
      <c r="FL104" s="11" t="n">
        <f aca="false">(FG104/DR104)</f>
        <v>0.5</v>
      </c>
      <c r="FM104" s="11" t="n">
        <f aca="false">(FH104/DS104)</f>
        <v>0.2</v>
      </c>
      <c r="FN104" s="11" t="n">
        <f aca="false">(FI104/DT104)</f>
        <v>0.111111111111111</v>
      </c>
      <c r="FO104" s="11" t="n">
        <f aca="false">(FJ104/DU104)</f>
        <v>0.0454545454545455</v>
      </c>
      <c r="FP104" s="11" t="n">
        <f aca="false">(FK104/DV104)</f>
        <v>0.205882352941176</v>
      </c>
      <c r="FQ104" s="11" t="n">
        <f aca="false">(100*FP104)</f>
        <v>20.5882352941176</v>
      </c>
      <c r="FR104" s="9" t="n">
        <v>2</v>
      </c>
      <c r="FS104" s="9" t="n">
        <v>68</v>
      </c>
      <c r="FT104" s="9" t="n">
        <v>71.3</v>
      </c>
      <c r="FU104" s="9" t="n">
        <v>71.8</v>
      </c>
      <c r="FV104" s="9" t="n">
        <v>66.9</v>
      </c>
      <c r="FW104" s="11" t="n">
        <f aca="false">(FS104+FT104+FU104+FV104)/4</f>
        <v>69.5</v>
      </c>
      <c r="FX104" s="9" t="n">
        <v>0</v>
      </c>
      <c r="FY104" s="9" t="n">
        <v>0</v>
      </c>
      <c r="FZ104" s="9" t="n">
        <v>0</v>
      </c>
      <c r="GA104" s="9" t="n">
        <v>0</v>
      </c>
      <c r="GB104" s="11" t="n">
        <f aca="false">(FX104+FY104+FZ104+GA104)/4</f>
        <v>0</v>
      </c>
      <c r="GC104" s="9" t="n">
        <v>1</v>
      </c>
      <c r="GD104" s="9" t="n">
        <v>1</v>
      </c>
      <c r="GE104" s="9" t="n">
        <v>1</v>
      </c>
      <c r="GF104" s="9" t="n">
        <v>1</v>
      </c>
      <c r="GG104" s="11" t="n">
        <f aca="false">(GC104+GD104+GE104+GF104)/4</f>
        <v>1</v>
      </c>
      <c r="GH104" s="9" t="n">
        <v>1</v>
      </c>
      <c r="GI104" s="9" t="n">
        <v>1</v>
      </c>
      <c r="GJ104" s="9" t="n">
        <v>1</v>
      </c>
      <c r="GK104" s="9" t="n">
        <v>1</v>
      </c>
      <c r="GL104" s="11" t="n">
        <f aca="false">(GH104+GI104+GJ104+GK104)/4</f>
        <v>1</v>
      </c>
      <c r="GM104" s="9" t="n">
        <v>57</v>
      </c>
      <c r="GN104" s="9" t="n">
        <v>6</v>
      </c>
      <c r="GO104" s="9" t="n">
        <v>29</v>
      </c>
      <c r="GP104" s="9" t="n">
        <v>52</v>
      </c>
      <c r="GQ104" s="11" t="n">
        <f aca="false">(GM104+GN104+GO104+GP104)/4</f>
        <v>36</v>
      </c>
      <c r="GR104" s="9" t="n">
        <v>22</v>
      </c>
      <c r="GS104" s="9" t="n">
        <v>2</v>
      </c>
      <c r="GT104" s="9" t="n">
        <v>6</v>
      </c>
      <c r="GU104" s="9" t="n">
        <v>18</v>
      </c>
      <c r="GV104" s="11" t="n">
        <f aca="false">(GR104+GS104+GT104+GU104)/4</f>
        <v>12</v>
      </c>
      <c r="GW104" s="9" t="n">
        <v>0</v>
      </c>
      <c r="GX104" s="9" t="n">
        <v>0</v>
      </c>
      <c r="GY104" s="9" t="n">
        <v>0</v>
      </c>
      <c r="GZ104" s="9" t="n">
        <v>0</v>
      </c>
      <c r="HA104" s="11" t="n">
        <f aca="false">(GW104+GX104+GY104+GZ104)/4</f>
        <v>0</v>
      </c>
      <c r="HB104" s="9" t="n">
        <f aca="false">(GW104/GR104)</f>
        <v>0</v>
      </c>
      <c r="HC104" s="9" t="n">
        <f aca="false">(GX104/GS104)</f>
        <v>0</v>
      </c>
      <c r="HD104" s="9" t="n">
        <f aca="false">(GY104/GT104)</f>
        <v>0</v>
      </c>
      <c r="HE104" s="9" t="n">
        <f aca="false">(GZ104/GU104)/4</f>
        <v>0</v>
      </c>
      <c r="HF104" s="9" t="n">
        <f aca="false">(HB104+HC104+HD104+HE104)/4</f>
        <v>0</v>
      </c>
      <c r="HG104" s="9" t="n">
        <f aca="false">(100*HF104)</f>
        <v>0</v>
      </c>
      <c r="HH104" s="18"/>
      <c r="HI104" s="9" t="n">
        <v>4</v>
      </c>
      <c r="HJ104" s="9" t="n">
        <v>0</v>
      </c>
      <c r="HK104" s="9" t="n">
        <v>4</v>
      </c>
      <c r="HL104" s="19" t="n">
        <v>2</v>
      </c>
      <c r="HM104" s="9" t="n">
        <f aca="false">(HI104+HJ104+HK104+HL104)/4</f>
        <v>2.5</v>
      </c>
      <c r="HN104" s="9" t="n">
        <f aca="false">(HI104/GR104)</f>
        <v>0.181818181818182</v>
      </c>
      <c r="HO104" s="9" t="n">
        <f aca="false">(HJ104/GS104)</f>
        <v>0</v>
      </c>
      <c r="HP104" s="9" t="n">
        <f aca="false">(HK104/GT104)</f>
        <v>0.666666666666667</v>
      </c>
      <c r="HQ104" s="9" t="n">
        <f aca="false">(HL104/GU104)</f>
        <v>0.111111111111111</v>
      </c>
      <c r="HR104" s="9" t="n">
        <f aca="false">(HM104/GV104)</f>
        <v>0.208333333333333</v>
      </c>
      <c r="HS104" s="9" t="n">
        <f aca="false">(100*HR104)</f>
        <v>20.8333333333333</v>
      </c>
      <c r="HT104" s="18" t="n">
        <v>2</v>
      </c>
      <c r="HU104" s="9" t="n">
        <v>2</v>
      </c>
      <c r="HV104" s="9" t="n">
        <v>0</v>
      </c>
      <c r="HW104" s="9" t="n">
        <v>0</v>
      </c>
      <c r="HX104" s="19" t="n">
        <v>0</v>
      </c>
      <c r="HY104" s="9" t="n">
        <f aca="false">(HU104+HV104+HW104+HX104)/4</f>
        <v>0.5</v>
      </c>
      <c r="HZ104" s="9" t="n">
        <f aca="false">(HU104/GR104)</f>
        <v>0.0909090909090909</v>
      </c>
      <c r="IA104" s="9" t="n">
        <f aca="false">HV104/GS104</f>
        <v>0</v>
      </c>
      <c r="IB104" s="9" t="n">
        <f aca="false">(HW104/GT104)</f>
        <v>0</v>
      </c>
      <c r="IC104" s="9" t="n">
        <f aca="false">(HX104/GU104)</f>
        <v>0</v>
      </c>
      <c r="ID104" s="9" t="n">
        <f aca="false">(HY104/GV104)</f>
        <v>0.0416666666666667</v>
      </c>
      <c r="IE104" s="9" t="n">
        <f aca="false">(100*ID104)</f>
        <v>4.16666666666667</v>
      </c>
      <c r="IF104" s="18" t="n">
        <v>1</v>
      </c>
      <c r="IG104" s="9" t="n">
        <v>6</v>
      </c>
      <c r="IH104" s="9" t="n">
        <v>3</v>
      </c>
      <c r="II104" s="19" t="n">
        <v>5</v>
      </c>
      <c r="IJ104" s="9" t="n">
        <v>6</v>
      </c>
      <c r="IK104" s="9" t="n">
        <f aca="false">(IG104+IH104+II104+IJ104)/4</f>
        <v>5</v>
      </c>
      <c r="IL104" s="9" t="n">
        <f aca="false">(IG104/GM104)</f>
        <v>0.105263157894737</v>
      </c>
      <c r="IM104" s="9" t="n">
        <f aca="false">(IH104/GN104)</f>
        <v>0.5</v>
      </c>
      <c r="IN104" s="9" t="n">
        <f aca="false">(II104/GO104)</f>
        <v>0.172413793103448</v>
      </c>
      <c r="IO104" s="9" t="n">
        <f aca="false">(IJ104/GP104)</f>
        <v>0.115384615384615</v>
      </c>
      <c r="IP104" s="9" t="n">
        <f aca="false">(IK104/GQ104)</f>
        <v>0.138888888888889</v>
      </c>
      <c r="IQ104" s="9" t="n">
        <f aca="false">(100*IP104)</f>
        <v>13.8888888888889</v>
      </c>
      <c r="IR104" s="18" t="n">
        <v>2</v>
      </c>
      <c r="IS104" s="9" t="n">
        <v>64</v>
      </c>
      <c r="IT104" s="9" t="n">
        <v>62.4</v>
      </c>
      <c r="IU104" s="19" t="n">
        <v>65.9</v>
      </c>
      <c r="IV104" s="9" t="n">
        <v>61.8</v>
      </c>
      <c r="IW104" s="9" t="n">
        <f aca="false">(IS104+IT104+IU104+IV104)/4</f>
        <v>63.525</v>
      </c>
      <c r="IX104" s="16" t="n">
        <v>45240</v>
      </c>
      <c r="IY104" s="10" t="s">
        <v>268</v>
      </c>
    </row>
    <row r="105" customFormat="false" ht="15.75" hidden="false" customHeight="true" outlineLevel="0" collapsed="false">
      <c r="A105" s="9" t="s">
        <v>370</v>
      </c>
      <c r="B105" s="10" t="s">
        <v>507</v>
      </c>
      <c r="C105" s="10" t="s">
        <v>400</v>
      </c>
      <c r="D105" s="9" t="n">
        <v>4</v>
      </c>
      <c r="E105" s="9" t="n">
        <v>35</v>
      </c>
      <c r="F105" s="10" t="s">
        <v>511</v>
      </c>
      <c r="G105" s="10" t="s">
        <v>320</v>
      </c>
      <c r="H105" s="9" t="n">
        <v>21</v>
      </c>
      <c r="I105" s="9" t="n">
        <v>11</v>
      </c>
      <c r="J105" s="12" t="s">
        <v>270</v>
      </c>
      <c r="K105" s="20"/>
      <c r="L105" s="20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 t="n">
        <v>0</v>
      </c>
      <c r="Y105" s="9" t="n">
        <v>0</v>
      </c>
      <c r="Z105" s="9" t="n">
        <v>0</v>
      </c>
      <c r="AA105" s="9" t="n">
        <v>0</v>
      </c>
      <c r="AB105" s="11" t="n">
        <f aca="false">(X105+Y105+Z105+AA105)/4</f>
        <v>0</v>
      </c>
      <c r="AC105" s="9" t="n">
        <v>1</v>
      </c>
      <c r="AD105" s="9" t="n">
        <v>1</v>
      </c>
      <c r="AE105" s="9" t="n">
        <v>1</v>
      </c>
      <c r="AF105" s="9" t="n">
        <v>1</v>
      </c>
      <c r="AG105" s="11" t="n">
        <f aca="false">(AC105+AD105+AE105+AF105)/4</f>
        <v>1</v>
      </c>
      <c r="AH105" s="9" t="n">
        <v>1</v>
      </c>
      <c r="AI105" s="9" t="n">
        <v>1</v>
      </c>
      <c r="AJ105" s="9" t="n">
        <v>1</v>
      </c>
      <c r="AK105" s="9" t="n">
        <v>1</v>
      </c>
      <c r="AL105" s="11" t="n">
        <f aca="false">(AH105+AI105+AJ105+AK105)/4</f>
        <v>1</v>
      </c>
      <c r="AM105" s="9" t="n">
        <v>23</v>
      </c>
      <c r="AN105" s="9" t="n">
        <v>71</v>
      </c>
      <c r="AO105" s="9" t="n">
        <v>4</v>
      </c>
      <c r="AP105" s="9" t="n">
        <v>12</v>
      </c>
      <c r="AQ105" s="11" t="n">
        <f aca="false">(AM105+AN105+AO105+AP105)/4</f>
        <v>27.5</v>
      </c>
      <c r="AR105" s="9" t="n">
        <v>28</v>
      </c>
      <c r="AS105" s="9" t="n">
        <v>10</v>
      </c>
      <c r="AT105" s="9" t="n">
        <v>8</v>
      </c>
      <c r="AU105" s="9" t="n">
        <v>14</v>
      </c>
      <c r="AV105" s="11" t="n">
        <f aca="false">(AR105+AS105+AT105+AU105)/4</f>
        <v>15</v>
      </c>
      <c r="AW105" s="9" t="n">
        <v>0</v>
      </c>
      <c r="AX105" s="9" t="n">
        <v>0</v>
      </c>
      <c r="AY105" s="9" t="n">
        <v>0</v>
      </c>
      <c r="AZ105" s="9" t="n">
        <v>0</v>
      </c>
      <c r="BA105" s="11" t="n">
        <f aca="false">(AW105+AX105+AY105+AZ105)/4</f>
        <v>0</v>
      </c>
      <c r="BB105" s="11" t="n">
        <f aca="false">(AW105/AR105)</f>
        <v>0</v>
      </c>
      <c r="BC105" s="11" t="n">
        <f aca="false">(AX105/AS105)</f>
        <v>0</v>
      </c>
      <c r="BD105" s="11" t="n">
        <f aca="false">(AY105/AT105)</f>
        <v>0</v>
      </c>
      <c r="BE105" s="11" t="n">
        <f aca="false">(AZ105/AU105)</f>
        <v>0</v>
      </c>
      <c r="BF105" s="11" t="n">
        <f aca="false">(BA105/AV105)</f>
        <v>0</v>
      </c>
      <c r="BG105" s="11" t="n">
        <f aca="false">(BF105*100)</f>
        <v>0</v>
      </c>
      <c r="BH105" s="9" t="n">
        <v>0</v>
      </c>
      <c r="BI105" s="9" t="n">
        <v>3</v>
      </c>
      <c r="BJ105" s="9" t="n">
        <v>5</v>
      </c>
      <c r="BK105" s="9" t="n">
        <v>4</v>
      </c>
      <c r="BL105" s="9" t="n">
        <v>2</v>
      </c>
      <c r="BM105" s="11" t="n">
        <f aca="false">(BI105+BJ105+BK105+BL105)/4</f>
        <v>3.5</v>
      </c>
      <c r="BN105" s="11" t="n">
        <f aca="false">(BI105/AR105)</f>
        <v>0.107142857142857</v>
      </c>
      <c r="BO105" s="11" t="n">
        <f aca="false">(BJ105/AS105)</f>
        <v>0.5</v>
      </c>
      <c r="BP105" s="11" t="n">
        <f aca="false">(BK105/AT105)</f>
        <v>0.5</v>
      </c>
      <c r="BQ105" s="11" t="n">
        <f aca="false">(BL105/AU105)</f>
        <v>0.142857142857143</v>
      </c>
      <c r="BR105" s="11" t="n">
        <f aca="false">(BM105/AV105)</f>
        <v>0.233333333333333</v>
      </c>
      <c r="BS105" s="11" t="n">
        <f aca="false">(100*BR105)</f>
        <v>23.3333333333333</v>
      </c>
      <c r="BT105" s="9" t="n">
        <v>2</v>
      </c>
      <c r="BU105" s="9" t="n">
        <v>0</v>
      </c>
      <c r="BV105" s="9" t="n">
        <v>1</v>
      </c>
      <c r="BW105" s="9" t="n">
        <v>2</v>
      </c>
      <c r="BX105" s="9" t="n">
        <v>0</v>
      </c>
      <c r="BY105" s="11" t="n">
        <f aca="false">(BU105+BV105+BW105+BX105)/4</f>
        <v>0.75</v>
      </c>
      <c r="BZ105" s="11" t="n">
        <f aca="false">(BU105/AR105)</f>
        <v>0</v>
      </c>
      <c r="CA105" s="11" t="n">
        <f aca="false">(BV105/AS105)</f>
        <v>0.1</v>
      </c>
      <c r="CB105" s="11" t="n">
        <f aca="false">(BW105/AT105)</f>
        <v>0.25</v>
      </c>
      <c r="CC105" s="11" t="n">
        <f aca="false">(BX105/AU105)</f>
        <v>0</v>
      </c>
      <c r="CD105" s="11" t="n">
        <f aca="false">(BY105/AV105)</f>
        <v>0.05</v>
      </c>
      <c r="CE105" s="11" t="n">
        <f aca="false">(100*CD105)</f>
        <v>5</v>
      </c>
      <c r="CF105" s="9" t="n">
        <v>1</v>
      </c>
      <c r="CG105" s="9" t="n">
        <v>2</v>
      </c>
      <c r="CH105" s="9" t="n">
        <v>7</v>
      </c>
      <c r="CI105" s="9" t="n">
        <v>3</v>
      </c>
      <c r="CJ105" s="9" t="n">
        <v>4</v>
      </c>
      <c r="CK105" s="11" t="n">
        <f aca="false">(CG105+CH105+CI105+CJ105)/4</f>
        <v>4</v>
      </c>
      <c r="CL105" s="11" t="n">
        <f aca="false">(CG105/AM105)</f>
        <v>0.0869565217391304</v>
      </c>
      <c r="CM105" s="11" t="n">
        <f aca="false">(CH105/AN105)</f>
        <v>0.0985915492957746</v>
      </c>
      <c r="CN105" s="11" t="n">
        <f aca="false">(CI105/AO105)</f>
        <v>0.75</v>
      </c>
      <c r="CO105" s="9" t="n">
        <f aca="false">(CJ105/AP105)</f>
        <v>0.333333333333333</v>
      </c>
      <c r="CP105" s="9" t="n">
        <f aca="false">(CK105/AQ105)</f>
        <v>0.145454545454545</v>
      </c>
      <c r="CQ105" s="9" t="n">
        <f aca="false">(100*CP105)</f>
        <v>14.5454545454545</v>
      </c>
      <c r="CR105" s="18" t="n">
        <v>2</v>
      </c>
      <c r="CS105" s="9" t="n">
        <v>66</v>
      </c>
      <c r="CT105" s="9" t="n">
        <v>54</v>
      </c>
      <c r="CU105" s="9" t="n">
        <v>72.1</v>
      </c>
      <c r="CV105" s="9" t="n">
        <v>47.1</v>
      </c>
      <c r="CW105" s="11" t="n">
        <f aca="false">(CS105+CT105+CU105+CV105)/4</f>
        <v>59.8</v>
      </c>
      <c r="CX105" s="9" t="n">
        <v>0</v>
      </c>
      <c r="CY105" s="9" t="n">
        <v>0</v>
      </c>
      <c r="CZ105" s="9" t="n">
        <v>0</v>
      </c>
      <c r="DA105" s="9" t="n">
        <v>0</v>
      </c>
      <c r="DB105" s="11" t="n">
        <f aca="false">(CX105+CY105+CZ105+DA105)/4</f>
        <v>0</v>
      </c>
      <c r="DC105" s="9" t="n">
        <v>1</v>
      </c>
      <c r="DD105" s="9" t="n">
        <v>1</v>
      </c>
      <c r="DE105" s="9" t="n">
        <v>1</v>
      </c>
      <c r="DF105" s="9" t="n">
        <v>0</v>
      </c>
      <c r="DG105" s="11" t="n">
        <f aca="false">(DC105+DD105+DE105+DF105)/4</f>
        <v>0.75</v>
      </c>
      <c r="DH105" s="9" t="n">
        <v>1</v>
      </c>
      <c r="DI105" s="9" t="n">
        <v>1</v>
      </c>
      <c r="DJ105" s="9" t="n">
        <v>1</v>
      </c>
      <c r="DK105" s="9" t="n">
        <v>1</v>
      </c>
      <c r="DL105" s="11" t="n">
        <f aca="false">(DH105+DI105+DJ105+DK105)/4</f>
        <v>1</v>
      </c>
      <c r="DM105" s="9" t="n">
        <v>10</v>
      </c>
      <c r="DN105" s="9" t="n">
        <v>104</v>
      </c>
      <c r="DO105" s="9" t="n">
        <v>64</v>
      </c>
      <c r="DP105" s="9" t="n">
        <v>14</v>
      </c>
      <c r="DQ105" s="11" t="n">
        <f aca="false">(DM105+DN105+DO105+DP105)/4</f>
        <v>48</v>
      </c>
      <c r="DR105" s="9" t="n">
        <v>5</v>
      </c>
      <c r="DS105" s="9" t="n">
        <v>16</v>
      </c>
      <c r="DT105" s="9" t="n">
        <v>14</v>
      </c>
      <c r="DU105" s="9" t="n">
        <v>18</v>
      </c>
      <c r="DV105" s="11" t="n">
        <f aca="false">(DR105+DS105+DT105+DU105)/4</f>
        <v>13.25</v>
      </c>
      <c r="DW105" s="9" t="n">
        <v>0</v>
      </c>
      <c r="DX105" s="9" t="n">
        <v>0</v>
      </c>
      <c r="DY105" s="9" t="n">
        <v>0</v>
      </c>
      <c r="DZ105" s="9" t="n">
        <v>0</v>
      </c>
      <c r="EA105" s="11" t="n">
        <f aca="false">(DW105+DX105+DY105+DZ105)/4</f>
        <v>0</v>
      </c>
      <c r="EB105" s="11" t="n">
        <f aca="false">(DW105/DR105)</f>
        <v>0</v>
      </c>
      <c r="EC105" s="11" t="n">
        <f aca="false">(DX105/DS105)</f>
        <v>0</v>
      </c>
      <c r="ED105" s="11" t="n">
        <f aca="false">(DY105/DT105)</f>
        <v>0</v>
      </c>
      <c r="EE105" s="11" t="n">
        <f aca="false">(DZ105/DU105)</f>
        <v>0</v>
      </c>
      <c r="EF105" s="11" t="n">
        <f aca="false">(EA105/DV105)</f>
        <v>0</v>
      </c>
      <c r="EG105" s="11" t="n">
        <f aca="false">(100*EF105)</f>
        <v>0</v>
      </c>
      <c r="EH105" s="9" t="n">
        <v>0</v>
      </c>
      <c r="EI105" s="9" t="n">
        <v>2</v>
      </c>
      <c r="EJ105" s="9" t="n">
        <v>3</v>
      </c>
      <c r="EK105" s="19" t="n">
        <v>4</v>
      </c>
      <c r="EL105" s="9" t="n">
        <v>0</v>
      </c>
      <c r="EM105" s="9" t="n">
        <f aca="false">(EI105+EJ105+EK105+EL105)/4</f>
        <v>2.25</v>
      </c>
      <c r="EN105" s="9" t="n">
        <f aca="false">(EI105/DR105)</f>
        <v>0.4</v>
      </c>
      <c r="EO105" s="9" t="n">
        <f aca="false">(EJ105/DS105)</f>
        <v>0.1875</v>
      </c>
      <c r="EP105" s="9" t="n">
        <f aca="false">(EK105/DT105)</f>
        <v>0.285714285714286</v>
      </c>
      <c r="EQ105" s="9" t="n">
        <f aca="false">(EL105/DU105)</f>
        <v>0</v>
      </c>
      <c r="ER105" s="9" t="n">
        <f aca="false">EM105/DV105</f>
        <v>0.169811320754717</v>
      </c>
      <c r="ES105" s="9" t="n">
        <f aca="false">(100*ER105)</f>
        <v>16.9811320754717</v>
      </c>
      <c r="ET105" s="9" t="n">
        <v>2</v>
      </c>
      <c r="EU105" s="18" t="n">
        <v>0</v>
      </c>
      <c r="EV105" s="9" t="n">
        <v>0</v>
      </c>
      <c r="EW105" s="9" t="n">
        <v>1</v>
      </c>
      <c r="EX105" s="9" t="n">
        <v>1</v>
      </c>
      <c r="EY105" s="11" t="n">
        <f aca="false">(EU105+EV105+EW105+EX105)/4</f>
        <v>0.5</v>
      </c>
      <c r="EZ105" s="11" t="n">
        <f aca="false">(EU105/DR105)</f>
        <v>0</v>
      </c>
      <c r="FA105" s="11" t="n">
        <f aca="false">(EV105/DS105)</f>
        <v>0</v>
      </c>
      <c r="FB105" s="11" t="n">
        <f aca="false">(EW105/DT105)</f>
        <v>0.0714285714285714</v>
      </c>
      <c r="FC105" s="11" t="n">
        <f aca="false">(EX105/DU105)</f>
        <v>0.0555555555555556</v>
      </c>
      <c r="FD105" s="11" t="n">
        <f aca="false">(EY105/DV105)</f>
        <v>0.0377358490566038</v>
      </c>
      <c r="FE105" s="11" t="n">
        <f aca="false">(100*FD105)</f>
        <v>3.77358490566038</v>
      </c>
      <c r="FF105" s="9" t="n">
        <v>1</v>
      </c>
      <c r="FG105" s="9" t="n">
        <v>8</v>
      </c>
      <c r="FH105" s="9" t="n">
        <v>10</v>
      </c>
      <c r="FI105" s="9" t="n">
        <v>9</v>
      </c>
      <c r="FJ105" s="9" t="n">
        <v>2</v>
      </c>
      <c r="FK105" s="11" t="n">
        <f aca="false">(FG105+FH105+FI105+FJ105)/4</f>
        <v>7.25</v>
      </c>
      <c r="FL105" s="11" t="n">
        <f aca="false">(FG105/DR105)</f>
        <v>1.6</v>
      </c>
      <c r="FM105" s="11" t="n">
        <f aca="false">(FH105/DS105)</f>
        <v>0.625</v>
      </c>
      <c r="FN105" s="11" t="n">
        <f aca="false">(FI105/DT105)</f>
        <v>0.642857142857143</v>
      </c>
      <c r="FO105" s="11" t="n">
        <f aca="false">(FJ105/DU105)</f>
        <v>0.111111111111111</v>
      </c>
      <c r="FP105" s="11" t="n">
        <f aca="false">(FK105/DV105)</f>
        <v>0.547169811320755</v>
      </c>
      <c r="FQ105" s="11" t="n">
        <f aca="false">(100*FP105)</f>
        <v>54.7169811320755</v>
      </c>
      <c r="FR105" s="9" t="n">
        <v>3</v>
      </c>
      <c r="FS105" s="9" t="n">
        <v>69.6</v>
      </c>
      <c r="FT105" s="9" t="n">
        <v>68.2</v>
      </c>
      <c r="FU105" s="9" t="n">
        <v>67.4</v>
      </c>
      <c r="FV105" s="9" t="n">
        <v>68.7</v>
      </c>
      <c r="FW105" s="11" t="n">
        <f aca="false">(FS105+FT105+FU105+FV105)/4</f>
        <v>68.475</v>
      </c>
      <c r="FX105" s="9" t="n">
        <v>0</v>
      </c>
      <c r="FY105" s="9" t="n">
        <v>0</v>
      </c>
      <c r="FZ105" s="9" t="n">
        <v>0</v>
      </c>
      <c r="GA105" s="9" t="n">
        <v>0</v>
      </c>
      <c r="GB105" s="11" t="n">
        <f aca="false">(FX105+FY105+FZ105+GA105)/4</f>
        <v>0</v>
      </c>
      <c r="GC105" s="9" t="n">
        <v>1</v>
      </c>
      <c r="GD105" s="9" t="n">
        <v>1</v>
      </c>
      <c r="GE105" s="9" t="n">
        <v>1</v>
      </c>
      <c r="GF105" s="9" t="n">
        <v>1</v>
      </c>
      <c r="GG105" s="11" t="n">
        <f aca="false">(GC105+GD105+GE105+GF105)/4</f>
        <v>1</v>
      </c>
      <c r="GH105" s="9" t="n">
        <v>1</v>
      </c>
      <c r="GI105" s="9" t="n">
        <v>1</v>
      </c>
      <c r="GJ105" s="9" t="n">
        <v>1</v>
      </c>
      <c r="GK105" s="9" t="n">
        <v>1</v>
      </c>
      <c r="GL105" s="11" t="n">
        <f aca="false">(GH105+GI105+GJ105+GK105)/4</f>
        <v>1</v>
      </c>
      <c r="GM105" s="9" t="n">
        <v>56</v>
      </c>
      <c r="GN105" s="9" t="n">
        <v>164</v>
      </c>
      <c r="GO105" s="9" t="n">
        <v>164</v>
      </c>
      <c r="GP105" s="9" t="n">
        <v>87</v>
      </c>
      <c r="GQ105" s="11" t="n">
        <f aca="false">(GM105+GN105+GO105+GP105)/4</f>
        <v>117.75</v>
      </c>
      <c r="GR105" s="9" t="n">
        <v>29</v>
      </c>
      <c r="GS105" s="9" t="n">
        <v>45</v>
      </c>
      <c r="GT105" s="9" t="n">
        <v>39</v>
      </c>
      <c r="GU105" s="9" t="n">
        <v>25</v>
      </c>
      <c r="GV105" s="11" t="n">
        <f aca="false">(GR105+GS105+GT105+GU105)/4</f>
        <v>34.5</v>
      </c>
      <c r="GW105" s="9" t="n">
        <v>0</v>
      </c>
      <c r="GX105" s="9" t="n">
        <v>0</v>
      </c>
      <c r="GY105" s="9" t="n">
        <v>0</v>
      </c>
      <c r="GZ105" s="9" t="n">
        <v>0</v>
      </c>
      <c r="HA105" s="11" t="n">
        <f aca="false">(GW105+GX105+GY105+GZ105)/4</f>
        <v>0</v>
      </c>
      <c r="HB105" s="9" t="n">
        <f aca="false">(GW105/GR105)</f>
        <v>0</v>
      </c>
      <c r="HC105" s="9" t="n">
        <f aca="false">(GX105/GS105)</f>
        <v>0</v>
      </c>
      <c r="HD105" s="9" t="n">
        <f aca="false">(GY105/GT105)</f>
        <v>0</v>
      </c>
      <c r="HE105" s="9" t="n">
        <f aca="false">(GZ105/GU105)/4</f>
        <v>0</v>
      </c>
      <c r="HF105" s="9" t="n">
        <f aca="false">(HB105+HC105+HD105+HE105)/4</f>
        <v>0</v>
      </c>
      <c r="HG105" s="9" t="n">
        <f aca="false">(100*HF105)</f>
        <v>0</v>
      </c>
      <c r="HH105" s="18" t="n">
        <v>0</v>
      </c>
      <c r="HI105" s="9" t="n">
        <v>6</v>
      </c>
      <c r="HJ105" s="9" t="n">
        <v>4</v>
      </c>
      <c r="HK105" s="9" t="n">
        <v>2</v>
      </c>
      <c r="HL105" s="19" t="n">
        <v>6</v>
      </c>
      <c r="HM105" s="9" t="n">
        <f aca="false">(HI105+HJ105+HK105+HL105)/4</f>
        <v>4.5</v>
      </c>
      <c r="HN105" s="9" t="n">
        <f aca="false">(HI105/GR105)</f>
        <v>0.206896551724138</v>
      </c>
      <c r="HO105" s="9" t="n">
        <f aca="false">(HJ105/GS105)</f>
        <v>0.0888888888888889</v>
      </c>
      <c r="HP105" s="9" t="n">
        <f aca="false">(HK105/GT105)</f>
        <v>0.0512820512820513</v>
      </c>
      <c r="HQ105" s="9" t="n">
        <f aca="false">(HL105/GU105)</f>
        <v>0.24</v>
      </c>
      <c r="HR105" s="9" t="n">
        <f aca="false">(HM105/GV105)</f>
        <v>0.130434782608696</v>
      </c>
      <c r="HS105" s="9" t="n">
        <f aca="false">(100*HR105)</f>
        <v>13.0434782608696</v>
      </c>
      <c r="HT105" s="18" t="n">
        <v>2</v>
      </c>
      <c r="HU105" s="9" t="n">
        <v>0</v>
      </c>
      <c r="HV105" s="9" t="n">
        <v>0</v>
      </c>
      <c r="HW105" s="9" t="n">
        <v>0</v>
      </c>
      <c r="HX105" s="19" t="n">
        <v>0</v>
      </c>
      <c r="HY105" s="9" t="n">
        <f aca="false">(HU105+HV105+HW105+HX105)/4</f>
        <v>0</v>
      </c>
      <c r="HZ105" s="9" t="n">
        <f aca="false">(HU105/GR105)</f>
        <v>0</v>
      </c>
      <c r="IA105" s="9" t="n">
        <f aca="false">HV105/GS105</f>
        <v>0</v>
      </c>
      <c r="IB105" s="9" t="n">
        <f aca="false">(HW105/GT105)</f>
        <v>0</v>
      </c>
      <c r="IC105" s="9" t="n">
        <f aca="false">(HX105/GU105)</f>
        <v>0</v>
      </c>
      <c r="ID105" s="9" t="n">
        <f aca="false">(HY105/GV105)</f>
        <v>0</v>
      </c>
      <c r="IE105" s="9" t="n">
        <f aca="false">(100*ID105)</f>
        <v>0</v>
      </c>
      <c r="IF105" s="18" t="n">
        <v>0</v>
      </c>
      <c r="IG105" s="9" t="n">
        <v>3</v>
      </c>
      <c r="IH105" s="9" t="n">
        <v>2</v>
      </c>
      <c r="II105" s="19" t="n">
        <v>3</v>
      </c>
      <c r="IJ105" s="9" t="n">
        <v>8</v>
      </c>
      <c r="IK105" s="9" t="n">
        <f aca="false">(IG105+IH105+II105+IJ105)/4</f>
        <v>4</v>
      </c>
      <c r="IL105" s="9" t="n">
        <f aca="false">(IG105/GM105)</f>
        <v>0.0535714285714286</v>
      </c>
      <c r="IM105" s="9" t="n">
        <f aca="false">(IH105/GN105)</f>
        <v>0.0121951219512195</v>
      </c>
      <c r="IN105" s="9" t="n">
        <f aca="false">(II105/GO105)</f>
        <v>0.0182926829268293</v>
      </c>
      <c r="IO105" s="9" t="n">
        <f aca="false">(IJ105/GP105)</f>
        <v>0.0919540229885058</v>
      </c>
      <c r="IP105" s="9" t="n">
        <f aca="false">(IK105/GQ105)</f>
        <v>0.0339702760084926</v>
      </c>
      <c r="IQ105" s="9" t="n">
        <f aca="false">(100*IP105)</f>
        <v>3.39702760084926</v>
      </c>
      <c r="IR105" s="18" t="n">
        <v>1</v>
      </c>
      <c r="IS105" s="9" t="n">
        <v>41</v>
      </c>
      <c r="IT105" s="9" t="n">
        <v>50.3</v>
      </c>
      <c r="IU105" s="19" t="n">
        <v>68.1</v>
      </c>
      <c r="IV105" s="9" t="n">
        <v>60.1</v>
      </c>
      <c r="IW105" s="9" t="n">
        <f aca="false">(IS105+IT105+IU105+IV105)/4</f>
        <v>54.875</v>
      </c>
      <c r="IX105" s="16" t="n">
        <v>45240</v>
      </c>
      <c r="IY105" s="10" t="s">
        <v>268</v>
      </c>
    </row>
    <row r="106" customFormat="false" ht="15.75" hidden="false" customHeight="true" outlineLevel="0" collapsed="false">
      <c r="A106" s="9" t="s">
        <v>370</v>
      </c>
      <c r="B106" s="10" t="s">
        <v>507</v>
      </c>
      <c r="C106" s="10" t="s">
        <v>400</v>
      </c>
      <c r="D106" s="9" t="n">
        <v>4</v>
      </c>
      <c r="E106" s="9" t="n">
        <v>35</v>
      </c>
      <c r="F106" s="10" t="s">
        <v>512</v>
      </c>
      <c r="G106" s="10" t="s">
        <v>297</v>
      </c>
      <c r="H106" s="9" t="n">
        <v>21</v>
      </c>
      <c r="I106" s="9" t="n">
        <v>20</v>
      </c>
      <c r="J106" s="10" t="s">
        <v>272</v>
      </c>
      <c r="K106" s="20"/>
      <c r="L106" s="20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 t="n">
        <v>0</v>
      </c>
      <c r="Y106" s="9" t="n">
        <v>0</v>
      </c>
      <c r="Z106" s="9" t="n">
        <v>0</v>
      </c>
      <c r="AA106" s="9" t="n">
        <v>0</v>
      </c>
      <c r="AB106" s="11" t="n">
        <f aca="false">(X106+Y106+Z106+AA106)/4</f>
        <v>0</v>
      </c>
      <c r="AC106" s="9" t="n">
        <v>1</v>
      </c>
      <c r="AD106" s="9" t="n">
        <v>1</v>
      </c>
      <c r="AE106" s="9" t="n">
        <v>1</v>
      </c>
      <c r="AF106" s="9" t="n">
        <v>1</v>
      </c>
      <c r="AG106" s="11" t="n">
        <f aca="false">(AC106+AD106+AE106+AF106)/4</f>
        <v>1</v>
      </c>
      <c r="AH106" s="9" t="n">
        <v>1</v>
      </c>
      <c r="AI106" s="9" t="n">
        <v>1</v>
      </c>
      <c r="AJ106" s="9" t="n">
        <v>1</v>
      </c>
      <c r="AK106" s="9" t="n">
        <v>1</v>
      </c>
      <c r="AL106" s="11" t="n">
        <f aca="false">(AH106+AI106+AJ106+AK106)/4</f>
        <v>1</v>
      </c>
      <c r="AM106" s="9" t="n">
        <v>14</v>
      </c>
      <c r="AN106" s="9" t="n">
        <v>44</v>
      </c>
      <c r="AO106" s="9" t="n">
        <v>56</v>
      </c>
      <c r="AP106" s="9" t="n">
        <v>42</v>
      </c>
      <c r="AQ106" s="11" t="n">
        <f aca="false">(AM106+AN106+AO106+AP106)/4</f>
        <v>39</v>
      </c>
      <c r="AR106" s="9" t="n">
        <v>19</v>
      </c>
      <c r="AS106" s="9" t="n">
        <v>27</v>
      </c>
      <c r="AT106" s="9" t="n">
        <v>19</v>
      </c>
      <c r="AU106" s="9" t="n">
        <v>9</v>
      </c>
      <c r="AV106" s="11" t="n">
        <f aca="false">(AR106+AS106+AT106+AU106)/4</f>
        <v>18.5</v>
      </c>
      <c r="AW106" s="9" t="n">
        <v>0</v>
      </c>
      <c r="AX106" s="9" t="n">
        <v>0</v>
      </c>
      <c r="AY106" s="9" t="n">
        <v>0</v>
      </c>
      <c r="AZ106" s="9" t="n">
        <v>0</v>
      </c>
      <c r="BA106" s="11" t="n">
        <f aca="false">(AW106+AX106+AY106+AZ106)/4</f>
        <v>0</v>
      </c>
      <c r="BB106" s="11" t="n">
        <f aca="false">(AW106/AR106)</f>
        <v>0</v>
      </c>
      <c r="BC106" s="11" t="n">
        <f aca="false">(AX106/AS106)</f>
        <v>0</v>
      </c>
      <c r="BD106" s="11" t="n">
        <f aca="false">(AY106/AT106)</f>
        <v>0</v>
      </c>
      <c r="BE106" s="11" t="n">
        <f aca="false">(AZ106/AU106)</f>
        <v>0</v>
      </c>
      <c r="BF106" s="11" t="n">
        <f aca="false">(BA106/AV106)</f>
        <v>0</v>
      </c>
      <c r="BG106" s="11" t="n">
        <f aca="false">(BF106*100)</f>
        <v>0</v>
      </c>
      <c r="BH106" s="9" t="n">
        <v>0</v>
      </c>
      <c r="BI106" s="9" t="n">
        <v>8</v>
      </c>
      <c r="BJ106" s="9" t="n">
        <v>10</v>
      </c>
      <c r="BK106" s="9" t="n">
        <v>2</v>
      </c>
      <c r="BL106" s="9" t="n">
        <v>3</v>
      </c>
      <c r="BM106" s="11" t="n">
        <f aca="false">(BI106+BJ106+BK106+BL106)/4</f>
        <v>5.75</v>
      </c>
      <c r="BN106" s="11" t="n">
        <f aca="false">(BI106/AR106)</f>
        <v>0.421052631578947</v>
      </c>
      <c r="BO106" s="11" t="n">
        <f aca="false">(BJ106/AS106)</f>
        <v>0.37037037037037</v>
      </c>
      <c r="BP106" s="11" t="n">
        <f aca="false">(BK106/AT106)</f>
        <v>0.105263157894737</v>
      </c>
      <c r="BQ106" s="11" t="n">
        <f aca="false">(BL106/AU106)</f>
        <v>0.333333333333333</v>
      </c>
      <c r="BR106" s="11" t="n">
        <f aca="false">(BM106/AV106)</f>
        <v>0.310810810810811</v>
      </c>
      <c r="BS106" s="11" t="n">
        <f aca="false">(100*BR106)</f>
        <v>31.0810810810811</v>
      </c>
      <c r="BT106" s="9" t="n">
        <v>3</v>
      </c>
      <c r="BU106" s="9" t="n">
        <v>0</v>
      </c>
      <c r="BV106" s="9" t="n">
        <v>0</v>
      </c>
      <c r="BW106" s="9" t="n">
        <v>2</v>
      </c>
      <c r="BX106" s="9" t="n">
        <v>1</v>
      </c>
      <c r="BY106" s="11" t="n">
        <f aca="false">(BU106+BV106+BW106+BX106)/4</f>
        <v>0.75</v>
      </c>
      <c r="BZ106" s="11" t="n">
        <f aca="false">(BU106/AR106)</f>
        <v>0</v>
      </c>
      <c r="CA106" s="11" t="n">
        <f aca="false">(BV106/AS106)</f>
        <v>0</v>
      </c>
      <c r="CB106" s="11" t="n">
        <f aca="false">(BW106/AT106)</f>
        <v>0.105263157894737</v>
      </c>
      <c r="CC106" s="11" t="n">
        <f aca="false">(BX106/AU106)</f>
        <v>0.111111111111111</v>
      </c>
      <c r="CD106" s="11" t="n">
        <f aca="false">(BY106/AV106)</f>
        <v>0.0405405405405405</v>
      </c>
      <c r="CE106" s="11" t="n">
        <f aca="false">(100*CD106)</f>
        <v>4.05405405405405</v>
      </c>
      <c r="CF106" s="9" t="n">
        <v>1</v>
      </c>
      <c r="CG106" s="9" t="n">
        <v>4</v>
      </c>
      <c r="CH106" s="9" t="n">
        <v>2</v>
      </c>
      <c r="CI106" s="9" t="n">
        <v>8</v>
      </c>
      <c r="CJ106" s="9" t="n">
        <v>8</v>
      </c>
      <c r="CK106" s="11" t="n">
        <f aca="false">(CG106+CH106+CI106+CJ106)/4</f>
        <v>5.5</v>
      </c>
      <c r="CL106" s="11" t="n">
        <f aca="false">(CG106/AM106)</f>
        <v>0.285714285714286</v>
      </c>
      <c r="CM106" s="11" t="n">
        <f aca="false">(CH106/AN106)</f>
        <v>0.0454545454545455</v>
      </c>
      <c r="CN106" s="11" t="n">
        <f aca="false">(CI106/AO106)</f>
        <v>0.142857142857143</v>
      </c>
      <c r="CO106" s="9" t="n">
        <f aca="false">(CJ106/AP106)</f>
        <v>0.19047619047619</v>
      </c>
      <c r="CP106" s="9" t="n">
        <f aca="false">(CK106/AQ106)</f>
        <v>0.141025641025641</v>
      </c>
      <c r="CQ106" s="9" t="n">
        <f aca="false">(100*CP106)</f>
        <v>14.1025641025641</v>
      </c>
      <c r="CR106" s="18" t="n">
        <v>2</v>
      </c>
      <c r="CS106" s="9" t="n">
        <v>78</v>
      </c>
      <c r="CT106" s="9" t="n">
        <v>71</v>
      </c>
      <c r="CU106" s="9" t="n">
        <v>64.8</v>
      </c>
      <c r="CV106" s="9" t="n">
        <v>80.7</v>
      </c>
      <c r="CW106" s="11" t="n">
        <f aca="false">(CS106+CT106+CU106+CV106)/4</f>
        <v>73.625</v>
      </c>
      <c r="CX106" s="9" t="n">
        <v>0</v>
      </c>
      <c r="CY106" s="9" t="n">
        <v>0</v>
      </c>
      <c r="CZ106" s="9" t="n">
        <v>0</v>
      </c>
      <c r="DA106" s="9" t="n">
        <v>0</v>
      </c>
      <c r="DB106" s="11" t="n">
        <f aca="false">(CX106+CY106+CZ106+DA106)/4</f>
        <v>0</v>
      </c>
      <c r="DC106" s="9" t="n">
        <v>1</v>
      </c>
      <c r="DD106" s="9" t="n">
        <v>1</v>
      </c>
      <c r="DE106" s="9" t="n">
        <v>1</v>
      </c>
      <c r="DF106" s="9" t="n">
        <v>1</v>
      </c>
      <c r="DG106" s="11" t="n">
        <f aca="false">(DC106+DD106+DE106+DF106)/4</f>
        <v>1</v>
      </c>
      <c r="DH106" s="9" t="n">
        <v>1</v>
      </c>
      <c r="DI106" s="9" t="n">
        <v>1</v>
      </c>
      <c r="DJ106" s="9" t="n">
        <v>1</v>
      </c>
      <c r="DK106" s="9" t="n">
        <v>1</v>
      </c>
      <c r="DL106" s="11" t="n">
        <f aca="false">(DH106+DI106+DJ106+DK106)/4</f>
        <v>1</v>
      </c>
      <c r="DM106" s="9" t="n">
        <v>12</v>
      </c>
      <c r="DN106" s="9" t="n">
        <v>42</v>
      </c>
      <c r="DO106" s="9" t="n">
        <v>97</v>
      </c>
      <c r="DP106" s="9" t="n">
        <v>21</v>
      </c>
      <c r="DQ106" s="11" t="n">
        <f aca="false">(DM106+DN106+DO106+DP106)/4</f>
        <v>43</v>
      </c>
      <c r="DR106" s="9" t="n">
        <v>11</v>
      </c>
      <c r="DS106" s="9" t="n">
        <v>80</v>
      </c>
      <c r="DT106" s="9" t="n">
        <v>12</v>
      </c>
      <c r="DU106" s="9" t="n">
        <v>10</v>
      </c>
      <c r="DV106" s="11" t="n">
        <f aca="false">(DR106+DS106+DT106+DU106)/4</f>
        <v>28.25</v>
      </c>
      <c r="DW106" s="9" t="n">
        <v>0</v>
      </c>
      <c r="DX106" s="9" t="n">
        <v>0</v>
      </c>
      <c r="DY106" s="9" t="n">
        <v>0</v>
      </c>
      <c r="DZ106" s="9" t="n">
        <v>0</v>
      </c>
      <c r="EA106" s="11" t="n">
        <f aca="false">(DW106+DX106+DY106+DZ106)/4</f>
        <v>0</v>
      </c>
      <c r="EB106" s="11" t="n">
        <f aca="false">(DW106/DR106)</f>
        <v>0</v>
      </c>
      <c r="EC106" s="11" t="n">
        <f aca="false">(DX106/DS106)</f>
        <v>0</v>
      </c>
      <c r="ED106" s="11" t="n">
        <f aca="false">(DY106/DT106)</f>
        <v>0</v>
      </c>
      <c r="EE106" s="11" t="n">
        <f aca="false">(DZ106/DU106)</f>
        <v>0</v>
      </c>
      <c r="EF106" s="11" t="n">
        <f aca="false">(EA106/DV106)</f>
        <v>0</v>
      </c>
      <c r="EG106" s="11" t="n">
        <f aca="false">(100*EF106)</f>
        <v>0</v>
      </c>
      <c r="EH106" s="9" t="n">
        <v>0</v>
      </c>
      <c r="EI106" s="9" t="n">
        <v>6</v>
      </c>
      <c r="EJ106" s="9" t="n">
        <v>2</v>
      </c>
      <c r="EK106" s="19" t="n">
        <v>4</v>
      </c>
      <c r="EL106" s="9" t="n">
        <v>5</v>
      </c>
      <c r="EM106" s="9" t="n">
        <f aca="false">(EI106+EJ106+EK106+EL106)/4</f>
        <v>4.25</v>
      </c>
      <c r="EN106" s="9" t="n">
        <f aca="false">(EI106/DR106)</f>
        <v>0.545454545454545</v>
      </c>
      <c r="EO106" s="9" t="n">
        <f aca="false">(EJ106/DS106)</f>
        <v>0.025</v>
      </c>
      <c r="EP106" s="9" t="n">
        <f aca="false">(EK106/DT106)</f>
        <v>0.333333333333333</v>
      </c>
      <c r="EQ106" s="9" t="n">
        <f aca="false">(EL106/DU106)</f>
        <v>0.5</v>
      </c>
      <c r="ER106" s="9" t="n">
        <f aca="false">EM106/DV106</f>
        <v>0.150442477876106</v>
      </c>
      <c r="ES106" s="9" t="n">
        <f aca="false">(100*ER106)</f>
        <v>15.0442477876106</v>
      </c>
      <c r="ET106" s="9" t="n">
        <v>2</v>
      </c>
      <c r="EU106" s="18" t="n">
        <v>0</v>
      </c>
      <c r="EV106" s="9" t="n">
        <v>0</v>
      </c>
      <c r="EW106" s="9" t="n">
        <v>4</v>
      </c>
      <c r="EX106" s="9" t="n">
        <v>1</v>
      </c>
      <c r="EY106" s="11" t="n">
        <f aca="false">(EU106+EV106+EW106+EX106)/4</f>
        <v>1.25</v>
      </c>
      <c r="EZ106" s="11" t="n">
        <f aca="false">(EU106/DR106)</f>
        <v>0</v>
      </c>
      <c r="FA106" s="11" t="n">
        <f aca="false">(EV106/DS106)</f>
        <v>0</v>
      </c>
      <c r="FB106" s="11" t="n">
        <f aca="false">(EW106/DT106)</f>
        <v>0.333333333333333</v>
      </c>
      <c r="FC106" s="11" t="n">
        <f aca="false">(EX106/DU106)</f>
        <v>0.1</v>
      </c>
      <c r="FD106" s="11" t="n">
        <f aca="false">(EY106/DV106)</f>
        <v>0.0442477876106195</v>
      </c>
      <c r="FE106" s="11" t="n">
        <f aca="false">(100*FD106)</f>
        <v>4.42477876106195</v>
      </c>
      <c r="FF106" s="9" t="n">
        <v>1</v>
      </c>
      <c r="FG106" s="9" t="n">
        <v>2</v>
      </c>
      <c r="FH106" s="9" t="n">
        <v>1</v>
      </c>
      <c r="FI106" s="9" t="n">
        <v>2</v>
      </c>
      <c r="FJ106" s="9" t="n">
        <v>3</v>
      </c>
      <c r="FK106" s="11" t="n">
        <f aca="false">(FG106+FH106+FI106+FJ106)/4</f>
        <v>2</v>
      </c>
      <c r="FL106" s="11" t="n">
        <f aca="false">(FG106/DR106)</f>
        <v>0.181818181818182</v>
      </c>
      <c r="FM106" s="11" t="n">
        <f aca="false">(FH106/DS106)</f>
        <v>0.0125</v>
      </c>
      <c r="FN106" s="11" t="n">
        <f aca="false">(FI106/DT106)</f>
        <v>0.166666666666667</v>
      </c>
      <c r="FO106" s="11" t="n">
        <f aca="false">(FJ106/DU106)</f>
        <v>0.3</v>
      </c>
      <c r="FP106" s="11" t="n">
        <f aca="false">(FK106/DV106)</f>
        <v>0.0707964601769912</v>
      </c>
      <c r="FQ106" s="11" t="n">
        <f aca="false">(100*FP106)</f>
        <v>7.07964601769912</v>
      </c>
      <c r="FR106" s="9" t="n">
        <v>1</v>
      </c>
      <c r="FS106" s="9" t="n">
        <v>64.5</v>
      </c>
      <c r="FT106" s="9" t="n">
        <v>62.4</v>
      </c>
      <c r="FU106" s="9" t="n">
        <v>74</v>
      </c>
      <c r="FV106" s="9" t="n">
        <v>71.6</v>
      </c>
      <c r="FW106" s="11" t="n">
        <f aca="false">(FS106+FT106+FU106+FV106)/4</f>
        <v>68.125</v>
      </c>
      <c r="FX106" s="9" t="n">
        <v>0</v>
      </c>
      <c r="FY106" s="9" t="n">
        <v>0</v>
      </c>
      <c r="FZ106" s="9" t="n">
        <v>0</v>
      </c>
      <c r="GA106" s="9" t="n">
        <v>0</v>
      </c>
      <c r="GB106" s="11" t="n">
        <f aca="false">(FX106+FY106+FZ106+GA106)/4</f>
        <v>0</v>
      </c>
      <c r="GC106" s="9" t="n">
        <v>1</v>
      </c>
      <c r="GD106" s="9" t="n">
        <v>1</v>
      </c>
      <c r="GE106" s="9" t="n">
        <v>1</v>
      </c>
      <c r="GF106" s="9" t="n">
        <v>1</v>
      </c>
      <c r="GG106" s="11" t="n">
        <f aca="false">(GC106+GD106+GE106+GF106)/4</f>
        <v>1</v>
      </c>
      <c r="GH106" s="9" t="n">
        <v>1</v>
      </c>
      <c r="GI106" s="9" t="n">
        <v>1</v>
      </c>
      <c r="GJ106" s="9" t="n">
        <v>1</v>
      </c>
      <c r="GK106" s="9" t="n">
        <v>1</v>
      </c>
      <c r="GL106" s="11" t="n">
        <f aca="false">(GH106+GI106+GJ106+GK106)/4</f>
        <v>1</v>
      </c>
      <c r="GM106" s="9" t="n">
        <v>28</v>
      </c>
      <c r="GN106" s="9" t="n">
        <v>51</v>
      </c>
      <c r="GO106" s="9" t="n">
        <v>142</v>
      </c>
      <c r="GP106" s="9" t="n">
        <v>57</v>
      </c>
      <c r="GQ106" s="11" t="n">
        <f aca="false">(GM106+GN106+GO106+GP106)/4</f>
        <v>69.5</v>
      </c>
      <c r="GR106" s="9" t="n">
        <v>16</v>
      </c>
      <c r="GS106" s="9" t="n">
        <v>14</v>
      </c>
      <c r="GT106" s="9" t="n">
        <v>23</v>
      </c>
      <c r="GU106" s="9" t="n">
        <v>31</v>
      </c>
      <c r="GV106" s="11" t="n">
        <f aca="false">(GR106+GS106+GT106+GU106)/4</f>
        <v>21</v>
      </c>
      <c r="GW106" s="9" t="n">
        <v>0</v>
      </c>
      <c r="GX106" s="9" t="n">
        <v>0</v>
      </c>
      <c r="GY106" s="9" t="n">
        <v>0</v>
      </c>
      <c r="GZ106" s="9" t="n">
        <v>0</v>
      </c>
      <c r="HA106" s="11" t="n">
        <f aca="false">(GW106+GX106+GY106+GZ106)/4</f>
        <v>0</v>
      </c>
      <c r="HB106" s="9" t="n">
        <f aca="false">(GW106/GR106)</f>
        <v>0</v>
      </c>
      <c r="HC106" s="9" t="n">
        <f aca="false">(GX106/GS106)</f>
        <v>0</v>
      </c>
      <c r="HD106" s="9" t="n">
        <f aca="false">(GY106/GT106)</f>
        <v>0</v>
      </c>
      <c r="HE106" s="9" t="n">
        <f aca="false">(GZ106/GU106)/4</f>
        <v>0</v>
      </c>
      <c r="HF106" s="9" t="n">
        <f aca="false">(HB106+HC106+HD106+HE106)/4</f>
        <v>0</v>
      </c>
      <c r="HG106" s="9" t="n">
        <f aca="false">(100*HF106)</f>
        <v>0</v>
      </c>
      <c r="HH106" s="18" t="n">
        <v>0</v>
      </c>
      <c r="HI106" s="9" t="n">
        <v>5</v>
      </c>
      <c r="HJ106" s="9" t="n">
        <v>1</v>
      </c>
      <c r="HK106" s="9" t="n">
        <v>10</v>
      </c>
      <c r="HL106" s="19" t="n">
        <v>6</v>
      </c>
      <c r="HM106" s="9" t="n">
        <f aca="false">(HI106+HJ106+HK106+HL106)/4</f>
        <v>5.5</v>
      </c>
      <c r="HN106" s="9" t="n">
        <f aca="false">(HI106/GR106)</f>
        <v>0.3125</v>
      </c>
      <c r="HO106" s="9" t="n">
        <f aca="false">(HJ106/GS106)</f>
        <v>0.0714285714285714</v>
      </c>
      <c r="HP106" s="9" t="n">
        <f aca="false">(HK106/GT106)</f>
        <v>0.434782608695652</v>
      </c>
      <c r="HQ106" s="9" t="n">
        <f aca="false">(HL106/GU106)</f>
        <v>0.193548387096774</v>
      </c>
      <c r="HR106" s="9" t="n">
        <f aca="false">(HM106/GV106)</f>
        <v>0.261904761904762</v>
      </c>
      <c r="HS106" s="9" t="n">
        <f aca="false">(100*HR106)</f>
        <v>26.1904761904762</v>
      </c>
      <c r="HT106" s="18" t="n">
        <v>2</v>
      </c>
      <c r="HU106" s="9" t="n">
        <v>0</v>
      </c>
      <c r="HV106" s="9" t="n">
        <v>0</v>
      </c>
      <c r="HW106" s="9" t="n">
        <v>9</v>
      </c>
      <c r="HX106" s="19" t="n">
        <v>0</v>
      </c>
      <c r="HY106" s="9" t="n">
        <f aca="false">(HU106+HV106+HW106+HX106)/4</f>
        <v>2.25</v>
      </c>
      <c r="HZ106" s="9" t="n">
        <f aca="false">(HU106/GR106)</f>
        <v>0</v>
      </c>
      <c r="IA106" s="9" t="n">
        <f aca="false">HV106/GS106</f>
        <v>0</v>
      </c>
      <c r="IB106" s="9" t="n">
        <f aca="false">(HW106/GT106)</f>
        <v>0.391304347826087</v>
      </c>
      <c r="IC106" s="9" t="n">
        <f aca="false">(HX106/GU106)</f>
        <v>0</v>
      </c>
      <c r="ID106" s="9" t="n">
        <f aca="false">(HY106/GV106)</f>
        <v>0.107142857142857</v>
      </c>
      <c r="IE106" s="9" t="n">
        <f aca="false">(100*ID106)</f>
        <v>10.7142857142857</v>
      </c>
      <c r="IF106" s="18" t="n">
        <v>2</v>
      </c>
      <c r="IG106" s="9" t="n">
        <v>8</v>
      </c>
      <c r="IH106" s="9" t="n">
        <v>2</v>
      </c>
      <c r="II106" s="19" t="n">
        <v>38</v>
      </c>
      <c r="IJ106" s="9" t="n">
        <v>12</v>
      </c>
      <c r="IK106" s="9" t="n">
        <f aca="false">(IG106+IH106+II106+IJ106)/4</f>
        <v>15</v>
      </c>
      <c r="IL106" s="9" t="n">
        <f aca="false">(IG106/GM106)</f>
        <v>0.285714285714286</v>
      </c>
      <c r="IM106" s="9" t="n">
        <f aca="false">(IH106/GN106)</f>
        <v>0.0392156862745098</v>
      </c>
      <c r="IN106" s="9" t="n">
        <f aca="false">(II106/GO106)</f>
        <v>0.267605633802817</v>
      </c>
      <c r="IO106" s="9" t="n">
        <f aca="false">(IJ106/GP106)</f>
        <v>0.210526315789474</v>
      </c>
      <c r="IP106" s="9" t="n">
        <f aca="false">(IK106/GQ106)</f>
        <v>0.215827338129496</v>
      </c>
      <c r="IQ106" s="9" t="n">
        <f aca="false">(100*IP106)</f>
        <v>21.5827338129496</v>
      </c>
      <c r="IR106" s="18" t="n">
        <v>2</v>
      </c>
      <c r="IS106" s="9" t="n">
        <v>75.3</v>
      </c>
      <c r="IT106" s="9" t="n">
        <v>55.6</v>
      </c>
      <c r="IU106" s="19" t="n">
        <v>53.6</v>
      </c>
      <c r="IV106" s="9" t="n">
        <v>70.4</v>
      </c>
      <c r="IW106" s="9" t="n">
        <f aca="false">(IS106+IT106+IU106+IV106)/4</f>
        <v>63.725</v>
      </c>
      <c r="IX106" s="16" t="n">
        <v>45240</v>
      </c>
      <c r="IY106" s="10" t="s">
        <v>268</v>
      </c>
    </row>
    <row r="107" customFormat="false" ht="15.75" hidden="false" customHeight="true" outlineLevel="0" collapsed="false">
      <c r="A107" s="9" t="s">
        <v>259</v>
      </c>
      <c r="B107" s="10" t="s">
        <v>513</v>
      </c>
      <c r="C107" s="10" t="s">
        <v>514</v>
      </c>
      <c r="D107" s="9" t="n">
        <v>1</v>
      </c>
      <c r="E107" s="9" t="n">
        <v>36</v>
      </c>
      <c r="F107" s="10" t="s">
        <v>515</v>
      </c>
      <c r="G107" s="11" t="s">
        <v>263</v>
      </c>
      <c r="H107" s="9" t="n">
        <v>21</v>
      </c>
      <c r="I107" s="9" t="n">
        <v>5</v>
      </c>
      <c r="J107" s="12" t="s">
        <v>264</v>
      </c>
      <c r="K107" s="13" t="s">
        <v>516</v>
      </c>
      <c r="L107" s="13" t="s">
        <v>517</v>
      </c>
      <c r="M107" s="14" t="n">
        <v>1299</v>
      </c>
      <c r="N107" s="15" t="n">
        <v>45135</v>
      </c>
      <c r="O107" s="10" t="s">
        <v>267</v>
      </c>
      <c r="P107" s="9"/>
      <c r="Q107" s="9" t="n">
        <v>60.51</v>
      </c>
      <c r="R107" s="9" t="n">
        <v>20</v>
      </c>
      <c r="S107" s="9" t="n">
        <v>-5</v>
      </c>
      <c r="T107" s="9" t="n">
        <v>70</v>
      </c>
      <c r="U107" s="9"/>
      <c r="V107" s="9" t="n">
        <v>3.69</v>
      </c>
      <c r="W107" s="9" t="s">
        <v>518</v>
      </c>
      <c r="X107" s="9" t="n">
        <v>0</v>
      </c>
      <c r="Y107" s="9" t="n">
        <v>0</v>
      </c>
      <c r="Z107" s="9" t="n">
        <v>0</v>
      </c>
      <c r="AA107" s="9" t="n">
        <v>0</v>
      </c>
      <c r="AB107" s="11" t="n">
        <f aca="false">(X107+Y107+Z107+AA107)/4</f>
        <v>0</v>
      </c>
      <c r="AC107" s="9" t="n">
        <v>1</v>
      </c>
      <c r="AD107" s="9" t="n">
        <v>1</v>
      </c>
      <c r="AE107" s="9" t="n">
        <v>1</v>
      </c>
      <c r="AF107" s="9" t="n">
        <v>1</v>
      </c>
      <c r="AG107" s="11" t="n">
        <f aca="false">(AC107+AD107+AE107+AF107)/4</f>
        <v>1</v>
      </c>
      <c r="AH107" s="9" t="n">
        <v>1</v>
      </c>
      <c r="AI107" s="9" t="n">
        <v>1</v>
      </c>
      <c r="AJ107" s="9" t="n">
        <v>1</v>
      </c>
      <c r="AK107" s="9" t="n">
        <v>1</v>
      </c>
      <c r="AL107" s="11" t="n">
        <f aca="false">(AH107+AI107+AJ107+AK107)/4</f>
        <v>1</v>
      </c>
      <c r="AM107" s="9" t="n">
        <v>38</v>
      </c>
      <c r="AN107" s="9" t="n">
        <v>102</v>
      </c>
      <c r="AO107" s="9" t="n">
        <v>32</v>
      </c>
      <c r="AP107" s="9" t="n">
        <v>60</v>
      </c>
      <c r="AQ107" s="11" t="n">
        <f aca="false">(AM107+AN107+AO107+AP107)/4</f>
        <v>58</v>
      </c>
      <c r="AR107" s="9" t="n">
        <v>11</v>
      </c>
      <c r="AS107" s="9" t="n">
        <v>8</v>
      </c>
      <c r="AT107" s="9" t="n">
        <v>12</v>
      </c>
      <c r="AU107" s="9" t="n">
        <v>32</v>
      </c>
      <c r="AV107" s="11" t="n">
        <f aca="false">(AR107+AS107+AT107+AU107)/4</f>
        <v>15.75</v>
      </c>
      <c r="AW107" s="9" t="n">
        <v>0</v>
      </c>
      <c r="AX107" s="9" t="n">
        <v>0</v>
      </c>
      <c r="AY107" s="9" t="n">
        <v>0</v>
      </c>
      <c r="AZ107" s="9" t="n">
        <v>0</v>
      </c>
      <c r="BA107" s="11" t="n">
        <f aca="false">(AW107+AX107+AY107+AZ107)/4</f>
        <v>0</v>
      </c>
      <c r="BB107" s="11" t="n">
        <f aca="false">(AW107/AR107)</f>
        <v>0</v>
      </c>
      <c r="BC107" s="11" t="n">
        <f aca="false">(AX107/AS107)</f>
        <v>0</v>
      </c>
      <c r="BD107" s="11" t="n">
        <f aca="false">(AY107/AT107)</f>
        <v>0</v>
      </c>
      <c r="BE107" s="11" t="n">
        <f aca="false">(AZ107/AU107)</f>
        <v>0</v>
      </c>
      <c r="BF107" s="11" t="n">
        <f aca="false">(BA107/AV107)</f>
        <v>0</v>
      </c>
      <c r="BG107" s="11" t="n">
        <f aca="false">(BF107*100)</f>
        <v>0</v>
      </c>
      <c r="BH107" s="9" t="n">
        <v>0</v>
      </c>
      <c r="BI107" s="9" t="n">
        <v>5</v>
      </c>
      <c r="BJ107" s="9" t="n">
        <v>8</v>
      </c>
      <c r="BK107" s="9" t="n">
        <v>2</v>
      </c>
      <c r="BL107" s="9" t="n">
        <v>4</v>
      </c>
      <c r="BM107" s="11" t="n">
        <f aca="false">(BI107+BJ107+BK107+BL107)/4</f>
        <v>4.75</v>
      </c>
      <c r="BN107" s="11" t="n">
        <f aca="false">(BI107/AR107)</f>
        <v>0.454545454545455</v>
      </c>
      <c r="BO107" s="11" t="n">
        <f aca="false">(BJ107/AS107)</f>
        <v>1</v>
      </c>
      <c r="BP107" s="11" t="n">
        <f aca="false">(BK107/AT107)</f>
        <v>0.166666666666667</v>
      </c>
      <c r="BQ107" s="11" t="n">
        <f aca="false">(BL107/AU107)</f>
        <v>0.125</v>
      </c>
      <c r="BR107" s="11" t="n">
        <f aca="false">(BM107/AV107)</f>
        <v>0.301587301587302</v>
      </c>
      <c r="BS107" s="11" t="n">
        <f aca="false">(100*BR107)</f>
        <v>30.1587301587302</v>
      </c>
      <c r="BT107" s="9" t="n">
        <v>3</v>
      </c>
      <c r="BU107" s="9" t="n">
        <v>0</v>
      </c>
      <c r="BV107" s="9" t="n">
        <v>0</v>
      </c>
      <c r="BW107" s="9" t="n">
        <v>0</v>
      </c>
      <c r="BX107" s="9" t="n">
        <v>0</v>
      </c>
      <c r="BY107" s="11" t="n">
        <f aca="false">(BU107+BV107+BW107+BX107)/4</f>
        <v>0</v>
      </c>
      <c r="BZ107" s="11" t="n">
        <f aca="false">(BU107/AR107)</f>
        <v>0</v>
      </c>
      <c r="CA107" s="11" t="n">
        <f aca="false">(BV107/AS107)</f>
        <v>0</v>
      </c>
      <c r="CB107" s="11" t="n">
        <f aca="false">(BW107/AT107)</f>
        <v>0</v>
      </c>
      <c r="CC107" s="11" t="n">
        <f aca="false">(BX107/AU107)</f>
        <v>0</v>
      </c>
      <c r="CD107" s="11" t="n">
        <f aca="false">(BY107/AV107)</f>
        <v>0</v>
      </c>
      <c r="CE107" s="11" t="n">
        <f aca="false">(100*CD107)</f>
        <v>0</v>
      </c>
      <c r="CF107" s="9" t="n">
        <v>0</v>
      </c>
      <c r="CG107" s="9" t="n">
        <v>8</v>
      </c>
      <c r="CH107" s="9" t="n">
        <v>17</v>
      </c>
      <c r="CI107" s="9" t="n">
        <v>2</v>
      </c>
      <c r="CJ107" s="9" t="n">
        <v>3</v>
      </c>
      <c r="CK107" s="11" t="n">
        <f aca="false">(CG107+CH107+CI107+CJ107)/4</f>
        <v>7.5</v>
      </c>
      <c r="CL107" s="11" t="n">
        <f aca="false">(CG107/AM107)</f>
        <v>0.210526315789474</v>
      </c>
      <c r="CM107" s="11" t="n">
        <f aca="false">(CH107/AN107)</f>
        <v>0.166666666666667</v>
      </c>
      <c r="CN107" s="11" t="n">
        <f aca="false">(CI107/AO107)</f>
        <v>0.0625</v>
      </c>
      <c r="CO107" s="9" t="n">
        <f aca="false">(CJ107/AP107)</f>
        <v>0.05</v>
      </c>
      <c r="CP107" s="9" t="n">
        <f aca="false">(CK107/AQ107)</f>
        <v>0.129310344827586</v>
      </c>
      <c r="CQ107" s="9" t="n">
        <f aca="false">(100*CP107)</f>
        <v>12.9310344827586</v>
      </c>
      <c r="CR107" s="18" t="n">
        <v>2</v>
      </c>
      <c r="CS107" s="9" t="n">
        <v>63.2</v>
      </c>
      <c r="CT107" s="9" t="n">
        <v>56</v>
      </c>
      <c r="CU107" s="9" t="n">
        <v>59.4</v>
      </c>
      <c r="CV107" s="9" t="n">
        <v>69.4</v>
      </c>
      <c r="CW107" s="11" t="n">
        <f aca="false">(CS107+CT107+CU107+CV107)/4</f>
        <v>62</v>
      </c>
      <c r="CX107" s="9" t="n">
        <v>0</v>
      </c>
      <c r="CY107" s="9" t="n">
        <v>0</v>
      </c>
      <c r="CZ107" s="9" t="n">
        <v>0</v>
      </c>
      <c r="DA107" s="9" t="n">
        <v>0</v>
      </c>
      <c r="DB107" s="11" t="n">
        <f aca="false">(CX107+CY107+CZ107+DA107)/4</f>
        <v>0</v>
      </c>
      <c r="DC107" s="9" t="n">
        <v>1</v>
      </c>
      <c r="DD107" s="9" t="n">
        <v>1</v>
      </c>
      <c r="DE107" s="9" t="n">
        <v>1</v>
      </c>
      <c r="DF107" s="9" t="n">
        <v>1</v>
      </c>
      <c r="DG107" s="11" t="n">
        <f aca="false">(DC107+DD107+DE107+DF107)/4</f>
        <v>1</v>
      </c>
      <c r="DH107" s="9" t="n">
        <v>1</v>
      </c>
      <c r="DI107" s="9" t="n">
        <v>1</v>
      </c>
      <c r="DJ107" s="9" t="n">
        <v>0</v>
      </c>
      <c r="DK107" s="9" t="n">
        <v>1</v>
      </c>
      <c r="DL107" s="11" t="n">
        <f aca="false">(DH107+DI107+DJ107+DK107)/4</f>
        <v>0.75</v>
      </c>
      <c r="DM107" s="9" t="n">
        <v>32</v>
      </c>
      <c r="DN107" s="9" t="n">
        <v>50</v>
      </c>
      <c r="DO107" s="9" t="n">
        <v>32</v>
      </c>
      <c r="DP107" s="9" t="n">
        <v>32</v>
      </c>
      <c r="DQ107" s="11" t="n">
        <f aca="false">(DM107+DN107+DO107+DP107)/4</f>
        <v>36.5</v>
      </c>
      <c r="DR107" s="9" t="n">
        <v>9</v>
      </c>
      <c r="DS107" s="9" t="n">
        <v>10</v>
      </c>
      <c r="DT107" s="9" t="n">
        <v>4</v>
      </c>
      <c r="DU107" s="9" t="n">
        <v>12</v>
      </c>
      <c r="DV107" s="11" t="n">
        <f aca="false">(DR107+DS107+DT107+DU107)/4</f>
        <v>8.75</v>
      </c>
      <c r="DW107" s="9" t="n">
        <v>0</v>
      </c>
      <c r="DX107" s="9" t="n">
        <v>0</v>
      </c>
      <c r="DY107" s="9" t="n">
        <v>0</v>
      </c>
      <c r="DZ107" s="9" t="n">
        <v>0</v>
      </c>
      <c r="EA107" s="11" t="n">
        <f aca="false">(DW107+DX107+DY107+DZ107)/4</f>
        <v>0</v>
      </c>
      <c r="EB107" s="11" t="n">
        <f aca="false">(DW107/DR107)</f>
        <v>0</v>
      </c>
      <c r="EC107" s="11" t="n">
        <f aca="false">(DX107/DS107)</f>
        <v>0</v>
      </c>
      <c r="ED107" s="11" t="n">
        <f aca="false">(DY107/DT107)</f>
        <v>0</v>
      </c>
      <c r="EE107" s="11" t="n">
        <f aca="false">(DZ107/DU107)</f>
        <v>0</v>
      </c>
      <c r="EF107" s="11" t="n">
        <f aca="false">(EA107/DV107)</f>
        <v>0</v>
      </c>
      <c r="EG107" s="11" t="n">
        <f aca="false">(100*EF107)</f>
        <v>0</v>
      </c>
      <c r="EH107" s="9" t="n">
        <v>0</v>
      </c>
      <c r="EI107" s="9" t="n">
        <v>2</v>
      </c>
      <c r="EJ107" s="9" t="n">
        <v>3</v>
      </c>
      <c r="EK107" s="19" t="n">
        <v>2</v>
      </c>
      <c r="EL107" s="9" t="n">
        <v>4</v>
      </c>
      <c r="EM107" s="9" t="n">
        <f aca="false">(EI107+EJ107+EK107+EL107)/4</f>
        <v>2.75</v>
      </c>
      <c r="EN107" s="9" t="n">
        <f aca="false">(EI107/DR107)</f>
        <v>0.222222222222222</v>
      </c>
      <c r="EO107" s="9" t="n">
        <f aca="false">(EJ107/DS107)</f>
        <v>0.3</v>
      </c>
      <c r="EP107" s="9" t="n">
        <f aca="false">(EK107/DT107)</f>
        <v>0.5</v>
      </c>
      <c r="EQ107" s="9" t="n">
        <f aca="false">(EL107/DU107)</f>
        <v>0.333333333333333</v>
      </c>
      <c r="ER107" s="9" t="n">
        <f aca="false">EM107/DV107</f>
        <v>0.314285714285714</v>
      </c>
      <c r="ES107" s="9" t="n">
        <f aca="false">(100*ER107)</f>
        <v>31.4285714285714</v>
      </c>
      <c r="ET107" s="9" t="n">
        <v>3</v>
      </c>
      <c r="EU107" s="18" t="n">
        <v>0</v>
      </c>
      <c r="EV107" s="9" t="n">
        <v>0</v>
      </c>
      <c r="EW107" s="9" t="n">
        <v>0</v>
      </c>
      <c r="EX107" s="9" t="n">
        <v>0</v>
      </c>
      <c r="EY107" s="11" t="n">
        <f aca="false">(EU107+EV107+EW107+EX107)/4</f>
        <v>0</v>
      </c>
      <c r="EZ107" s="11" t="n">
        <f aca="false">(EU107/DR107)</f>
        <v>0</v>
      </c>
      <c r="FA107" s="11" t="n">
        <f aca="false">(EV107/DS107)</f>
        <v>0</v>
      </c>
      <c r="FB107" s="11" t="n">
        <f aca="false">(EW107/DT107)</f>
        <v>0</v>
      </c>
      <c r="FC107" s="11" t="n">
        <f aca="false">(EX107/DU107)</f>
        <v>0</v>
      </c>
      <c r="FD107" s="11" t="n">
        <f aca="false">(EY107/DV107)</f>
        <v>0</v>
      </c>
      <c r="FE107" s="11" t="n">
        <f aca="false">(100*FD107)</f>
        <v>0</v>
      </c>
      <c r="FF107" s="9" t="n">
        <v>0</v>
      </c>
      <c r="FG107" s="9" t="n">
        <v>8</v>
      </c>
      <c r="FH107" s="9" t="n">
        <v>2</v>
      </c>
      <c r="FI107" s="9" t="n">
        <v>0</v>
      </c>
      <c r="FJ107" s="9" t="n">
        <v>8</v>
      </c>
      <c r="FK107" s="11" t="n">
        <f aca="false">(FG107+FH107+FI107+FJ107)/4</f>
        <v>4.5</v>
      </c>
      <c r="FL107" s="11" t="n">
        <f aca="false">(FG107/DR107)</f>
        <v>0.888888888888889</v>
      </c>
      <c r="FM107" s="11" t="n">
        <f aca="false">(FH107/DS107)</f>
        <v>0.2</v>
      </c>
      <c r="FN107" s="11" t="n">
        <f aca="false">(FI107/DT107)</f>
        <v>0</v>
      </c>
      <c r="FO107" s="11" t="n">
        <f aca="false">(FJ107/DU107)</f>
        <v>0.666666666666667</v>
      </c>
      <c r="FP107" s="11" t="n">
        <f aca="false">(FK107/DV107)</f>
        <v>0.514285714285714</v>
      </c>
      <c r="FQ107" s="11" t="n">
        <f aca="false">(100*FP107)</f>
        <v>51.4285714285714</v>
      </c>
      <c r="FR107" s="9" t="n">
        <v>3</v>
      </c>
      <c r="FS107" s="9" t="n">
        <v>73.7</v>
      </c>
      <c r="FT107" s="9" t="n">
        <v>61.2</v>
      </c>
      <c r="FU107" s="9" t="n">
        <v>65.1</v>
      </c>
      <c r="FV107" s="9" t="n">
        <v>65.4</v>
      </c>
      <c r="FW107" s="11" t="n">
        <f aca="false">(FS107+FT107+FU107+FV107)/4</f>
        <v>66.35</v>
      </c>
      <c r="FX107" s="9" t="n">
        <v>0</v>
      </c>
      <c r="FY107" s="9" t="n">
        <v>0</v>
      </c>
      <c r="FZ107" s="9" t="n">
        <v>1</v>
      </c>
      <c r="GA107" s="9" t="n">
        <v>0</v>
      </c>
      <c r="GB107" s="11" t="n">
        <f aca="false">(FX107+FY107+FZ107+GA107)/4</f>
        <v>0.25</v>
      </c>
      <c r="GC107" s="9" t="n">
        <v>1</v>
      </c>
      <c r="GD107" s="9" t="n">
        <v>1</v>
      </c>
      <c r="GE107" s="9" t="n">
        <v>1</v>
      </c>
      <c r="GF107" s="9" t="n">
        <v>1</v>
      </c>
      <c r="GG107" s="11" t="n">
        <f aca="false">(GC107+GD107+GE107+GF107)/4</f>
        <v>1</v>
      </c>
      <c r="GH107" s="9" t="n">
        <v>1</v>
      </c>
      <c r="GI107" s="9" t="n">
        <v>1</v>
      </c>
      <c r="GJ107" s="9" t="n">
        <v>1</v>
      </c>
      <c r="GK107" s="9" t="n">
        <v>1</v>
      </c>
      <c r="GL107" s="11" t="n">
        <f aca="false">(GH107+GI107+GJ107+GK107)/4</f>
        <v>1</v>
      </c>
      <c r="GM107" s="11" t="n">
        <v>86</v>
      </c>
      <c r="GN107" s="11" t="n">
        <v>104</v>
      </c>
      <c r="GO107" s="11" t="n">
        <v>145</v>
      </c>
      <c r="GP107" s="11" t="n">
        <v>38</v>
      </c>
      <c r="GQ107" s="11" t="n">
        <f aca="false">(GM107+GN107+GO107+GP107)/4</f>
        <v>93.25</v>
      </c>
      <c r="GR107" s="9" t="n">
        <v>9</v>
      </c>
      <c r="GS107" s="9" t="n">
        <v>27</v>
      </c>
      <c r="GT107" s="9" t="n">
        <v>16</v>
      </c>
      <c r="GU107" s="9" t="n">
        <v>5</v>
      </c>
      <c r="GV107" s="11" t="n">
        <f aca="false">(GR107+GS107+GT107+GU107)/4</f>
        <v>14.25</v>
      </c>
      <c r="GW107" s="9" t="n">
        <v>0</v>
      </c>
      <c r="GX107" s="9" t="n">
        <v>0</v>
      </c>
      <c r="GY107" s="9" t="n">
        <v>1</v>
      </c>
      <c r="GZ107" s="9" t="n">
        <v>0</v>
      </c>
      <c r="HA107" s="11" t="n">
        <f aca="false">(GW107+GX107+GY107+GZ107)/4</f>
        <v>0.25</v>
      </c>
      <c r="HB107" s="9" t="n">
        <f aca="false">(GW107/GR107)</f>
        <v>0</v>
      </c>
      <c r="HC107" s="9" t="n">
        <f aca="false">(GX107/GS107)</f>
        <v>0</v>
      </c>
      <c r="HD107" s="9" t="n">
        <f aca="false">(GY107/GT107)</f>
        <v>0.0625</v>
      </c>
      <c r="HE107" s="9" t="n">
        <f aca="false">(GZ107/GU107)/4</f>
        <v>0</v>
      </c>
      <c r="HF107" s="9" t="n">
        <f aca="false">(HB107+HC107+HD107+HE107)/4</f>
        <v>0.015625</v>
      </c>
      <c r="HG107" s="9" t="n">
        <f aca="false">(100*HF107)</f>
        <v>1.5625</v>
      </c>
      <c r="HH107" s="18" t="n">
        <v>1</v>
      </c>
      <c r="HI107" s="9" t="n">
        <v>4</v>
      </c>
      <c r="HJ107" s="9" t="n">
        <v>2</v>
      </c>
      <c r="HK107" s="9" t="n">
        <v>8</v>
      </c>
      <c r="HL107" s="19" t="n">
        <v>2</v>
      </c>
      <c r="HM107" s="9" t="n">
        <f aca="false">(HI107+HJ107+HK107+HL107)/4</f>
        <v>4</v>
      </c>
      <c r="HN107" s="9" t="n">
        <f aca="false">(HI107/GR107)</f>
        <v>0.444444444444444</v>
      </c>
      <c r="HO107" s="9" t="n">
        <f aca="false">(HJ107/GS107)</f>
        <v>0.0740740740740741</v>
      </c>
      <c r="HP107" s="9" t="n">
        <f aca="false">(HK107/GT107)</f>
        <v>0.5</v>
      </c>
      <c r="HQ107" s="9" t="n">
        <f aca="false">(HL107/GU107)</f>
        <v>0.4</v>
      </c>
      <c r="HR107" s="9" t="n">
        <f aca="false">(HM107/GV107)</f>
        <v>0.280701754385965</v>
      </c>
      <c r="HS107" s="9" t="n">
        <f aca="false">(100*HR107)</f>
        <v>28.0701754385965</v>
      </c>
      <c r="HT107" s="18" t="n">
        <v>2</v>
      </c>
      <c r="HU107" s="9" t="n">
        <v>1</v>
      </c>
      <c r="HV107" s="9" t="n">
        <v>2</v>
      </c>
      <c r="HW107" s="9" t="n">
        <v>0</v>
      </c>
      <c r="HX107" s="19" t="n">
        <v>0</v>
      </c>
      <c r="HY107" s="9" t="n">
        <f aca="false">(HU107+HV107+HW107+HX107)/4</f>
        <v>0.75</v>
      </c>
      <c r="HZ107" s="9" t="n">
        <f aca="false">(HU107/GR107)</f>
        <v>0.111111111111111</v>
      </c>
      <c r="IA107" s="9" t="n">
        <f aca="false">HV107/GS107</f>
        <v>0.0740740740740741</v>
      </c>
      <c r="IB107" s="9" t="n">
        <f aca="false">(HW107/GT107)</f>
        <v>0</v>
      </c>
      <c r="IC107" s="9" t="n">
        <f aca="false">(HX107/GU107)</f>
        <v>0</v>
      </c>
      <c r="ID107" s="9" t="n">
        <f aca="false">(HY107/GV107)</f>
        <v>0.0526315789473684</v>
      </c>
      <c r="IE107" s="9" t="n">
        <f aca="false">(100*ID107)</f>
        <v>5.26315789473684</v>
      </c>
      <c r="IF107" s="18" t="n">
        <v>1</v>
      </c>
      <c r="IG107" s="9" t="n">
        <v>4</v>
      </c>
      <c r="IH107" s="9" t="n">
        <v>3</v>
      </c>
      <c r="II107" s="19" t="n">
        <v>4</v>
      </c>
      <c r="IJ107" s="9" t="n">
        <v>5</v>
      </c>
      <c r="IK107" s="9" t="n">
        <f aca="false">(IG107+IH107+II107+IJ107)/4</f>
        <v>4</v>
      </c>
      <c r="IL107" s="9" t="n">
        <f aca="false">(IG107/GM107)</f>
        <v>0.0465116279069767</v>
      </c>
      <c r="IM107" s="9" t="n">
        <f aca="false">(IH107/GN107)</f>
        <v>0.0288461538461538</v>
      </c>
      <c r="IN107" s="9" t="n">
        <f aca="false">(II107/GO107)</f>
        <v>0.0275862068965517</v>
      </c>
      <c r="IO107" s="9" t="n">
        <f aca="false">(IJ107/GP107)</f>
        <v>0.131578947368421</v>
      </c>
      <c r="IP107" s="9" t="n">
        <f aca="false">(IK107/GQ107)</f>
        <v>0.0428954423592493</v>
      </c>
      <c r="IQ107" s="9" t="n">
        <f aca="false">(100*IP107)</f>
        <v>4.28954423592493</v>
      </c>
      <c r="IR107" s="18" t="n">
        <v>1</v>
      </c>
      <c r="IS107" s="9" t="n">
        <v>62.1</v>
      </c>
      <c r="IT107" s="9" t="n">
        <v>64.4</v>
      </c>
      <c r="IU107" s="19" t="n">
        <v>68</v>
      </c>
      <c r="IV107" s="9" t="n">
        <v>59.9</v>
      </c>
      <c r="IW107" s="9" t="n">
        <f aca="false">(IS107+IT107+IU107+IV107)/4</f>
        <v>63.6</v>
      </c>
      <c r="IX107" s="16" t="n">
        <v>45241</v>
      </c>
      <c r="IY107" s="10" t="s">
        <v>268</v>
      </c>
    </row>
    <row r="108" customFormat="false" ht="15.75" hidden="false" customHeight="true" outlineLevel="0" collapsed="false">
      <c r="A108" s="9" t="s">
        <v>259</v>
      </c>
      <c r="B108" s="10" t="s">
        <v>513</v>
      </c>
      <c r="C108" s="10" t="s">
        <v>514</v>
      </c>
      <c r="D108" s="9" t="n">
        <v>1</v>
      </c>
      <c r="E108" s="9" t="n">
        <v>36</v>
      </c>
      <c r="F108" s="10" t="s">
        <v>519</v>
      </c>
      <c r="G108" s="11" t="s">
        <v>263</v>
      </c>
      <c r="H108" s="9" t="n">
        <v>21</v>
      </c>
      <c r="I108" s="9" t="n">
        <v>10</v>
      </c>
      <c r="J108" s="12" t="s">
        <v>270</v>
      </c>
      <c r="K108" s="20"/>
      <c r="L108" s="20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 t="n">
        <v>0</v>
      </c>
      <c r="Y108" s="9" t="n">
        <v>0</v>
      </c>
      <c r="Z108" s="9" t="n">
        <v>0</v>
      </c>
      <c r="AA108" s="9" t="n">
        <v>1</v>
      </c>
      <c r="AB108" s="11" t="n">
        <f aca="false">(X108+Y108+Z108+AA108)/4</f>
        <v>0.25</v>
      </c>
      <c r="AC108" s="9" t="n">
        <v>1</v>
      </c>
      <c r="AD108" s="9" t="n">
        <v>1</v>
      </c>
      <c r="AE108" s="9" t="n">
        <v>1</v>
      </c>
      <c r="AF108" s="9" t="n">
        <v>1</v>
      </c>
      <c r="AG108" s="11" t="n">
        <f aca="false">(AC108+AD108+AE108+AF108)/4</f>
        <v>1</v>
      </c>
      <c r="AH108" s="9" t="n">
        <v>1</v>
      </c>
      <c r="AI108" s="9" t="n">
        <v>1</v>
      </c>
      <c r="AJ108" s="9" t="n">
        <v>1</v>
      </c>
      <c r="AK108" s="9" t="n">
        <v>1</v>
      </c>
      <c r="AL108" s="11" t="n">
        <f aca="false">(AH108+AI108+AJ108+AK108)/4</f>
        <v>1</v>
      </c>
      <c r="AM108" s="9" t="n">
        <v>19</v>
      </c>
      <c r="AN108" s="9" t="n">
        <v>16</v>
      </c>
      <c r="AO108" s="9" t="n">
        <v>38</v>
      </c>
      <c r="AP108" s="9" t="n">
        <v>12</v>
      </c>
      <c r="AQ108" s="11" t="n">
        <f aca="false">(AM108+AN108+AO108+AP108)/4</f>
        <v>21.25</v>
      </c>
      <c r="AR108" s="9" t="n">
        <v>8</v>
      </c>
      <c r="AS108" s="9" t="n">
        <v>8</v>
      </c>
      <c r="AT108" s="9" t="n">
        <v>4</v>
      </c>
      <c r="AU108" s="9" t="n">
        <v>17</v>
      </c>
      <c r="AV108" s="11" t="n">
        <f aca="false">(AR108+AS108+AT108+AU108)/4</f>
        <v>9.25</v>
      </c>
      <c r="AW108" s="9" t="n">
        <v>0</v>
      </c>
      <c r="AX108" s="9" t="n">
        <v>0</v>
      </c>
      <c r="AY108" s="9" t="n">
        <v>0</v>
      </c>
      <c r="AZ108" s="9" t="n">
        <v>6</v>
      </c>
      <c r="BA108" s="11" t="n">
        <f aca="false">(AW108+AX108+AY108+AZ108)/4</f>
        <v>1.5</v>
      </c>
      <c r="BB108" s="11" t="n">
        <f aca="false">(AW108/AR108)</f>
        <v>0</v>
      </c>
      <c r="BC108" s="11" t="n">
        <f aca="false">(AX108/AS108)</f>
        <v>0</v>
      </c>
      <c r="BD108" s="11" t="n">
        <f aca="false">(AY108/AT108)</f>
        <v>0</v>
      </c>
      <c r="BE108" s="11" t="n">
        <f aca="false">(AZ108/AU108)</f>
        <v>0.352941176470588</v>
      </c>
      <c r="BF108" s="11" t="n">
        <f aca="false">(BA108/AV108)</f>
        <v>0.162162162162162</v>
      </c>
      <c r="BG108" s="11" t="n">
        <f aca="false">(BF108*100)</f>
        <v>16.2162162162162</v>
      </c>
      <c r="BH108" s="9" t="n">
        <v>2</v>
      </c>
      <c r="BI108" s="9" t="n">
        <v>2</v>
      </c>
      <c r="BJ108" s="9" t="n">
        <v>2</v>
      </c>
      <c r="BK108" s="9" t="n">
        <v>2</v>
      </c>
      <c r="BL108" s="9" t="n">
        <v>2</v>
      </c>
      <c r="BM108" s="11" t="n">
        <f aca="false">(BI108+BJ108+BK108+BL108)/4</f>
        <v>2</v>
      </c>
      <c r="BN108" s="11" t="n">
        <f aca="false">(BI108/AR108)</f>
        <v>0.25</v>
      </c>
      <c r="BO108" s="11" t="n">
        <f aca="false">(BJ108/AS108)</f>
        <v>0.25</v>
      </c>
      <c r="BP108" s="11" t="n">
        <f aca="false">(BK108/AT108)</f>
        <v>0.5</v>
      </c>
      <c r="BQ108" s="11" t="n">
        <f aca="false">(BL108/AU108)</f>
        <v>0.117647058823529</v>
      </c>
      <c r="BR108" s="11" t="n">
        <f aca="false">(BM108/AV108)</f>
        <v>0.216216216216216</v>
      </c>
      <c r="BS108" s="11" t="n">
        <f aca="false">(100*BR108)</f>
        <v>21.6216216216216</v>
      </c>
      <c r="BT108" s="9" t="n">
        <v>3</v>
      </c>
      <c r="BU108" s="9" t="n">
        <v>0</v>
      </c>
      <c r="BV108" s="9" t="n">
        <v>1</v>
      </c>
      <c r="BW108" s="9" t="n">
        <v>1</v>
      </c>
      <c r="BX108" s="9" t="n">
        <v>1</v>
      </c>
      <c r="BY108" s="11" t="n">
        <f aca="false">(BU108+BV108+BW108+BX108)/4</f>
        <v>0.75</v>
      </c>
      <c r="BZ108" s="11" t="n">
        <f aca="false">(BU108/AR108)</f>
        <v>0</v>
      </c>
      <c r="CA108" s="11" t="n">
        <f aca="false">(BV108/AS108)</f>
        <v>0.125</v>
      </c>
      <c r="CB108" s="11" t="n">
        <f aca="false">(BW108/AT108)</f>
        <v>0.25</v>
      </c>
      <c r="CC108" s="11" t="n">
        <f aca="false">(BX108/AU108)</f>
        <v>0.0588235294117647</v>
      </c>
      <c r="CD108" s="11" t="n">
        <f aca="false">(BY108/AV108)</f>
        <v>0.0810810810810811</v>
      </c>
      <c r="CE108" s="11" t="n">
        <f aca="false">(100*CD108)</f>
        <v>8.10810810810811</v>
      </c>
      <c r="CF108" s="9" t="n">
        <v>2</v>
      </c>
      <c r="CG108" s="9" t="n">
        <v>2</v>
      </c>
      <c r="CH108" s="9" t="n">
        <v>2</v>
      </c>
      <c r="CI108" s="9" t="n">
        <v>4</v>
      </c>
      <c r="CJ108" s="9" t="n">
        <v>2</v>
      </c>
      <c r="CK108" s="11" t="n">
        <f aca="false">(CG108+CH108+CI108+CJ108)/4</f>
        <v>2.5</v>
      </c>
      <c r="CL108" s="11" t="n">
        <f aca="false">(CG108/AM108)</f>
        <v>0.105263157894737</v>
      </c>
      <c r="CM108" s="11" t="n">
        <f aca="false">(CH108/AN108)</f>
        <v>0.125</v>
      </c>
      <c r="CN108" s="11" t="n">
        <f aca="false">(CI108/AO108)</f>
        <v>0.105263157894737</v>
      </c>
      <c r="CO108" s="9" t="n">
        <f aca="false">(CJ108/AP108)</f>
        <v>0.166666666666667</v>
      </c>
      <c r="CP108" s="9" t="n">
        <f aca="false">(CK108/AQ108)</f>
        <v>0.117647058823529</v>
      </c>
      <c r="CQ108" s="9" t="n">
        <f aca="false">(100*CP108)</f>
        <v>11.7647058823529</v>
      </c>
      <c r="CR108" s="18" t="n">
        <v>2</v>
      </c>
      <c r="CS108" s="9" t="n">
        <v>69.1</v>
      </c>
      <c r="CT108" s="9" t="n">
        <v>58.8</v>
      </c>
      <c r="CU108" s="9" t="n">
        <v>76.1</v>
      </c>
      <c r="CV108" s="9" t="n">
        <v>79.6</v>
      </c>
      <c r="CW108" s="11" t="n">
        <f aca="false">(CS108+CT108+CU108+CV108)/4</f>
        <v>70.9</v>
      </c>
      <c r="CX108" s="9" t="n">
        <v>0</v>
      </c>
      <c r="CY108" s="9" t="n">
        <v>0</v>
      </c>
      <c r="CZ108" s="9" t="n">
        <v>0</v>
      </c>
      <c r="DA108" s="9" t="n">
        <v>1</v>
      </c>
      <c r="DB108" s="11" t="n">
        <f aca="false">(CX108+CY108+CZ108+DA108)/4</f>
        <v>0.25</v>
      </c>
      <c r="DC108" s="9" t="n">
        <v>1</v>
      </c>
      <c r="DD108" s="9" t="n">
        <v>1</v>
      </c>
      <c r="DE108" s="9" t="n">
        <v>1</v>
      </c>
      <c r="DF108" s="9" t="n">
        <v>1</v>
      </c>
      <c r="DG108" s="11" t="n">
        <f aca="false">(DC108+DD108+DE108+DF108)/4</f>
        <v>1</v>
      </c>
      <c r="DH108" s="9" t="n">
        <v>1</v>
      </c>
      <c r="DI108" s="9" t="n">
        <v>1</v>
      </c>
      <c r="DJ108" s="9" t="n">
        <v>1</v>
      </c>
      <c r="DK108" s="9" t="n">
        <v>1</v>
      </c>
      <c r="DL108" s="11" t="n">
        <f aca="false">(DH108+DI108+DJ108+DK108)/4</f>
        <v>1</v>
      </c>
      <c r="DM108" s="9" t="n">
        <v>2</v>
      </c>
      <c r="DN108" s="9" t="n">
        <v>9</v>
      </c>
      <c r="DO108" s="9" t="n">
        <v>52</v>
      </c>
      <c r="DP108" s="9" t="n">
        <v>61</v>
      </c>
      <c r="DQ108" s="11" t="n">
        <f aca="false">(DM108+DN108+DO108+DP108)/4</f>
        <v>31</v>
      </c>
      <c r="DR108" s="9" t="n">
        <v>18</v>
      </c>
      <c r="DS108" s="9" t="n">
        <v>13</v>
      </c>
      <c r="DT108" s="9" t="n">
        <v>5</v>
      </c>
      <c r="DU108" s="9" t="n">
        <v>2</v>
      </c>
      <c r="DV108" s="11" t="n">
        <f aca="false">(DR108+DS108+DT108+DU108)/4</f>
        <v>9.5</v>
      </c>
      <c r="DW108" s="9" t="n">
        <v>0</v>
      </c>
      <c r="DX108" s="9" t="n">
        <v>0</v>
      </c>
      <c r="DY108" s="9" t="n">
        <v>0</v>
      </c>
      <c r="DZ108" s="9" t="n">
        <v>1</v>
      </c>
      <c r="EA108" s="11" t="n">
        <f aca="false">(DW108+DX108+DY108+DZ108)/4</f>
        <v>0.25</v>
      </c>
      <c r="EB108" s="11" t="n">
        <f aca="false">(DW108/DR108)</f>
        <v>0</v>
      </c>
      <c r="EC108" s="11" t="n">
        <f aca="false">(DX108/DS108)</f>
        <v>0</v>
      </c>
      <c r="ED108" s="11" t="n">
        <f aca="false">(DY108/DT108)</f>
        <v>0</v>
      </c>
      <c r="EE108" s="11" t="n">
        <f aca="false">(DZ108/DU108)</f>
        <v>0.5</v>
      </c>
      <c r="EF108" s="11" t="n">
        <f aca="false">(EA108/DV108)</f>
        <v>0.0263157894736842</v>
      </c>
      <c r="EG108" s="11" t="n">
        <f aca="false">(100*EF108)</f>
        <v>2.63157894736842</v>
      </c>
      <c r="EH108" s="9" t="n">
        <v>1</v>
      </c>
      <c r="EI108" s="9" t="n">
        <v>2</v>
      </c>
      <c r="EJ108" s="9" t="n">
        <v>2</v>
      </c>
      <c r="EK108" s="19" t="n">
        <v>3</v>
      </c>
      <c r="EL108" s="9" t="n">
        <v>1</v>
      </c>
      <c r="EM108" s="9" t="n">
        <f aca="false">(EI108+EJ108+EK108+EL108)/4</f>
        <v>2</v>
      </c>
      <c r="EN108" s="9" t="n">
        <f aca="false">(EI108/DR108)</f>
        <v>0.111111111111111</v>
      </c>
      <c r="EO108" s="9" t="n">
        <f aca="false">(EJ108/DS108)</f>
        <v>0.153846153846154</v>
      </c>
      <c r="EP108" s="9" t="n">
        <f aca="false">(EK108/DT108)</f>
        <v>0.6</v>
      </c>
      <c r="EQ108" s="9" t="n">
        <f aca="false">(EL108/DU108)</f>
        <v>0.5</v>
      </c>
      <c r="ER108" s="9" t="n">
        <f aca="false">EM108/DV108</f>
        <v>0.210526315789474</v>
      </c>
      <c r="ES108" s="9" t="n">
        <f aca="false">(100*ER108)</f>
        <v>21.0526315789474</v>
      </c>
      <c r="ET108" s="9" t="n">
        <v>2</v>
      </c>
      <c r="EU108" s="18" t="n">
        <v>1</v>
      </c>
      <c r="EV108" s="9" t="n">
        <v>1</v>
      </c>
      <c r="EW108" s="9" t="n">
        <v>1</v>
      </c>
      <c r="EX108" s="9" t="n">
        <v>1</v>
      </c>
      <c r="EY108" s="11" t="n">
        <f aca="false">(EU108+EV108+EW108+EX108)/4</f>
        <v>1</v>
      </c>
      <c r="EZ108" s="11" t="n">
        <f aca="false">(EU108/DR108)</f>
        <v>0.0555555555555556</v>
      </c>
      <c r="FA108" s="11" t="n">
        <f aca="false">(EV108/DS108)</f>
        <v>0.0769230769230769</v>
      </c>
      <c r="FB108" s="11" t="n">
        <f aca="false">(EW108/DT108)</f>
        <v>0.2</v>
      </c>
      <c r="FC108" s="11" t="n">
        <f aca="false">(EX108/DU108)</f>
        <v>0.5</v>
      </c>
      <c r="FD108" s="11" t="n">
        <f aca="false">(EY108/DV108)</f>
        <v>0.105263157894737</v>
      </c>
      <c r="FE108" s="11" t="n">
        <f aca="false">(100*FD108)</f>
        <v>10.5263157894737</v>
      </c>
      <c r="FF108" s="9" t="n">
        <v>2</v>
      </c>
      <c r="FG108" s="9" t="n">
        <v>2</v>
      </c>
      <c r="FH108" s="9" t="n">
        <v>3</v>
      </c>
      <c r="FI108" s="9" t="n">
        <v>2</v>
      </c>
      <c r="FJ108" s="9" t="n">
        <v>5</v>
      </c>
      <c r="FK108" s="11" t="n">
        <f aca="false">(FG108+FH108+FI108+FJ108)/4</f>
        <v>3</v>
      </c>
      <c r="FL108" s="11" t="n">
        <f aca="false">(FG108/DR108)</f>
        <v>0.111111111111111</v>
      </c>
      <c r="FM108" s="11" t="n">
        <f aca="false">(FH108/DS108)</f>
        <v>0.230769230769231</v>
      </c>
      <c r="FN108" s="11" t="n">
        <f aca="false">(FI108/DT108)</f>
        <v>0.4</v>
      </c>
      <c r="FO108" s="11" t="n">
        <f aca="false">(FJ108/DU108)</f>
        <v>2.5</v>
      </c>
      <c r="FP108" s="11" t="n">
        <f aca="false">(FK108/DV108)</f>
        <v>0.315789473684211</v>
      </c>
      <c r="FQ108" s="11" t="n">
        <f aca="false">(100*FP108)</f>
        <v>31.5789473684211</v>
      </c>
      <c r="FR108" s="9" t="n">
        <v>3</v>
      </c>
      <c r="FS108" s="9" t="n">
        <v>68.3</v>
      </c>
      <c r="FT108" s="9" t="n">
        <v>51.4</v>
      </c>
      <c r="FU108" s="9" t="n">
        <v>74.6</v>
      </c>
      <c r="FV108" s="9" t="n">
        <v>84.6</v>
      </c>
      <c r="FW108" s="11" t="n">
        <f aca="false">(FS108+FT108+FU108+FV108)/4</f>
        <v>69.725</v>
      </c>
      <c r="FX108" s="9" t="n">
        <v>0</v>
      </c>
      <c r="FY108" s="9" t="n">
        <v>1</v>
      </c>
      <c r="FZ108" s="9" t="n">
        <v>0</v>
      </c>
      <c r="GA108" s="9" t="n">
        <v>0</v>
      </c>
      <c r="GB108" s="11" t="n">
        <f aca="false">(FX108+FY108+FZ108+GA108)/4</f>
        <v>0.25</v>
      </c>
      <c r="GC108" s="9" t="n">
        <v>0</v>
      </c>
      <c r="GD108" s="9" t="n">
        <v>1</v>
      </c>
      <c r="GE108" s="9" t="n">
        <v>0</v>
      </c>
      <c r="GF108" s="9" t="n">
        <v>0</v>
      </c>
      <c r="GG108" s="11" t="n">
        <f aca="false">(GC108+GD108+GE108+GF108)/4</f>
        <v>0.25</v>
      </c>
      <c r="GH108" s="9" t="n">
        <v>1</v>
      </c>
      <c r="GI108" s="9" t="n">
        <v>1</v>
      </c>
      <c r="GJ108" s="9" t="n">
        <v>0</v>
      </c>
      <c r="GK108" s="9" t="n">
        <v>0</v>
      </c>
      <c r="GL108" s="11" t="n">
        <f aca="false">(GH108+GI108+GJ108+GK108)/4</f>
        <v>0.5</v>
      </c>
      <c r="GM108" s="9" t="n">
        <v>2</v>
      </c>
      <c r="GN108" s="9" t="n">
        <v>3</v>
      </c>
      <c r="GO108" s="9" t="n">
        <v>13</v>
      </c>
      <c r="GP108" s="9" t="n">
        <v>3</v>
      </c>
      <c r="GQ108" s="11" t="n">
        <f aca="false">(GM108+GN108+GO108+GP108)/4</f>
        <v>5.25</v>
      </c>
      <c r="GR108" s="9" t="n">
        <v>18</v>
      </c>
      <c r="GS108" s="9" t="n">
        <v>18</v>
      </c>
      <c r="GT108" s="9" t="n">
        <v>12</v>
      </c>
      <c r="GU108" s="9" t="n">
        <v>11</v>
      </c>
      <c r="GV108" s="11" t="n">
        <f aca="false">(GR108+GS108+GT108+GU108)/4</f>
        <v>14.75</v>
      </c>
      <c r="GW108" s="9" t="n">
        <v>0</v>
      </c>
      <c r="GX108" s="9" t="n">
        <v>5</v>
      </c>
      <c r="GY108" s="9" t="n">
        <v>0</v>
      </c>
      <c r="GZ108" s="9" t="n">
        <v>0</v>
      </c>
      <c r="HA108" s="11" t="n">
        <f aca="false">(GW108+GX108+GY108+GZ108)/4</f>
        <v>1.25</v>
      </c>
      <c r="HB108" s="9" t="n">
        <f aca="false">(GW108/GR108)</f>
        <v>0</v>
      </c>
      <c r="HC108" s="9" t="n">
        <f aca="false">(GX108/GS108)</f>
        <v>0.277777777777778</v>
      </c>
      <c r="HD108" s="9" t="n">
        <f aca="false">(GY108/GT108)</f>
        <v>0</v>
      </c>
      <c r="HE108" s="9" t="n">
        <f aca="false">(GZ108/GU108)/4</f>
        <v>0</v>
      </c>
      <c r="HF108" s="9" t="n">
        <f aca="false">(HB108+HC108+HD108+HE108)/4</f>
        <v>0.0694444444444445</v>
      </c>
      <c r="HG108" s="9" t="n">
        <f aca="false">(100*HF108)</f>
        <v>6.94444444444445</v>
      </c>
      <c r="HH108" s="18" t="n">
        <v>1</v>
      </c>
      <c r="HI108" s="9" t="n">
        <v>0</v>
      </c>
      <c r="HJ108" s="9" t="n">
        <v>1</v>
      </c>
      <c r="HK108" s="9" t="n">
        <v>0</v>
      </c>
      <c r="HL108" s="19" t="n">
        <v>0</v>
      </c>
      <c r="HM108" s="9" t="n">
        <f aca="false">(HI108+HJ108+HK108+HL108)/4</f>
        <v>0.25</v>
      </c>
      <c r="HN108" s="9" t="n">
        <f aca="false">(HI108/GR108)</f>
        <v>0</v>
      </c>
      <c r="HO108" s="9" t="n">
        <f aca="false">(HJ108/GS108)</f>
        <v>0.0555555555555556</v>
      </c>
      <c r="HP108" s="9" t="n">
        <f aca="false">(HK108/GT108)</f>
        <v>0</v>
      </c>
      <c r="HQ108" s="9" t="n">
        <f aca="false">(HL108/GU108)</f>
        <v>0</v>
      </c>
      <c r="HR108" s="9" t="n">
        <f aca="false">(HM108/GV108)</f>
        <v>0.0169491525423729</v>
      </c>
      <c r="HS108" s="9" t="n">
        <f aca="false">(100*HR108)</f>
        <v>1.69491525423729</v>
      </c>
      <c r="HT108" s="18" t="n">
        <v>1</v>
      </c>
      <c r="HU108" s="9" t="n">
        <v>4</v>
      </c>
      <c r="HV108" s="9" t="n">
        <v>5</v>
      </c>
      <c r="HW108" s="9" t="n">
        <v>0</v>
      </c>
      <c r="HX108" s="19" t="n">
        <v>0</v>
      </c>
      <c r="HY108" s="9" t="n">
        <f aca="false">(HU108+HV108+HW108+HX108)/4</f>
        <v>2.25</v>
      </c>
      <c r="HZ108" s="9" t="n">
        <f aca="false">(HU108/GR108)</f>
        <v>0.222222222222222</v>
      </c>
      <c r="IA108" s="9" t="n">
        <f aca="false">HV108/GS108</f>
        <v>0.277777777777778</v>
      </c>
      <c r="IB108" s="9" t="n">
        <f aca="false">(HW108/GT108)</f>
        <v>0</v>
      </c>
      <c r="IC108" s="9" t="n">
        <f aca="false">(HX108/GU108)</f>
        <v>0</v>
      </c>
      <c r="ID108" s="9" t="n">
        <f aca="false">(HY108/GV108)</f>
        <v>0.152542372881356</v>
      </c>
      <c r="IE108" s="9" t="n">
        <f aca="false">(100*ID108)</f>
        <v>15.2542372881356</v>
      </c>
      <c r="IF108" s="18" t="n">
        <v>2</v>
      </c>
      <c r="IG108" s="9" t="n">
        <v>2</v>
      </c>
      <c r="IH108" s="9" t="n">
        <v>0</v>
      </c>
      <c r="II108" s="19" t="n">
        <v>0</v>
      </c>
      <c r="IJ108" s="9" t="n">
        <v>0</v>
      </c>
      <c r="IK108" s="9" t="n">
        <f aca="false">(IG108+IH108+II108+IJ108)/4</f>
        <v>0.5</v>
      </c>
      <c r="IL108" s="9" t="n">
        <f aca="false">(IG108/GM108)</f>
        <v>1</v>
      </c>
      <c r="IM108" s="9" t="n">
        <f aca="false">(IH108/GN108)</f>
        <v>0</v>
      </c>
      <c r="IN108" s="9" t="n">
        <f aca="false">(II108/GO108)</f>
        <v>0</v>
      </c>
      <c r="IO108" s="9" t="n">
        <f aca="false">(IJ108/GP108)</f>
        <v>0</v>
      </c>
      <c r="IP108" s="9" t="n">
        <f aca="false">(IK108/GQ108)</f>
        <v>0.0952380952380952</v>
      </c>
      <c r="IQ108" s="9" t="n">
        <f aca="false">(100*IP108)</f>
        <v>9.52380952380952</v>
      </c>
      <c r="IR108" s="18" t="n">
        <v>1</v>
      </c>
      <c r="IS108" s="9" t="n">
        <v>69.2</v>
      </c>
      <c r="IT108" s="9" t="n">
        <v>69.4</v>
      </c>
      <c r="IU108" s="19" t="n">
        <v>62.5</v>
      </c>
      <c r="IV108" s="9" t="n">
        <v>71.1</v>
      </c>
      <c r="IW108" s="9" t="n">
        <f aca="false">(IS108+IT108+IU108+IV108)/4</f>
        <v>68.05</v>
      </c>
      <c r="IX108" s="16" t="n">
        <v>45241</v>
      </c>
      <c r="IY108" s="10" t="s">
        <v>268</v>
      </c>
    </row>
    <row r="109" customFormat="false" ht="15.75" hidden="false" customHeight="true" outlineLevel="0" collapsed="false">
      <c r="A109" s="9" t="s">
        <v>259</v>
      </c>
      <c r="B109" s="10" t="s">
        <v>513</v>
      </c>
      <c r="C109" s="10" t="s">
        <v>514</v>
      </c>
      <c r="D109" s="9" t="n">
        <v>1</v>
      </c>
      <c r="E109" s="9" t="n">
        <v>36</v>
      </c>
      <c r="F109" s="10" t="s">
        <v>520</v>
      </c>
      <c r="G109" s="11" t="s">
        <v>263</v>
      </c>
      <c r="H109" s="9" t="n">
        <v>21</v>
      </c>
      <c r="I109" s="9" t="n">
        <v>20</v>
      </c>
      <c r="J109" s="10" t="s">
        <v>272</v>
      </c>
      <c r="K109" s="20"/>
      <c r="L109" s="20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 t="n">
        <v>0</v>
      </c>
      <c r="Y109" s="9" t="n">
        <v>0</v>
      </c>
      <c r="Z109" s="9" t="n">
        <v>0</v>
      </c>
      <c r="AA109" s="9" t="n">
        <v>0</v>
      </c>
      <c r="AB109" s="11" t="n">
        <f aca="false">(X109+Y109+Z109+AA109)/4</f>
        <v>0</v>
      </c>
      <c r="AC109" s="9" t="n">
        <v>1</v>
      </c>
      <c r="AD109" s="9" t="n">
        <v>1</v>
      </c>
      <c r="AE109" s="9" t="n">
        <v>1</v>
      </c>
      <c r="AF109" s="9" t="n">
        <v>1</v>
      </c>
      <c r="AG109" s="11" t="n">
        <f aca="false">(AC109+AD109+AE109+AF109)/4</f>
        <v>1</v>
      </c>
      <c r="AH109" s="9" t="n">
        <v>1</v>
      </c>
      <c r="AI109" s="9" t="n">
        <v>0</v>
      </c>
      <c r="AJ109" s="9" t="n">
        <v>0</v>
      </c>
      <c r="AK109" s="9" t="n">
        <v>1</v>
      </c>
      <c r="AL109" s="11" t="n">
        <f aca="false">(AH109+AI109+AJ109+AK109)/4</f>
        <v>0.5</v>
      </c>
      <c r="AM109" s="9" t="n">
        <v>3</v>
      </c>
      <c r="AN109" s="9" t="n">
        <v>40</v>
      </c>
      <c r="AO109" s="9" t="n">
        <v>53</v>
      </c>
      <c r="AP109" s="9" t="n">
        <v>73</v>
      </c>
      <c r="AQ109" s="11" t="n">
        <f aca="false">(AM109+AN109+AO109+AP109)/4</f>
        <v>42.25</v>
      </c>
      <c r="AR109" s="9" t="n">
        <v>32</v>
      </c>
      <c r="AS109" s="9" t="n">
        <v>6</v>
      </c>
      <c r="AT109" s="9" t="n">
        <v>8</v>
      </c>
      <c r="AU109" s="9" t="n">
        <v>15</v>
      </c>
      <c r="AV109" s="11" t="n">
        <f aca="false">(AR109+AS109+AT109+AU109)/4</f>
        <v>15.25</v>
      </c>
      <c r="AW109" s="9" t="n">
        <v>0</v>
      </c>
      <c r="AX109" s="9" t="n">
        <v>0</v>
      </c>
      <c r="AY109" s="9" t="n">
        <v>0</v>
      </c>
      <c r="AZ109" s="9" t="n">
        <v>0</v>
      </c>
      <c r="BA109" s="11" t="n">
        <f aca="false">(AW109+AX109+AY109+AZ109)/4</f>
        <v>0</v>
      </c>
      <c r="BB109" s="11" t="n">
        <f aca="false">(AW109/AR109)</f>
        <v>0</v>
      </c>
      <c r="BC109" s="11" t="n">
        <f aca="false">(AX109/AS109)</f>
        <v>0</v>
      </c>
      <c r="BD109" s="11" t="n">
        <f aca="false">(AY109/AT109)</f>
        <v>0</v>
      </c>
      <c r="BE109" s="11" t="n">
        <f aca="false">(AZ109/AU109)</f>
        <v>0</v>
      </c>
      <c r="BF109" s="11" t="n">
        <f aca="false">(BA109/AV109)</f>
        <v>0</v>
      </c>
      <c r="BG109" s="11" t="n">
        <f aca="false">(BF109*100)</f>
        <v>0</v>
      </c>
      <c r="BH109" s="9" t="n">
        <v>0</v>
      </c>
      <c r="BI109" s="9" t="n">
        <v>2</v>
      </c>
      <c r="BJ109" s="9" t="n">
        <v>2</v>
      </c>
      <c r="BK109" s="9" t="n">
        <v>3</v>
      </c>
      <c r="BL109" s="9" t="n">
        <v>5</v>
      </c>
      <c r="BM109" s="11" t="n">
        <f aca="false">(BI109+BJ109+BK109+BL109)/4</f>
        <v>3</v>
      </c>
      <c r="BN109" s="11" t="n">
        <f aca="false">(BI109/AR109)</f>
        <v>0.0625</v>
      </c>
      <c r="BO109" s="11" t="n">
        <f aca="false">(BJ109/AS109)</f>
        <v>0.333333333333333</v>
      </c>
      <c r="BP109" s="11" t="n">
        <f aca="false">(BK109/AT109)</f>
        <v>0.375</v>
      </c>
      <c r="BQ109" s="11" t="n">
        <f aca="false">(BL109/AU109)</f>
        <v>0.333333333333333</v>
      </c>
      <c r="BR109" s="11" t="n">
        <f aca="false">(BM109/AV109)</f>
        <v>0.19672131147541</v>
      </c>
      <c r="BS109" s="11" t="n">
        <f aca="false">(100*BR109)</f>
        <v>19.672131147541</v>
      </c>
      <c r="BT109" s="9" t="n">
        <v>2</v>
      </c>
      <c r="BU109" s="9" t="n">
        <v>0</v>
      </c>
      <c r="BV109" s="9" t="n">
        <v>0</v>
      </c>
      <c r="BW109" s="9" t="n">
        <v>0</v>
      </c>
      <c r="BX109" s="9" t="n">
        <v>1</v>
      </c>
      <c r="BY109" s="11" t="n">
        <f aca="false">(BU109+BV109+BW109+BX109)/4</f>
        <v>0.25</v>
      </c>
      <c r="BZ109" s="11" t="n">
        <f aca="false">(BU109/AR109)</f>
        <v>0</v>
      </c>
      <c r="CA109" s="11" t="n">
        <f aca="false">(BV109/AS109)</f>
        <v>0</v>
      </c>
      <c r="CB109" s="11" t="n">
        <f aca="false">(BW109/AT109)</f>
        <v>0</v>
      </c>
      <c r="CC109" s="11" t="n">
        <f aca="false">(BX109/AU109)</f>
        <v>0.0666666666666667</v>
      </c>
      <c r="CD109" s="11" t="n">
        <f aca="false">(BY109/AV109)</f>
        <v>0.0163934426229508</v>
      </c>
      <c r="CE109" s="11" t="n">
        <f aca="false">(100*CD109)</f>
        <v>1.63934426229508</v>
      </c>
      <c r="CF109" s="9" t="n">
        <v>1</v>
      </c>
      <c r="CG109" s="9" t="n">
        <v>2</v>
      </c>
      <c r="CH109" s="9" t="n">
        <v>0</v>
      </c>
      <c r="CI109" s="9" t="n">
        <v>0</v>
      </c>
      <c r="CJ109" s="9" t="n">
        <v>22</v>
      </c>
      <c r="CK109" s="11" t="n">
        <f aca="false">(CG109+CH109+CI109+CJ109)/4</f>
        <v>6</v>
      </c>
      <c r="CL109" s="11" t="n">
        <f aca="false">(CG109/AM109)</f>
        <v>0.666666666666667</v>
      </c>
      <c r="CM109" s="11" t="n">
        <f aca="false">(CH109/AN109)</f>
        <v>0</v>
      </c>
      <c r="CN109" s="11" t="n">
        <f aca="false">(CI109/AO109)</f>
        <v>0</v>
      </c>
      <c r="CO109" s="9" t="n">
        <f aca="false">(CJ109/AP109)</f>
        <v>0.301369863013699</v>
      </c>
      <c r="CP109" s="9" t="n">
        <f aca="false">(CK109/AQ109)</f>
        <v>0.142011834319527</v>
      </c>
      <c r="CQ109" s="9" t="n">
        <f aca="false">(100*CP109)</f>
        <v>14.2011834319527</v>
      </c>
      <c r="CR109" s="18" t="n">
        <v>2</v>
      </c>
      <c r="CS109" s="9" t="n">
        <v>80.4</v>
      </c>
      <c r="CT109" s="9" t="n">
        <v>63.4</v>
      </c>
      <c r="CU109" s="9" t="n">
        <v>69.3</v>
      </c>
      <c r="CV109" s="9" t="n">
        <v>60.3</v>
      </c>
      <c r="CW109" s="11" t="n">
        <f aca="false">(CS109+CT109+CU109+CV109)/4</f>
        <v>68.35</v>
      </c>
      <c r="CX109" s="9" t="n">
        <v>0</v>
      </c>
      <c r="CY109" s="9" t="n">
        <v>0</v>
      </c>
      <c r="CZ109" s="9" t="n">
        <v>0</v>
      </c>
      <c r="DA109" s="9" t="n">
        <v>0</v>
      </c>
      <c r="DB109" s="11" t="n">
        <f aca="false">(CX109+CY109+CZ109+DA109)/4</f>
        <v>0</v>
      </c>
      <c r="DC109" s="9" t="n">
        <v>1</v>
      </c>
      <c r="DD109" s="9" t="n">
        <v>1</v>
      </c>
      <c r="DE109" s="9" t="n">
        <v>1</v>
      </c>
      <c r="DF109" s="9" t="n">
        <v>0</v>
      </c>
      <c r="DG109" s="11" t="n">
        <f aca="false">(DC109+DD109+DE109+DF109)/4</f>
        <v>0.75</v>
      </c>
      <c r="DH109" s="9" t="n">
        <v>1</v>
      </c>
      <c r="DI109" s="9" t="n">
        <v>1</v>
      </c>
      <c r="DJ109" s="9" t="n">
        <v>1</v>
      </c>
      <c r="DK109" s="9" t="n">
        <v>1</v>
      </c>
      <c r="DL109" s="11" t="n">
        <f aca="false">(DH109+DI109+DJ109+DK109)/4</f>
        <v>1</v>
      </c>
      <c r="DM109" s="9" t="n">
        <v>13</v>
      </c>
      <c r="DN109" s="9" t="n">
        <v>37</v>
      </c>
      <c r="DO109" s="9" t="n">
        <v>159</v>
      </c>
      <c r="DP109" s="9" t="n">
        <v>22</v>
      </c>
      <c r="DQ109" s="11" t="n">
        <f aca="false">(DM109+DN109+DO109+DP109)/4</f>
        <v>57.75</v>
      </c>
      <c r="DR109" s="9" t="n">
        <v>4</v>
      </c>
      <c r="DS109" s="9" t="n">
        <v>14</v>
      </c>
      <c r="DT109" s="9" t="n">
        <v>15</v>
      </c>
      <c r="DU109" s="9" t="n">
        <v>0</v>
      </c>
      <c r="DV109" s="11" t="n">
        <f aca="false">(DR109+DS109+DT109+DU109)/4</f>
        <v>8.25</v>
      </c>
      <c r="DW109" s="9" t="n">
        <v>0</v>
      </c>
      <c r="DX109" s="9" t="n">
        <v>0</v>
      </c>
      <c r="DY109" s="9" t="n">
        <v>0</v>
      </c>
      <c r="DZ109" s="9" t="n">
        <v>0</v>
      </c>
      <c r="EA109" s="11" t="n">
        <f aca="false">(DW109+DX109+DY109+DZ109)/4</f>
        <v>0</v>
      </c>
      <c r="EB109" s="11" t="n">
        <f aca="false">(DW109/DR109)</f>
        <v>0</v>
      </c>
      <c r="EC109" s="11" t="n">
        <f aca="false">(DX109/DS109)</f>
        <v>0</v>
      </c>
      <c r="ED109" s="11" t="n">
        <f aca="false">(DY109/DT109)</f>
        <v>0</v>
      </c>
      <c r="EE109" s="11" t="e">
        <f aca="false">(DZ109/DU109)</f>
        <v>#DIV/0!</v>
      </c>
      <c r="EF109" s="11" t="n">
        <f aca="false">(EA109/DV109)</f>
        <v>0</v>
      </c>
      <c r="EG109" s="11" t="n">
        <f aca="false">(100*EF109)</f>
        <v>0</v>
      </c>
      <c r="EH109" s="9" t="n">
        <v>0</v>
      </c>
      <c r="EI109" s="9" t="n">
        <v>2</v>
      </c>
      <c r="EJ109" s="9" t="n">
        <v>4</v>
      </c>
      <c r="EK109" s="19" t="n">
        <v>8</v>
      </c>
      <c r="EL109" s="9" t="n">
        <v>0</v>
      </c>
      <c r="EM109" s="9" t="n">
        <f aca="false">(EI109+EJ109+EK109+EL109)/4</f>
        <v>3.5</v>
      </c>
      <c r="EN109" s="9" t="n">
        <f aca="false">(EI109/DR109)</f>
        <v>0.5</v>
      </c>
      <c r="EO109" s="9" t="n">
        <f aca="false">(EJ109/DS109)</f>
        <v>0.285714285714286</v>
      </c>
      <c r="EP109" s="9" t="n">
        <f aca="false">(EK109/DT109)</f>
        <v>0.533333333333333</v>
      </c>
      <c r="EQ109" s="9" t="e">
        <f aca="false">(EL109/DU109)</f>
        <v>#DIV/0!</v>
      </c>
      <c r="ER109" s="9" t="n">
        <f aca="false">EM109/DV109</f>
        <v>0.424242424242424</v>
      </c>
      <c r="ES109" s="9" t="n">
        <f aca="false">(100*ER109)</f>
        <v>42.4242424242424</v>
      </c>
      <c r="ET109" s="9" t="n">
        <v>3</v>
      </c>
      <c r="EU109" s="18" t="n">
        <v>1</v>
      </c>
      <c r="EV109" s="9" t="n">
        <v>0</v>
      </c>
      <c r="EW109" s="9" t="n">
        <v>1</v>
      </c>
      <c r="EX109" s="9" t="n">
        <v>0</v>
      </c>
      <c r="EY109" s="11" t="n">
        <f aca="false">(EU109+EV109+EW109+EX109)/4</f>
        <v>0.5</v>
      </c>
      <c r="EZ109" s="11" t="n">
        <f aca="false">(EU109/DR109)</f>
        <v>0.25</v>
      </c>
      <c r="FA109" s="11" t="n">
        <f aca="false">(EV109/DS109)</f>
        <v>0</v>
      </c>
      <c r="FB109" s="11" t="n">
        <f aca="false">(EW109/DT109)</f>
        <v>0.0666666666666667</v>
      </c>
      <c r="FC109" s="11" t="e">
        <f aca="false">(EX109/DU109)</f>
        <v>#DIV/0!</v>
      </c>
      <c r="FD109" s="11" t="n">
        <f aca="false">(EY109/DV109)</f>
        <v>0.0606060606060606</v>
      </c>
      <c r="FE109" s="11" t="n">
        <f aca="false">(100*FD109)</f>
        <v>6.06060606060606</v>
      </c>
      <c r="FF109" s="9" t="n">
        <v>1</v>
      </c>
      <c r="FG109" s="9" t="n">
        <v>2</v>
      </c>
      <c r="FH109" s="9" t="n">
        <v>2</v>
      </c>
      <c r="FI109" s="9" t="n">
        <v>35</v>
      </c>
      <c r="FJ109" s="9" t="n">
        <v>5</v>
      </c>
      <c r="FK109" s="11" t="n">
        <f aca="false">(FG109+FH109+FI109+FJ109)/4</f>
        <v>11</v>
      </c>
      <c r="FL109" s="11" t="n">
        <f aca="false">(FG109/DR109)</f>
        <v>0.5</v>
      </c>
      <c r="FM109" s="11" t="n">
        <f aca="false">(FH109/DS109)</f>
        <v>0.142857142857143</v>
      </c>
      <c r="FN109" s="11" t="n">
        <f aca="false">(FI109/DT109)</f>
        <v>2.33333333333333</v>
      </c>
      <c r="FO109" s="11" t="e">
        <f aca="false">(FJ109/DU109)</f>
        <v>#DIV/0!</v>
      </c>
      <c r="FP109" s="11" t="n">
        <f aca="false">(FK109/DV109)</f>
        <v>1.33333333333333</v>
      </c>
      <c r="FQ109" s="11" t="n">
        <f aca="false">(100*FP109)</f>
        <v>133.333333333333</v>
      </c>
      <c r="FR109" s="9" t="n">
        <v>3</v>
      </c>
      <c r="FS109" s="9" t="n">
        <v>62</v>
      </c>
      <c r="FT109" s="9" t="n">
        <v>66.3</v>
      </c>
      <c r="FU109" s="9" t="n">
        <v>66.6</v>
      </c>
      <c r="FV109" s="9" t="n">
        <v>70.6</v>
      </c>
      <c r="FW109" s="11" t="n">
        <f aca="false">(FS109+FT109+FU109+FV109)/4</f>
        <v>66.375</v>
      </c>
      <c r="FX109" s="9" t="n">
        <v>0</v>
      </c>
      <c r="FY109" s="9" t="n">
        <v>1</v>
      </c>
      <c r="FZ109" s="9" t="n">
        <v>0</v>
      </c>
      <c r="GA109" s="9" t="n">
        <v>0</v>
      </c>
      <c r="GB109" s="11" t="n">
        <f aca="false">(FX109+FY109+FZ109+GA109)/4</f>
        <v>0.25</v>
      </c>
      <c r="GC109" s="9" t="n">
        <v>1</v>
      </c>
      <c r="GD109" s="9" t="n">
        <v>1</v>
      </c>
      <c r="GE109" s="9" t="n">
        <v>1</v>
      </c>
      <c r="GF109" s="9" t="n">
        <v>1</v>
      </c>
      <c r="GG109" s="11" t="n">
        <f aca="false">(GC109+GD109+GE109+GF109)/4</f>
        <v>1</v>
      </c>
      <c r="GH109" s="9" t="n">
        <v>1</v>
      </c>
      <c r="GI109" s="9" t="n">
        <v>1</v>
      </c>
      <c r="GJ109" s="9" t="n">
        <v>0</v>
      </c>
      <c r="GK109" s="9" t="n">
        <v>1</v>
      </c>
      <c r="GL109" s="11" t="n">
        <f aca="false">(GH109+GI109+GJ109+GK109)/4</f>
        <v>0.75</v>
      </c>
      <c r="GM109" s="9" t="n">
        <v>152</v>
      </c>
      <c r="GN109" s="9" t="n">
        <v>10</v>
      </c>
      <c r="GO109" s="9" t="n">
        <v>33</v>
      </c>
      <c r="GP109" s="9" t="n">
        <v>23</v>
      </c>
      <c r="GQ109" s="11" t="n">
        <f aca="false">(GM109+GN109+GO109+GP109)/4</f>
        <v>54.5</v>
      </c>
      <c r="GR109" s="9" t="n">
        <v>27</v>
      </c>
      <c r="GS109" s="9" t="n">
        <v>12</v>
      </c>
      <c r="GT109" s="9" t="n">
        <v>4</v>
      </c>
      <c r="GU109" s="9" t="n">
        <v>26</v>
      </c>
      <c r="GV109" s="11" t="n">
        <f aca="false">(GR109+GS109+GT109+GU109)/4</f>
        <v>17.25</v>
      </c>
      <c r="GW109" s="9" t="n">
        <v>0</v>
      </c>
      <c r="GX109" s="9" t="n">
        <v>1</v>
      </c>
      <c r="GY109" s="9" t="n">
        <v>0</v>
      </c>
      <c r="GZ109" s="9" t="n">
        <v>0</v>
      </c>
      <c r="HA109" s="11" t="n">
        <f aca="false">(GW109+GX109+GY109+GZ109)/4</f>
        <v>0.25</v>
      </c>
      <c r="HB109" s="9" t="n">
        <f aca="false">(GW109/GR109)</f>
        <v>0</v>
      </c>
      <c r="HC109" s="9" t="n">
        <f aca="false">(GX109/GS109)</f>
        <v>0.0833333333333333</v>
      </c>
      <c r="HD109" s="9" t="n">
        <f aca="false">(GY109/GT109)</f>
        <v>0</v>
      </c>
      <c r="HE109" s="9" t="n">
        <f aca="false">(GZ109/GU109)/4</f>
        <v>0</v>
      </c>
      <c r="HF109" s="9" t="n">
        <f aca="false">(HB109+HC109+HD109+HE109)/4</f>
        <v>0.0208333333333333</v>
      </c>
      <c r="HG109" s="9" t="n">
        <f aca="false">(100*HF109)</f>
        <v>2.08333333333333</v>
      </c>
      <c r="HH109" s="18" t="n">
        <v>1</v>
      </c>
      <c r="HI109" s="9" t="n">
        <v>3</v>
      </c>
      <c r="HJ109" s="9" t="n">
        <v>4</v>
      </c>
      <c r="HK109" s="9" t="n">
        <v>2</v>
      </c>
      <c r="HL109" s="19" t="n">
        <v>2</v>
      </c>
      <c r="HM109" s="9" t="n">
        <f aca="false">(HI109+HJ109+HK109+HL109)/4</f>
        <v>2.75</v>
      </c>
      <c r="HN109" s="9" t="n">
        <f aca="false">(HI109/GR109)</f>
        <v>0.111111111111111</v>
      </c>
      <c r="HO109" s="9" t="n">
        <f aca="false">(HJ109/GS109)</f>
        <v>0.333333333333333</v>
      </c>
      <c r="HP109" s="9" t="n">
        <f aca="false">(HK109/GT109)</f>
        <v>0.5</v>
      </c>
      <c r="HQ109" s="9" t="n">
        <f aca="false">(HL109/GU109)</f>
        <v>0.0769230769230769</v>
      </c>
      <c r="HR109" s="9" t="n">
        <f aca="false">(HM109/GV109)</f>
        <v>0.159420289855072</v>
      </c>
      <c r="HS109" s="9" t="n">
        <f aca="false">(100*HR109)</f>
        <v>15.9420289855072</v>
      </c>
      <c r="HT109" s="18" t="n">
        <v>2</v>
      </c>
      <c r="HU109" s="9" t="n">
        <v>0</v>
      </c>
      <c r="HV109" s="9" t="n">
        <v>1</v>
      </c>
      <c r="HW109" s="9" t="n">
        <v>0</v>
      </c>
      <c r="HX109" s="19" t="n">
        <v>2</v>
      </c>
      <c r="HY109" s="9" t="n">
        <f aca="false">(HU109+HV109+HW109+HX109)/4</f>
        <v>0.75</v>
      </c>
      <c r="HZ109" s="9" t="n">
        <f aca="false">(HU109/GR109)</f>
        <v>0</v>
      </c>
      <c r="IA109" s="9" t="n">
        <f aca="false">HV109/GS109</f>
        <v>0.0833333333333333</v>
      </c>
      <c r="IB109" s="9" t="n">
        <f aca="false">(HW109/GT109)</f>
        <v>0</v>
      </c>
      <c r="IC109" s="9" t="n">
        <f aca="false">(HX109/GU109)</f>
        <v>0.0769230769230769</v>
      </c>
      <c r="ID109" s="9" t="n">
        <f aca="false">(HY109/GV109)</f>
        <v>0.0434782608695652</v>
      </c>
      <c r="IE109" s="9" t="n">
        <f aca="false">(100*ID109)</f>
        <v>4.34782608695652</v>
      </c>
      <c r="IF109" s="18" t="n">
        <v>1</v>
      </c>
      <c r="IG109" s="9" t="n">
        <v>12</v>
      </c>
      <c r="IH109" s="9" t="n">
        <v>3</v>
      </c>
      <c r="II109" s="19" t="n">
        <v>0</v>
      </c>
      <c r="IJ109" s="9" t="n">
        <v>0</v>
      </c>
      <c r="IK109" s="9" t="n">
        <f aca="false">(IG109+IH109+II109+IJ109)/4</f>
        <v>3.75</v>
      </c>
      <c r="IL109" s="9" t="n">
        <f aca="false">(IG109/GM109)</f>
        <v>0.0789473684210526</v>
      </c>
      <c r="IM109" s="9" t="n">
        <f aca="false">(IH109/GN109)</f>
        <v>0.3</v>
      </c>
      <c r="IN109" s="9" t="n">
        <f aca="false">(II109/GO109)</f>
        <v>0</v>
      </c>
      <c r="IO109" s="9" t="n">
        <f aca="false">(IJ109/GP109)</f>
        <v>0</v>
      </c>
      <c r="IP109" s="9" t="n">
        <f aca="false">(IK109/GQ109)</f>
        <v>0.0688073394495413</v>
      </c>
      <c r="IQ109" s="9" t="n">
        <f aca="false">(100*IP109)</f>
        <v>6.88073394495413</v>
      </c>
      <c r="IR109" s="18" t="n">
        <v>1</v>
      </c>
      <c r="IS109" s="9" t="n">
        <v>72.4</v>
      </c>
      <c r="IT109" s="9" t="n">
        <v>73.2</v>
      </c>
      <c r="IU109" s="19" t="n">
        <v>47.3</v>
      </c>
      <c r="IV109" s="9" t="n">
        <v>59.6</v>
      </c>
      <c r="IW109" s="9" t="n">
        <f aca="false">(IS109+IT109+IU109+IV109)/4</f>
        <v>63.125</v>
      </c>
      <c r="IX109" s="16" t="n">
        <v>45241</v>
      </c>
      <c r="IY109" s="10" t="s">
        <v>268</v>
      </c>
    </row>
    <row r="110" customFormat="false" ht="15.75" hidden="false" customHeight="true" outlineLevel="0" collapsed="false">
      <c r="A110" s="9" t="s">
        <v>259</v>
      </c>
      <c r="B110" s="10" t="s">
        <v>521</v>
      </c>
      <c r="C110" s="10" t="s">
        <v>514</v>
      </c>
      <c r="D110" s="9" t="n">
        <v>2</v>
      </c>
      <c r="E110" s="9" t="n">
        <v>37</v>
      </c>
      <c r="F110" s="10" t="s">
        <v>522</v>
      </c>
      <c r="G110" s="11" t="s">
        <v>263</v>
      </c>
      <c r="H110" s="9" t="n">
        <v>21</v>
      </c>
      <c r="I110" s="9" t="n">
        <v>3</v>
      </c>
      <c r="J110" s="12" t="s">
        <v>264</v>
      </c>
      <c r="K110" s="13" t="s">
        <v>523</v>
      </c>
      <c r="L110" s="13" t="s">
        <v>524</v>
      </c>
      <c r="M110" s="14" t="n">
        <v>1291</v>
      </c>
      <c r="N110" s="15" t="n">
        <v>45135</v>
      </c>
      <c r="O110" s="10" t="s">
        <v>267</v>
      </c>
      <c r="P110" s="9"/>
      <c r="Q110" s="9" t="n">
        <v>1.33</v>
      </c>
      <c r="R110" s="9" t="n">
        <v>12</v>
      </c>
      <c r="S110" s="9" t="n">
        <v>-5</v>
      </c>
      <c r="T110" s="9" t="n">
        <v>110</v>
      </c>
      <c r="U110" s="9"/>
      <c r="V110" s="9" t="n">
        <f aca="false">(31/100)</f>
        <v>0.31</v>
      </c>
      <c r="W110" s="22" t="s">
        <v>525</v>
      </c>
      <c r="X110" s="9" t="n">
        <v>0</v>
      </c>
      <c r="Y110" s="9" t="n">
        <v>0</v>
      </c>
      <c r="Z110" s="9" t="n">
        <v>0</v>
      </c>
      <c r="AA110" s="9" t="n">
        <v>0</v>
      </c>
      <c r="AB110" s="11" t="n">
        <f aca="false">(X110+Y110+Z110+AA110)/4</f>
        <v>0</v>
      </c>
      <c r="AC110" s="9" t="n">
        <v>1</v>
      </c>
      <c r="AD110" s="9" t="n">
        <v>1</v>
      </c>
      <c r="AE110" s="9" t="n">
        <v>1</v>
      </c>
      <c r="AF110" s="9" t="n">
        <v>1</v>
      </c>
      <c r="AG110" s="11" t="n">
        <f aca="false">(AC110+AD110+AE110+AF110)/4</f>
        <v>1</v>
      </c>
      <c r="AH110" s="9" t="n">
        <v>0</v>
      </c>
      <c r="AI110" s="9" t="n">
        <v>0</v>
      </c>
      <c r="AJ110" s="9" t="n">
        <v>0</v>
      </c>
      <c r="AK110" s="9" t="n">
        <v>1</v>
      </c>
      <c r="AL110" s="11" t="n">
        <f aca="false">(AH110+AI110+AJ110+AK110)/4</f>
        <v>0.25</v>
      </c>
      <c r="AM110" s="9" t="n">
        <v>7</v>
      </c>
      <c r="AN110" s="9" t="n">
        <v>82</v>
      </c>
      <c r="AO110" s="9" t="n">
        <v>14</v>
      </c>
      <c r="AP110" s="9" t="n">
        <v>24</v>
      </c>
      <c r="AQ110" s="11" t="n">
        <f aca="false">(AM110+AN110+AO110+AP110)/4</f>
        <v>31.75</v>
      </c>
      <c r="AR110" s="9" t="n">
        <v>12</v>
      </c>
      <c r="AS110" s="9" t="n">
        <v>39</v>
      </c>
      <c r="AT110" s="9" t="n">
        <v>10</v>
      </c>
      <c r="AU110" s="9" t="n">
        <v>16</v>
      </c>
      <c r="AV110" s="11" t="n">
        <f aca="false">(AR110+AS110+AT110+AU110)/4</f>
        <v>19.25</v>
      </c>
      <c r="AW110" s="9" t="n">
        <v>0</v>
      </c>
      <c r="AX110" s="9" t="n">
        <v>0</v>
      </c>
      <c r="AY110" s="9" t="n">
        <v>0</v>
      </c>
      <c r="AZ110" s="9" t="n">
        <v>0</v>
      </c>
      <c r="BA110" s="11" t="n">
        <f aca="false">(AW110+AX110+AY110+AZ110)/4</f>
        <v>0</v>
      </c>
      <c r="BB110" s="11" t="n">
        <f aca="false">(AW110/AR110)</f>
        <v>0</v>
      </c>
      <c r="BC110" s="11" t="n">
        <f aca="false">(AX110/AS110)</f>
        <v>0</v>
      </c>
      <c r="BD110" s="11" t="n">
        <f aca="false">(AY110/AT110)</f>
        <v>0</v>
      </c>
      <c r="BE110" s="11" t="n">
        <f aca="false">(AZ110/AU110)</f>
        <v>0</v>
      </c>
      <c r="BF110" s="11" t="n">
        <f aca="false">(BA110/AV110)</f>
        <v>0</v>
      </c>
      <c r="BG110" s="11" t="n">
        <f aca="false">(BF110*100)</f>
        <v>0</v>
      </c>
      <c r="BH110" s="9" t="n">
        <v>0</v>
      </c>
      <c r="BI110" s="9" t="n">
        <v>6</v>
      </c>
      <c r="BJ110" s="9" t="n">
        <v>5</v>
      </c>
      <c r="BK110" s="9" t="n">
        <v>2</v>
      </c>
      <c r="BL110" s="9" t="n">
        <v>10</v>
      </c>
      <c r="BM110" s="11" t="n">
        <f aca="false">(BI110+BJ110+BK110+BL110)/4</f>
        <v>5.75</v>
      </c>
      <c r="BN110" s="11" t="n">
        <f aca="false">(BI110/AR110)</f>
        <v>0.5</v>
      </c>
      <c r="BO110" s="11" t="n">
        <f aca="false">(BJ110/AS110)</f>
        <v>0.128205128205128</v>
      </c>
      <c r="BP110" s="11" t="n">
        <f aca="false">(BK110/AT110)</f>
        <v>0.2</v>
      </c>
      <c r="BQ110" s="11" t="n">
        <f aca="false">(BL110/AU110)</f>
        <v>0.625</v>
      </c>
      <c r="BR110" s="11" t="n">
        <f aca="false">(BM110/AV110)</f>
        <v>0.298701298701299</v>
      </c>
      <c r="BS110" s="11" t="n">
        <f aca="false">(100*BR110)</f>
        <v>29.8701298701299</v>
      </c>
      <c r="BT110" s="9" t="n">
        <v>2</v>
      </c>
      <c r="BU110" s="9" t="n">
        <v>0</v>
      </c>
      <c r="BV110" s="9" t="n">
        <v>0</v>
      </c>
      <c r="BW110" s="9" t="n">
        <v>0</v>
      </c>
      <c r="BX110" s="9" t="n">
        <v>0</v>
      </c>
      <c r="BY110" s="11" t="n">
        <f aca="false">(BU110+BV110+BW110+BX110)/4</f>
        <v>0</v>
      </c>
      <c r="BZ110" s="11" t="n">
        <f aca="false">(BU110/AR110)</f>
        <v>0</v>
      </c>
      <c r="CA110" s="11" t="n">
        <f aca="false">(BV110/AS110)</f>
        <v>0</v>
      </c>
      <c r="CB110" s="11" t="n">
        <f aca="false">(BW110/AT110)</f>
        <v>0</v>
      </c>
      <c r="CC110" s="11" t="n">
        <f aca="false">(BX110/AU110)</f>
        <v>0</v>
      </c>
      <c r="CD110" s="11" t="n">
        <f aca="false">(BY110/AV110)</f>
        <v>0</v>
      </c>
      <c r="CE110" s="11" t="n">
        <f aca="false">(100*CD110)</f>
        <v>0</v>
      </c>
      <c r="CF110" s="9" t="n">
        <v>0</v>
      </c>
      <c r="CG110" s="9" t="n">
        <v>0</v>
      </c>
      <c r="CH110" s="9" t="n">
        <v>0</v>
      </c>
      <c r="CI110" s="9" t="n">
        <v>0</v>
      </c>
      <c r="CJ110" s="9" t="n">
        <v>15</v>
      </c>
      <c r="CK110" s="11" t="n">
        <f aca="false">(CG110+CH110+CI110+CJ110)/4</f>
        <v>3.75</v>
      </c>
      <c r="CL110" s="11" t="n">
        <f aca="false">(CG110/AM110)</f>
        <v>0</v>
      </c>
      <c r="CM110" s="11" t="n">
        <f aca="false">(CH110/AN110)</f>
        <v>0</v>
      </c>
      <c r="CN110" s="11" t="n">
        <f aca="false">(CI110/AO110)</f>
        <v>0</v>
      </c>
      <c r="CO110" s="9" t="n">
        <f aca="false">(CJ110/AP110)</f>
        <v>0.625</v>
      </c>
      <c r="CP110" s="9" t="n">
        <f aca="false">(CK110/AQ110)</f>
        <v>0.118110236220472</v>
      </c>
      <c r="CQ110" s="9" t="n">
        <f aca="false">(100*CP110)</f>
        <v>11.8110236220472</v>
      </c>
      <c r="CR110" s="18" t="n">
        <v>2</v>
      </c>
      <c r="CS110" s="9" t="n">
        <v>64.4</v>
      </c>
      <c r="CT110" s="9" t="n">
        <v>67.2</v>
      </c>
      <c r="CU110" s="9" t="n">
        <v>40.9</v>
      </c>
      <c r="CV110" s="9" t="n">
        <v>48.1</v>
      </c>
      <c r="CW110" s="11" t="n">
        <f aca="false">(CS110+CT110+CU110+CV110)/4</f>
        <v>55.15</v>
      </c>
      <c r="CX110" s="9" t="n">
        <v>0</v>
      </c>
      <c r="CY110" s="9" t="n">
        <v>0</v>
      </c>
      <c r="CZ110" s="9" t="n">
        <v>0</v>
      </c>
      <c r="DA110" s="9" t="n">
        <v>0</v>
      </c>
      <c r="DB110" s="11" t="n">
        <f aca="false">(CX110+CY110+CZ110+DA110)/4</f>
        <v>0</v>
      </c>
      <c r="DC110" s="9" t="n">
        <v>1</v>
      </c>
      <c r="DD110" s="9" t="n">
        <v>1</v>
      </c>
      <c r="DE110" s="9" t="n">
        <v>1</v>
      </c>
      <c r="DF110" s="9" t="n">
        <v>1</v>
      </c>
      <c r="DG110" s="11" t="n">
        <f aca="false">(DC110+DD110+DE110+DF110)/4</f>
        <v>1</v>
      </c>
      <c r="DH110" s="9" t="n">
        <v>0</v>
      </c>
      <c r="DI110" s="9" t="n">
        <v>1</v>
      </c>
      <c r="DJ110" s="9" t="n">
        <v>1</v>
      </c>
      <c r="DK110" s="9" t="n">
        <v>1</v>
      </c>
      <c r="DL110" s="11" t="n">
        <f aca="false">(DH110+DI110+DJ110+DK110)/4</f>
        <v>0.75</v>
      </c>
      <c r="DM110" s="9" t="n">
        <v>60</v>
      </c>
      <c r="DN110" s="9" t="n">
        <v>192</v>
      </c>
      <c r="DO110" s="9" t="n">
        <v>78</v>
      </c>
      <c r="DP110" s="9" t="n">
        <v>42</v>
      </c>
      <c r="DQ110" s="11" t="n">
        <f aca="false">(DM110+DN110+DO110+DP110)/4</f>
        <v>93</v>
      </c>
      <c r="DR110" s="9" t="n">
        <v>20</v>
      </c>
      <c r="DS110" s="9" t="n">
        <v>42</v>
      </c>
      <c r="DT110" s="9" t="n">
        <v>81</v>
      </c>
      <c r="DU110" s="9" t="n">
        <v>26</v>
      </c>
      <c r="DV110" s="11" t="n">
        <f aca="false">(DR110+DS110+DT110+DU110)/4</f>
        <v>42.25</v>
      </c>
      <c r="DW110" s="9" t="n">
        <v>0</v>
      </c>
      <c r="DX110" s="9" t="n">
        <v>0</v>
      </c>
      <c r="DY110" s="9" t="n">
        <v>0</v>
      </c>
      <c r="DZ110" s="9" t="n">
        <v>0</v>
      </c>
      <c r="EA110" s="11" t="n">
        <f aca="false">(DW110+DX110+DY110+DZ110)/4</f>
        <v>0</v>
      </c>
      <c r="EB110" s="11" t="n">
        <f aca="false">(DW110/DR110)</f>
        <v>0</v>
      </c>
      <c r="EC110" s="11" t="n">
        <f aca="false">(DX110/DS110)</f>
        <v>0</v>
      </c>
      <c r="ED110" s="11" t="n">
        <f aca="false">(DY110/DT110)</f>
        <v>0</v>
      </c>
      <c r="EE110" s="11" t="n">
        <f aca="false">(DZ110/DU110)</f>
        <v>0</v>
      </c>
      <c r="EF110" s="11" t="n">
        <f aca="false">(EA110/DV110)</f>
        <v>0</v>
      </c>
      <c r="EG110" s="11" t="n">
        <f aca="false">(100*EF110)</f>
        <v>0</v>
      </c>
      <c r="EH110" s="9" t="n">
        <v>0</v>
      </c>
      <c r="EI110" s="9" t="n">
        <v>8</v>
      </c>
      <c r="EJ110" s="9" t="n">
        <v>4</v>
      </c>
      <c r="EK110" s="19" t="n">
        <v>20</v>
      </c>
      <c r="EL110" s="9" t="n">
        <v>11</v>
      </c>
      <c r="EM110" s="9" t="n">
        <f aca="false">(EI110+EJ110+EK110+EL110)/4</f>
        <v>10.75</v>
      </c>
      <c r="EN110" s="9" t="n">
        <f aca="false">(EI110/DR110)</f>
        <v>0.4</v>
      </c>
      <c r="EO110" s="9" t="n">
        <f aca="false">(EJ110/DS110)</f>
        <v>0.0952380952380952</v>
      </c>
      <c r="EP110" s="9" t="n">
        <f aca="false">(EK110/DT110)</f>
        <v>0.246913580246914</v>
      </c>
      <c r="EQ110" s="9" t="n">
        <f aca="false">(EL110/DU110)</f>
        <v>0.423076923076923</v>
      </c>
      <c r="ER110" s="9" t="n">
        <f aca="false">EM110/DV110</f>
        <v>0.254437869822485</v>
      </c>
      <c r="ES110" s="9" t="n">
        <f aca="false">(100*ER110)</f>
        <v>25.4437869822485</v>
      </c>
      <c r="ET110" s="9" t="n">
        <v>2</v>
      </c>
      <c r="EU110" s="18" t="n">
        <v>0</v>
      </c>
      <c r="EV110" s="9" t="n">
        <v>4</v>
      </c>
      <c r="EW110" s="9" t="n">
        <v>0</v>
      </c>
      <c r="EX110" s="9" t="n">
        <v>0</v>
      </c>
      <c r="EY110" s="11" t="n">
        <f aca="false">(EU110+EV110+EW110+EX110)/4</f>
        <v>1</v>
      </c>
      <c r="EZ110" s="11" t="n">
        <f aca="false">(EU110/DR110)</f>
        <v>0</v>
      </c>
      <c r="FA110" s="11" t="n">
        <f aca="false">(EV110/DS110)</f>
        <v>0.0952380952380952</v>
      </c>
      <c r="FB110" s="11" t="n">
        <f aca="false">(EW110/DT110)</f>
        <v>0</v>
      </c>
      <c r="FC110" s="11" t="n">
        <f aca="false">(EX110/DU110)</f>
        <v>0</v>
      </c>
      <c r="FD110" s="11" t="n">
        <f aca="false">(EY110/DV110)</f>
        <v>0.0236686390532544</v>
      </c>
      <c r="FE110" s="11" t="n">
        <f aca="false">(100*FD110)</f>
        <v>2.36686390532544</v>
      </c>
      <c r="FF110" s="9" t="n">
        <v>1</v>
      </c>
      <c r="FG110" s="9" t="n">
        <v>0</v>
      </c>
      <c r="FH110" s="9" t="n">
        <v>20</v>
      </c>
      <c r="FI110" s="9" t="n">
        <v>4</v>
      </c>
      <c r="FJ110" s="9" t="n">
        <v>5</v>
      </c>
      <c r="FK110" s="11" t="n">
        <f aca="false">(FG110+FH110+FI110+FJ110)/4</f>
        <v>7.25</v>
      </c>
      <c r="FL110" s="11" t="n">
        <f aca="false">(FG110/DR110)</f>
        <v>0</v>
      </c>
      <c r="FM110" s="11" t="n">
        <f aca="false">(FH110/DS110)</f>
        <v>0.476190476190476</v>
      </c>
      <c r="FN110" s="11" t="n">
        <f aca="false">(FI110/DT110)</f>
        <v>0.0493827160493827</v>
      </c>
      <c r="FO110" s="11" t="n">
        <f aca="false">(FJ110/DU110)</f>
        <v>0.192307692307692</v>
      </c>
      <c r="FP110" s="11" t="n">
        <f aca="false">(FK110/DV110)</f>
        <v>0.171597633136095</v>
      </c>
      <c r="FQ110" s="11" t="n">
        <f aca="false">(100*FP110)</f>
        <v>17.1597633136095</v>
      </c>
      <c r="FR110" s="9" t="n">
        <v>2</v>
      </c>
      <c r="FS110" s="9" t="n">
        <v>59.9</v>
      </c>
      <c r="FT110" s="9" t="n">
        <v>56.5</v>
      </c>
      <c r="FU110" s="9" t="n">
        <v>53.9</v>
      </c>
      <c r="FV110" s="9" t="n">
        <v>47.1</v>
      </c>
      <c r="FW110" s="11" t="n">
        <f aca="false">(FS110+FT110+FU110+FV110)/4</f>
        <v>54.35</v>
      </c>
      <c r="FX110" s="9" t="n">
        <v>0</v>
      </c>
      <c r="FY110" s="9" t="n">
        <v>0</v>
      </c>
      <c r="FZ110" s="9" t="n">
        <v>0</v>
      </c>
      <c r="GA110" s="9" t="n">
        <v>0</v>
      </c>
      <c r="GB110" s="11" t="n">
        <f aca="false">(FX110+FY110+FZ110+GA110)/4</f>
        <v>0</v>
      </c>
      <c r="GC110" s="9" t="n">
        <v>1</v>
      </c>
      <c r="GD110" s="9" t="n">
        <v>1</v>
      </c>
      <c r="GE110" s="9" t="n">
        <v>1</v>
      </c>
      <c r="GF110" s="9" t="n">
        <v>1</v>
      </c>
      <c r="GG110" s="11" t="n">
        <f aca="false">(GC110+GD110+GE110+GF110)/4</f>
        <v>1</v>
      </c>
      <c r="GH110" s="9" t="n">
        <v>1</v>
      </c>
      <c r="GI110" s="9" t="n">
        <v>0</v>
      </c>
      <c r="GJ110" s="9" t="n">
        <v>0</v>
      </c>
      <c r="GK110" s="9" t="n">
        <v>1</v>
      </c>
      <c r="GL110" s="11" t="n">
        <f aca="false">(GH110+GI110+GJ110+GK110)/4</f>
        <v>0.5</v>
      </c>
      <c r="GM110" s="9" t="n">
        <v>183</v>
      </c>
      <c r="GN110" s="9" t="n">
        <v>124</v>
      </c>
      <c r="GO110" s="9" t="n">
        <v>21</v>
      </c>
      <c r="GP110" s="9" t="n">
        <v>212</v>
      </c>
      <c r="GQ110" s="11" t="n">
        <f aca="false">(GM110+GN110+GO110+GP110)/4</f>
        <v>135</v>
      </c>
      <c r="GR110" s="9" t="n">
        <v>10</v>
      </c>
      <c r="GS110" s="9" t="n">
        <v>11</v>
      </c>
      <c r="GT110" s="9" t="n">
        <v>14</v>
      </c>
      <c r="GU110" s="9" t="n">
        <v>15</v>
      </c>
      <c r="GV110" s="11" t="n">
        <f aca="false">(GR110+GS110+GT110+GU110)/4</f>
        <v>12.5</v>
      </c>
      <c r="GW110" s="9" t="n">
        <v>0</v>
      </c>
      <c r="GX110" s="9" t="n">
        <v>0</v>
      </c>
      <c r="GY110" s="9" t="n">
        <v>0</v>
      </c>
      <c r="GZ110" s="9" t="n">
        <v>0</v>
      </c>
      <c r="HA110" s="11" t="n">
        <f aca="false">(GW110+GX110+GY110+GZ110)/4</f>
        <v>0</v>
      </c>
      <c r="HB110" s="9" t="n">
        <f aca="false">(GW110/GR110)</f>
        <v>0</v>
      </c>
      <c r="HC110" s="9" t="n">
        <f aca="false">(GX110/GS110)</f>
        <v>0</v>
      </c>
      <c r="HD110" s="9" t="n">
        <f aca="false">(GY110/GT110)</f>
        <v>0</v>
      </c>
      <c r="HE110" s="9" t="n">
        <f aca="false">(GZ110/GU110)/4</f>
        <v>0</v>
      </c>
      <c r="HF110" s="9" t="n">
        <f aca="false">(HB110+HC110+HD110+HE110)/4</f>
        <v>0</v>
      </c>
      <c r="HG110" s="9" t="n">
        <f aca="false">(100*HF110)</f>
        <v>0</v>
      </c>
      <c r="HH110" s="18" t="n">
        <v>0</v>
      </c>
      <c r="HI110" s="9" t="n">
        <v>2</v>
      </c>
      <c r="HJ110" s="9" t="n">
        <v>4</v>
      </c>
      <c r="HK110" s="9" t="n">
        <v>6</v>
      </c>
      <c r="HL110" s="19" t="n">
        <v>8</v>
      </c>
      <c r="HM110" s="9" t="n">
        <f aca="false">(HI110+HJ110+HK110+HL110)/4</f>
        <v>5</v>
      </c>
      <c r="HN110" s="9" t="n">
        <f aca="false">(HI110/GR110)</f>
        <v>0.2</v>
      </c>
      <c r="HO110" s="9" t="n">
        <f aca="false">(HJ110/GS110)</f>
        <v>0.363636363636364</v>
      </c>
      <c r="HP110" s="9" t="n">
        <f aca="false">(HK110/GT110)</f>
        <v>0.428571428571429</v>
      </c>
      <c r="HQ110" s="9" t="n">
        <f aca="false">(HL110/GU110)</f>
        <v>0.533333333333333</v>
      </c>
      <c r="HR110" s="9" t="n">
        <f aca="false">(HM110/GV110)</f>
        <v>0.4</v>
      </c>
      <c r="HS110" s="9" t="n">
        <f aca="false">(100*HR110)</f>
        <v>40</v>
      </c>
      <c r="HT110" s="18" t="n">
        <v>3</v>
      </c>
      <c r="HU110" s="9" t="n">
        <v>0</v>
      </c>
      <c r="HV110" s="9" t="n">
        <v>0</v>
      </c>
      <c r="HW110" s="9" t="n">
        <v>0</v>
      </c>
      <c r="HX110" s="19" t="n">
        <v>1</v>
      </c>
      <c r="HY110" s="9" t="n">
        <f aca="false">(HU110+HV110+HW110+HX110)/4</f>
        <v>0.25</v>
      </c>
      <c r="HZ110" s="9" t="n">
        <f aca="false">(HU110/GR110)</f>
        <v>0</v>
      </c>
      <c r="IA110" s="9" t="n">
        <f aca="false">HV110/GS110</f>
        <v>0</v>
      </c>
      <c r="IB110" s="9" t="n">
        <f aca="false">(HW110/GT110)</f>
        <v>0</v>
      </c>
      <c r="IC110" s="9" t="n">
        <f aca="false">(HX110/GU110)</f>
        <v>0.0666666666666667</v>
      </c>
      <c r="ID110" s="9" t="n">
        <f aca="false">(HY110/GV110)</f>
        <v>0.02</v>
      </c>
      <c r="IE110" s="9" t="n">
        <f aca="false">(100*ID110)</f>
        <v>2</v>
      </c>
      <c r="IF110" s="18" t="n">
        <v>1</v>
      </c>
      <c r="IG110" s="9" t="n">
        <v>4</v>
      </c>
      <c r="IH110" s="9" t="n">
        <v>0</v>
      </c>
      <c r="II110" s="19" t="n">
        <v>0</v>
      </c>
      <c r="IJ110" s="9" t="n">
        <v>4</v>
      </c>
      <c r="IK110" s="9" t="n">
        <f aca="false">(IG110+IH110+II110+IJ110)/4</f>
        <v>2</v>
      </c>
      <c r="IL110" s="9" t="n">
        <f aca="false">(IG110/GM110)</f>
        <v>0.0218579234972678</v>
      </c>
      <c r="IM110" s="9" t="n">
        <f aca="false">(IH110/GN110)</f>
        <v>0</v>
      </c>
      <c r="IN110" s="9" t="n">
        <f aca="false">(II110/GO110)</f>
        <v>0</v>
      </c>
      <c r="IO110" s="9" t="n">
        <f aca="false">(IJ110/GP110)</f>
        <v>0.0188679245283019</v>
      </c>
      <c r="IP110" s="9" t="n">
        <f aca="false">(IK110/GQ110)</f>
        <v>0.0148148148148148</v>
      </c>
      <c r="IQ110" s="9" t="n">
        <f aca="false">(100*IP110)</f>
        <v>1.48148148148148</v>
      </c>
      <c r="IR110" s="18" t="n">
        <v>1</v>
      </c>
      <c r="IS110" s="9" t="n">
        <v>59.7</v>
      </c>
      <c r="IT110" s="9" t="n">
        <v>56.8</v>
      </c>
      <c r="IU110" s="19" t="n">
        <v>59.8</v>
      </c>
      <c r="IV110" s="9" t="n">
        <v>58.8</v>
      </c>
      <c r="IW110" s="9" t="n">
        <f aca="false">(IS110+IT110+IU110+IV110)/4</f>
        <v>58.775</v>
      </c>
      <c r="IX110" s="16" t="n">
        <v>45241</v>
      </c>
      <c r="IY110" s="10" t="s">
        <v>268</v>
      </c>
    </row>
    <row r="111" customFormat="false" ht="15.75" hidden="false" customHeight="true" outlineLevel="0" collapsed="false">
      <c r="A111" s="9" t="s">
        <v>259</v>
      </c>
      <c r="B111" s="10" t="s">
        <v>521</v>
      </c>
      <c r="C111" s="10" t="s">
        <v>514</v>
      </c>
      <c r="D111" s="9" t="n">
        <v>2</v>
      </c>
      <c r="E111" s="9" t="n">
        <v>37</v>
      </c>
      <c r="F111" s="10" t="s">
        <v>526</v>
      </c>
      <c r="G111" s="11" t="s">
        <v>263</v>
      </c>
      <c r="H111" s="9" t="n">
        <v>21</v>
      </c>
      <c r="I111" s="9" t="n">
        <v>11</v>
      </c>
      <c r="J111" s="12" t="s">
        <v>270</v>
      </c>
      <c r="K111" s="20"/>
      <c r="L111" s="20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 t="n">
        <v>0</v>
      </c>
      <c r="Y111" s="9" t="n">
        <v>0</v>
      </c>
      <c r="Z111" s="9" t="n">
        <v>0</v>
      </c>
      <c r="AA111" s="9" t="n">
        <v>0</v>
      </c>
      <c r="AB111" s="11" t="n">
        <f aca="false">(X111+Y111+Z111+AA111)/4</f>
        <v>0</v>
      </c>
      <c r="AC111" s="9" t="n">
        <v>1</v>
      </c>
      <c r="AD111" s="9" t="n">
        <v>1</v>
      </c>
      <c r="AE111" s="9" t="n">
        <v>0</v>
      </c>
      <c r="AF111" s="9" t="n">
        <v>1</v>
      </c>
      <c r="AG111" s="11" t="n">
        <f aca="false">(AC111+AD111+AE111+AF111)/4</f>
        <v>0.75</v>
      </c>
      <c r="AH111" s="9" t="n">
        <v>1</v>
      </c>
      <c r="AI111" s="9" t="n">
        <v>1</v>
      </c>
      <c r="AJ111" s="9" t="n">
        <v>0</v>
      </c>
      <c r="AK111" s="9" t="n">
        <v>1</v>
      </c>
      <c r="AL111" s="11" t="n">
        <f aca="false">(AH111+AI111+AJ111+AK111)/4</f>
        <v>0.75</v>
      </c>
      <c r="AM111" s="9" t="n">
        <v>21</v>
      </c>
      <c r="AN111" s="9" t="n">
        <v>20</v>
      </c>
      <c r="AO111" s="9" t="n">
        <v>41</v>
      </c>
      <c r="AP111" s="9" t="n">
        <v>0</v>
      </c>
      <c r="AQ111" s="11" t="n">
        <f aca="false">(AM111+AN111+AO111+AP111)/4</f>
        <v>20.5</v>
      </c>
      <c r="AR111" s="9" t="n">
        <v>21</v>
      </c>
      <c r="AS111" s="9" t="n">
        <v>21</v>
      </c>
      <c r="AT111" s="9" t="n">
        <v>27</v>
      </c>
      <c r="AU111" s="9" t="n">
        <v>18</v>
      </c>
      <c r="AV111" s="11" t="n">
        <f aca="false">(AR111+AS111+AT111+AU111)/4</f>
        <v>21.75</v>
      </c>
      <c r="AW111" s="9" t="n">
        <v>0</v>
      </c>
      <c r="AX111" s="9" t="n">
        <v>0</v>
      </c>
      <c r="AY111" s="9" t="n">
        <v>0</v>
      </c>
      <c r="AZ111" s="9" t="n">
        <v>0</v>
      </c>
      <c r="BA111" s="11" t="n">
        <f aca="false">(AW111+AX111+AY111+AZ111)/4</f>
        <v>0</v>
      </c>
      <c r="BB111" s="11" t="n">
        <f aca="false">(AW111/AR111)</f>
        <v>0</v>
      </c>
      <c r="BC111" s="11" t="n">
        <f aca="false">(AX111/AS111)</f>
        <v>0</v>
      </c>
      <c r="BD111" s="11" t="n">
        <f aca="false">(AY111/AT111)</f>
        <v>0</v>
      </c>
      <c r="BE111" s="11" t="n">
        <f aca="false">(AZ111/AU111)</f>
        <v>0</v>
      </c>
      <c r="BF111" s="11" t="n">
        <f aca="false">(BA111/AV111)</f>
        <v>0</v>
      </c>
      <c r="BG111" s="11" t="n">
        <f aca="false">(BF111*100)</f>
        <v>0</v>
      </c>
      <c r="BH111" s="9" t="n">
        <v>0</v>
      </c>
      <c r="BI111" s="9" t="n">
        <v>4</v>
      </c>
      <c r="BJ111" s="9" t="n">
        <v>7</v>
      </c>
      <c r="BK111" s="9" t="n">
        <v>0</v>
      </c>
      <c r="BL111" s="9" t="n">
        <v>1</v>
      </c>
      <c r="BM111" s="11" t="n">
        <f aca="false">(BI111+BJ111+BK111+BL111)/4</f>
        <v>3</v>
      </c>
      <c r="BN111" s="11" t="n">
        <f aca="false">(BI111/AR111)</f>
        <v>0.19047619047619</v>
      </c>
      <c r="BO111" s="11" t="n">
        <f aca="false">(BJ111/AS111)</f>
        <v>0.333333333333333</v>
      </c>
      <c r="BP111" s="11" t="n">
        <f aca="false">(BK111/AT111)</f>
        <v>0</v>
      </c>
      <c r="BQ111" s="11" t="n">
        <f aca="false">(BL111/AU111)</f>
        <v>0.0555555555555556</v>
      </c>
      <c r="BR111" s="11" t="n">
        <f aca="false">(BM111/AV111)</f>
        <v>0.137931034482759</v>
      </c>
      <c r="BS111" s="11" t="n">
        <f aca="false">(100*BR111)</f>
        <v>13.7931034482759</v>
      </c>
      <c r="BT111" s="9" t="n">
        <v>2</v>
      </c>
      <c r="BU111" s="9" t="n">
        <v>8</v>
      </c>
      <c r="BV111" s="9" t="n">
        <v>7</v>
      </c>
      <c r="BW111" s="9" t="n">
        <v>0</v>
      </c>
      <c r="BX111" s="9" t="n">
        <v>3</v>
      </c>
      <c r="BY111" s="11" t="n">
        <f aca="false">(BU111+BV111+BW111+BX111)/4</f>
        <v>4.5</v>
      </c>
      <c r="BZ111" s="11" t="n">
        <f aca="false">(BU111/AR111)</f>
        <v>0.380952380952381</v>
      </c>
      <c r="CA111" s="11" t="n">
        <f aca="false">(BV111/AS111)</f>
        <v>0.333333333333333</v>
      </c>
      <c r="CB111" s="11" t="n">
        <f aca="false">(BW111/AT111)</f>
        <v>0</v>
      </c>
      <c r="CC111" s="11" t="n">
        <f aca="false">(BX111/AU111)</f>
        <v>0.166666666666667</v>
      </c>
      <c r="CD111" s="11" t="n">
        <f aca="false">(BY111/AV111)</f>
        <v>0.206896551724138</v>
      </c>
      <c r="CE111" s="11" t="n">
        <f aca="false">(100*CD111)</f>
        <v>20.6896551724138</v>
      </c>
      <c r="CF111" s="9" t="n">
        <v>2</v>
      </c>
      <c r="CG111" s="9" t="n">
        <v>5</v>
      </c>
      <c r="CH111" s="9" t="n">
        <v>0</v>
      </c>
      <c r="CI111" s="9" t="n">
        <v>0</v>
      </c>
      <c r="CJ111" s="9" t="n">
        <v>0</v>
      </c>
      <c r="CK111" s="11" t="n">
        <f aca="false">(CG111+CH111+CI111+CJ111)/4</f>
        <v>1.25</v>
      </c>
      <c r="CL111" s="11" t="n">
        <f aca="false">(CG111/AM111)</f>
        <v>0.238095238095238</v>
      </c>
      <c r="CM111" s="11" t="n">
        <f aca="false">(CH111/AN111)</f>
        <v>0</v>
      </c>
      <c r="CN111" s="11" t="n">
        <f aca="false">(CI111/AO111)</f>
        <v>0</v>
      </c>
      <c r="CO111" s="9" t="e">
        <f aca="false">(CJ111/AP111)</f>
        <v>#DIV/0!</v>
      </c>
      <c r="CP111" s="9" t="n">
        <f aca="false">(CK111/AQ111)</f>
        <v>0.0609756097560976</v>
      </c>
      <c r="CQ111" s="9" t="n">
        <f aca="false">(100*CP111)</f>
        <v>6.09756097560976</v>
      </c>
      <c r="CR111" s="18" t="n">
        <v>1</v>
      </c>
      <c r="CS111" s="9" t="n">
        <v>58.4</v>
      </c>
      <c r="CT111" s="9" t="n">
        <v>58.3</v>
      </c>
      <c r="CU111" s="9" t="n">
        <v>70.7</v>
      </c>
      <c r="CV111" s="9" t="n">
        <v>68.9</v>
      </c>
      <c r="CW111" s="11" t="n">
        <f aca="false">(CS111+CT111+CU111+CV111)/4</f>
        <v>64.075</v>
      </c>
      <c r="CX111" s="9" t="n">
        <v>0</v>
      </c>
      <c r="CY111" s="9" t="n">
        <v>0</v>
      </c>
      <c r="CZ111" s="9" t="n">
        <v>0</v>
      </c>
      <c r="DA111" s="9" t="n">
        <v>0</v>
      </c>
      <c r="DB111" s="11" t="n">
        <f aca="false">(CX111+CY111+CZ111+DA111)/4</f>
        <v>0</v>
      </c>
      <c r="DC111" s="9" t="n">
        <v>1</v>
      </c>
      <c r="DD111" s="9" t="n">
        <v>1</v>
      </c>
      <c r="DE111" s="9" t="n">
        <v>1</v>
      </c>
      <c r="DF111" s="9" t="n">
        <v>1</v>
      </c>
      <c r="DG111" s="11" t="n">
        <f aca="false">(DC111+DD111+DE111+DF111)/4</f>
        <v>1</v>
      </c>
      <c r="DH111" s="9" t="n">
        <v>1</v>
      </c>
      <c r="DI111" s="9" t="n">
        <v>1</v>
      </c>
      <c r="DJ111" s="9" t="n">
        <v>1</v>
      </c>
      <c r="DK111" s="9" t="n">
        <v>1</v>
      </c>
      <c r="DL111" s="11" t="n">
        <f aca="false">(DH111+DI111+DJ111+DK111)/4</f>
        <v>1</v>
      </c>
      <c r="DM111" s="9" t="n">
        <v>22</v>
      </c>
      <c r="DN111" s="9" t="n">
        <v>50</v>
      </c>
      <c r="DO111" s="9" t="n">
        <v>12</v>
      </c>
      <c r="DP111" s="9" t="n">
        <v>37</v>
      </c>
      <c r="DQ111" s="11" t="n">
        <f aca="false">(DM111+DN111+DO111+DP111)/4</f>
        <v>30.25</v>
      </c>
      <c r="DR111" s="9" t="n">
        <v>11</v>
      </c>
      <c r="DS111" s="9" t="n">
        <v>15</v>
      </c>
      <c r="DT111" s="9" t="n">
        <v>39</v>
      </c>
      <c r="DU111" s="9" t="n">
        <v>12</v>
      </c>
      <c r="DV111" s="11" t="n">
        <f aca="false">(DR111+DS111+DT111+DU111)/4</f>
        <v>19.25</v>
      </c>
      <c r="DW111" s="9" t="n">
        <v>0</v>
      </c>
      <c r="DX111" s="9" t="n">
        <v>0</v>
      </c>
      <c r="DY111" s="9" t="n">
        <v>0</v>
      </c>
      <c r="DZ111" s="9" t="n">
        <v>0</v>
      </c>
      <c r="EA111" s="11" t="n">
        <f aca="false">(DW111+DX111+DY111+DZ111)/4</f>
        <v>0</v>
      </c>
      <c r="EB111" s="11" t="n">
        <f aca="false">(DW111/DR111)</f>
        <v>0</v>
      </c>
      <c r="EC111" s="11" t="n">
        <f aca="false">(DX111/DS111)</f>
        <v>0</v>
      </c>
      <c r="ED111" s="11" t="n">
        <f aca="false">(DY111/DT111)</f>
        <v>0</v>
      </c>
      <c r="EE111" s="11" t="n">
        <f aca="false">(DZ111/DU111)</f>
        <v>0</v>
      </c>
      <c r="EF111" s="11" t="n">
        <f aca="false">(EA111/DV111)</f>
        <v>0</v>
      </c>
      <c r="EG111" s="11" t="n">
        <f aca="false">(100*EF111)</f>
        <v>0</v>
      </c>
      <c r="EH111" s="9" t="n">
        <v>0</v>
      </c>
      <c r="EI111" s="9" t="n">
        <v>5</v>
      </c>
      <c r="EJ111" s="9" t="n">
        <v>5</v>
      </c>
      <c r="EK111" s="19" t="n">
        <v>2</v>
      </c>
      <c r="EL111" s="9" t="n">
        <v>7</v>
      </c>
      <c r="EM111" s="9" t="n">
        <f aca="false">(EI111+EJ111+EK111+EL111)/4</f>
        <v>4.75</v>
      </c>
      <c r="EN111" s="9" t="n">
        <f aca="false">(EI111/DR111)</f>
        <v>0.454545454545455</v>
      </c>
      <c r="EO111" s="9" t="n">
        <f aca="false">(EJ111/DS111)</f>
        <v>0.333333333333333</v>
      </c>
      <c r="EP111" s="9" t="n">
        <f aca="false">(EK111/DT111)</f>
        <v>0.0512820512820513</v>
      </c>
      <c r="EQ111" s="9" t="n">
        <f aca="false">(EL111/DU111)</f>
        <v>0.583333333333333</v>
      </c>
      <c r="ER111" s="9" t="n">
        <f aca="false">EM111/DV111</f>
        <v>0.246753246753247</v>
      </c>
      <c r="ES111" s="9" t="n">
        <f aca="false">(100*ER111)</f>
        <v>24.6753246753247</v>
      </c>
      <c r="ET111" s="9" t="n">
        <v>2</v>
      </c>
      <c r="EU111" s="18" t="n">
        <v>0</v>
      </c>
      <c r="EV111" s="9" t="n">
        <v>0</v>
      </c>
      <c r="EW111" s="9" t="n">
        <v>0</v>
      </c>
      <c r="EX111" s="9" t="n">
        <v>2</v>
      </c>
      <c r="EY111" s="11" t="n">
        <f aca="false">(EU111+EV111+EW111+EX111)/4</f>
        <v>0.5</v>
      </c>
      <c r="EZ111" s="11" t="n">
        <f aca="false">(EU111/DR111)</f>
        <v>0</v>
      </c>
      <c r="FA111" s="11" t="n">
        <f aca="false">(EV111/DS111)</f>
        <v>0</v>
      </c>
      <c r="FB111" s="11" t="n">
        <f aca="false">(EW111/DT111)</f>
        <v>0</v>
      </c>
      <c r="FC111" s="11" t="n">
        <f aca="false">(EX111/DU111)</f>
        <v>0.166666666666667</v>
      </c>
      <c r="FD111" s="11" t="n">
        <f aca="false">(EY111/DV111)</f>
        <v>0.025974025974026</v>
      </c>
      <c r="FE111" s="11" t="n">
        <f aca="false">(100*FD111)</f>
        <v>2.5974025974026</v>
      </c>
      <c r="FF111" s="9" t="n">
        <v>1</v>
      </c>
      <c r="FG111" s="9" t="n">
        <v>3</v>
      </c>
      <c r="FH111" s="9" t="n">
        <v>6</v>
      </c>
      <c r="FI111" s="9" t="n">
        <v>3</v>
      </c>
      <c r="FJ111" s="9" t="n">
        <v>0</v>
      </c>
      <c r="FK111" s="11" t="n">
        <f aca="false">(FG111+FH111+FI111+FJ111)/4</f>
        <v>3</v>
      </c>
      <c r="FL111" s="11" t="n">
        <f aca="false">(FG111/DR111)</f>
        <v>0.272727272727273</v>
      </c>
      <c r="FM111" s="11" t="n">
        <f aca="false">(FH111/DS111)</f>
        <v>0.4</v>
      </c>
      <c r="FN111" s="11" t="n">
        <f aca="false">(FI111/DT111)</f>
        <v>0.0769230769230769</v>
      </c>
      <c r="FO111" s="11" t="n">
        <f aca="false">(FJ111/DU111)</f>
        <v>0</v>
      </c>
      <c r="FP111" s="11" t="n">
        <f aca="false">(FK111/DV111)</f>
        <v>0.155844155844156</v>
      </c>
      <c r="FQ111" s="11" t="n">
        <f aca="false">(100*FP111)</f>
        <v>15.5844155844156</v>
      </c>
      <c r="FR111" s="9" t="n">
        <v>2</v>
      </c>
      <c r="FS111" s="9" t="n">
        <v>44.7</v>
      </c>
      <c r="FT111" s="9" t="n">
        <v>60.7</v>
      </c>
      <c r="FU111" s="9" t="n">
        <v>67.2</v>
      </c>
      <c r="FV111" s="9" t="n">
        <v>67.3</v>
      </c>
      <c r="FW111" s="11" t="n">
        <f aca="false">(FS111+FT111+FU111+FV111)/4</f>
        <v>59.975</v>
      </c>
      <c r="FX111" s="9" t="n">
        <v>0</v>
      </c>
      <c r="FY111" s="9" t="n">
        <v>1</v>
      </c>
      <c r="FZ111" s="9" t="n">
        <v>0</v>
      </c>
      <c r="GA111" s="9" t="n">
        <v>0</v>
      </c>
      <c r="GB111" s="11" t="n">
        <f aca="false">(FX111+FY111+FZ111+GA111)/4</f>
        <v>0.25</v>
      </c>
      <c r="GC111" s="9" t="n">
        <v>1</v>
      </c>
      <c r="GD111" s="9" t="n">
        <v>1</v>
      </c>
      <c r="GE111" s="9" t="n">
        <v>1</v>
      </c>
      <c r="GF111" s="9" t="n">
        <v>1</v>
      </c>
      <c r="GG111" s="11" t="n">
        <f aca="false">(GC111+GD111+GE111+GF111)/4</f>
        <v>1</v>
      </c>
      <c r="GH111" s="9" t="n">
        <v>1</v>
      </c>
      <c r="GI111" s="9" t="n">
        <v>1</v>
      </c>
      <c r="GJ111" s="9" t="n">
        <v>1</v>
      </c>
      <c r="GK111" s="9" t="n">
        <v>1</v>
      </c>
      <c r="GL111" s="11" t="n">
        <f aca="false">(GH111+GI111+GJ111+GK111)/4</f>
        <v>1</v>
      </c>
      <c r="GM111" s="9" t="n">
        <v>32</v>
      </c>
      <c r="GN111" s="9" t="n">
        <v>118</v>
      </c>
      <c r="GO111" s="9" t="n">
        <v>190</v>
      </c>
      <c r="GP111" s="9" t="n">
        <v>15</v>
      </c>
      <c r="GQ111" s="11" t="n">
        <f aca="false">(GM111+GN111+GO111+GP111)/4</f>
        <v>88.75</v>
      </c>
      <c r="GR111" s="9" t="n">
        <v>17</v>
      </c>
      <c r="GS111" s="9" t="n">
        <v>12</v>
      </c>
      <c r="GT111" s="9" t="n">
        <v>13</v>
      </c>
      <c r="GU111" s="9" t="n">
        <v>14</v>
      </c>
      <c r="GV111" s="11" t="n">
        <f aca="false">(GR111+GS111+GT111+GU111)/4</f>
        <v>14</v>
      </c>
      <c r="GW111" s="9" t="n">
        <v>0</v>
      </c>
      <c r="GX111" s="9" t="n">
        <v>1</v>
      </c>
      <c r="GY111" s="9" t="n">
        <v>0</v>
      </c>
      <c r="GZ111" s="9" t="n">
        <v>0</v>
      </c>
      <c r="HA111" s="11" t="n">
        <f aca="false">(GW111+GX111+GY111+GZ111)/4</f>
        <v>0.25</v>
      </c>
      <c r="HB111" s="9" t="n">
        <f aca="false">(GW111/GR111)</f>
        <v>0</v>
      </c>
      <c r="HC111" s="9" t="n">
        <f aca="false">(GX111/GS111)</f>
        <v>0.0833333333333333</v>
      </c>
      <c r="HD111" s="9" t="n">
        <f aca="false">(GY111/GT111)</f>
        <v>0</v>
      </c>
      <c r="HE111" s="9" t="n">
        <f aca="false">(GZ111/GU111)/4</f>
        <v>0</v>
      </c>
      <c r="HF111" s="9" t="n">
        <f aca="false">(HB111+HC111+HD111+HE111)/4</f>
        <v>0.0208333333333333</v>
      </c>
      <c r="HG111" s="9" t="n">
        <f aca="false">(100*HF111)</f>
        <v>2.08333333333333</v>
      </c>
      <c r="HH111" s="18" t="n">
        <v>1</v>
      </c>
      <c r="HI111" s="9" t="n">
        <v>5</v>
      </c>
      <c r="HJ111" s="9" t="n">
        <v>2</v>
      </c>
      <c r="HK111" s="9" t="n">
        <v>2</v>
      </c>
      <c r="HL111" s="19" t="n">
        <v>4</v>
      </c>
      <c r="HM111" s="9" t="n">
        <f aca="false">(HI111+HJ111+HK111+HL111)/4</f>
        <v>3.25</v>
      </c>
      <c r="HN111" s="9" t="n">
        <f aca="false">(HI111/GR111)</f>
        <v>0.294117647058824</v>
      </c>
      <c r="HO111" s="9" t="n">
        <f aca="false">(HJ111/GS111)</f>
        <v>0.166666666666667</v>
      </c>
      <c r="HP111" s="9" t="n">
        <f aca="false">(HK111/GT111)</f>
        <v>0.153846153846154</v>
      </c>
      <c r="HQ111" s="9" t="n">
        <f aca="false">(HL111/GU111)</f>
        <v>0.285714285714286</v>
      </c>
      <c r="HR111" s="9" t="n">
        <f aca="false">(HM111/GV111)</f>
        <v>0.232142857142857</v>
      </c>
      <c r="HS111" s="9" t="n">
        <f aca="false">(100*HR111)</f>
        <v>23.2142857142857</v>
      </c>
      <c r="HT111" s="18" t="n">
        <v>2</v>
      </c>
      <c r="HU111" s="9" t="n">
        <v>1</v>
      </c>
      <c r="HV111" s="9" t="n">
        <v>1</v>
      </c>
      <c r="HW111" s="9" t="n">
        <v>4</v>
      </c>
      <c r="HX111" s="19" t="n">
        <v>12</v>
      </c>
      <c r="HY111" s="9" t="n">
        <f aca="false">(HU111+HV111+HW111+HX111)/4</f>
        <v>4.5</v>
      </c>
      <c r="HZ111" s="9" t="n">
        <f aca="false">(HU111/GR111)</f>
        <v>0.0588235294117647</v>
      </c>
      <c r="IA111" s="9" t="n">
        <f aca="false">HV111/GS111</f>
        <v>0.0833333333333333</v>
      </c>
      <c r="IB111" s="9" t="n">
        <f aca="false">(HW111/GT111)</f>
        <v>0.307692307692308</v>
      </c>
      <c r="IC111" s="9" t="n">
        <f aca="false">(HX111/GU111)</f>
        <v>0.857142857142857</v>
      </c>
      <c r="ID111" s="9" t="n">
        <f aca="false">(HY111/GV111)</f>
        <v>0.321428571428571</v>
      </c>
      <c r="IE111" s="9" t="n">
        <f aca="false">(100*ID111)</f>
        <v>32.1428571428571</v>
      </c>
      <c r="IF111" s="18" t="n">
        <v>3</v>
      </c>
      <c r="IG111" s="9" t="n">
        <v>2</v>
      </c>
      <c r="IH111" s="9" t="n">
        <v>10</v>
      </c>
      <c r="II111" s="19" t="n">
        <v>0</v>
      </c>
      <c r="IJ111" s="9" t="n">
        <v>0</v>
      </c>
      <c r="IK111" s="9" t="n">
        <f aca="false">(IG111+IH111+II111+IJ111)/4</f>
        <v>3</v>
      </c>
      <c r="IL111" s="9" t="n">
        <f aca="false">(IG111/GM111)</f>
        <v>0.0625</v>
      </c>
      <c r="IM111" s="9" t="n">
        <f aca="false">(IH111/GN111)</f>
        <v>0.0847457627118644</v>
      </c>
      <c r="IN111" s="9" t="n">
        <f aca="false">(II111/GO111)</f>
        <v>0</v>
      </c>
      <c r="IO111" s="9" t="n">
        <f aca="false">(IJ111/GP111)</f>
        <v>0</v>
      </c>
      <c r="IP111" s="9" t="n">
        <f aca="false">(IK111/GQ111)</f>
        <v>0.0338028169014085</v>
      </c>
      <c r="IQ111" s="9" t="n">
        <f aca="false">(100*IP111)</f>
        <v>3.38028169014084</v>
      </c>
      <c r="IR111" s="18" t="n">
        <v>1</v>
      </c>
      <c r="IS111" s="9" t="n">
        <v>61.8</v>
      </c>
      <c r="IT111" s="9" t="n">
        <v>56.7</v>
      </c>
      <c r="IU111" s="19" t="n">
        <v>40.7</v>
      </c>
      <c r="IV111" s="9" t="n">
        <v>62</v>
      </c>
      <c r="IW111" s="9" t="n">
        <f aca="false">(IS111+IT111+IU111+IV111)/4</f>
        <v>55.3</v>
      </c>
      <c r="IX111" s="16" t="n">
        <v>45241</v>
      </c>
      <c r="IY111" s="10" t="s">
        <v>268</v>
      </c>
    </row>
    <row r="112" customFormat="false" ht="15.75" hidden="false" customHeight="true" outlineLevel="0" collapsed="false">
      <c r="A112" s="9" t="s">
        <v>259</v>
      </c>
      <c r="B112" s="10" t="s">
        <v>521</v>
      </c>
      <c r="C112" s="10" t="s">
        <v>514</v>
      </c>
      <c r="D112" s="9" t="n">
        <v>2</v>
      </c>
      <c r="E112" s="9" t="n">
        <v>37</v>
      </c>
      <c r="F112" s="10" t="s">
        <v>527</v>
      </c>
      <c r="G112" s="11" t="s">
        <v>263</v>
      </c>
      <c r="H112" s="9" t="n">
        <v>21</v>
      </c>
      <c r="I112" s="9" t="n">
        <v>20</v>
      </c>
      <c r="J112" s="10" t="s">
        <v>272</v>
      </c>
      <c r="K112" s="20"/>
      <c r="L112" s="20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 t="n">
        <v>1</v>
      </c>
      <c r="Y112" s="9" t="n">
        <v>0</v>
      </c>
      <c r="Z112" s="9" t="n">
        <v>1</v>
      </c>
      <c r="AA112" s="9" t="n">
        <v>0</v>
      </c>
      <c r="AB112" s="11" t="n">
        <f aca="false">(X112+Y112+Z112+AA112)/4</f>
        <v>0.5</v>
      </c>
      <c r="AC112" s="9" t="n">
        <v>1</v>
      </c>
      <c r="AD112" s="9" t="n">
        <v>1</v>
      </c>
      <c r="AE112" s="9" t="n">
        <v>1</v>
      </c>
      <c r="AF112" s="9" t="n">
        <v>1</v>
      </c>
      <c r="AG112" s="11" t="n">
        <f aca="false">(AC112+AD112+AE112+AF112)/4</f>
        <v>1</v>
      </c>
      <c r="AH112" s="9" t="n">
        <v>1</v>
      </c>
      <c r="AI112" s="9" t="n">
        <v>1</v>
      </c>
      <c r="AJ112" s="9" t="n">
        <v>1</v>
      </c>
      <c r="AK112" s="9" t="n">
        <v>1</v>
      </c>
      <c r="AL112" s="11" t="n">
        <f aca="false">(AH112+AI112+AJ112+AK112)/4</f>
        <v>1</v>
      </c>
      <c r="AM112" s="9" t="n">
        <v>12</v>
      </c>
      <c r="AN112" s="9" t="n">
        <v>28</v>
      </c>
      <c r="AO112" s="9" t="n">
        <v>20</v>
      </c>
      <c r="AP112" s="9" t="n">
        <v>43</v>
      </c>
      <c r="AQ112" s="11" t="n">
        <f aca="false">(AM112+AN112+AO112+AP112)/4</f>
        <v>25.75</v>
      </c>
      <c r="AR112" s="9" t="n">
        <v>21</v>
      </c>
      <c r="AS112" s="9" t="n">
        <v>42</v>
      </c>
      <c r="AT112" s="9" t="n">
        <v>6</v>
      </c>
      <c r="AU112" s="9" t="n">
        <v>19</v>
      </c>
      <c r="AV112" s="11" t="n">
        <f aca="false">(AR112+AS112+AT112+AU112)/4</f>
        <v>22</v>
      </c>
      <c r="AW112" s="9" t="n">
        <v>4</v>
      </c>
      <c r="AX112" s="9" t="n">
        <v>0</v>
      </c>
      <c r="AY112" s="9" t="n">
        <v>6</v>
      </c>
      <c r="AZ112" s="9" t="n">
        <v>0</v>
      </c>
      <c r="BA112" s="11" t="n">
        <f aca="false">(AW112+AX112+AY112+AZ112)/4</f>
        <v>2.5</v>
      </c>
      <c r="BB112" s="11" t="n">
        <f aca="false">(AW112/AR112)</f>
        <v>0.19047619047619</v>
      </c>
      <c r="BC112" s="11" t="n">
        <f aca="false">(AX112/AS112)</f>
        <v>0</v>
      </c>
      <c r="BD112" s="11" t="n">
        <f aca="false">(AY112/AT112)</f>
        <v>1</v>
      </c>
      <c r="BE112" s="11" t="n">
        <f aca="false">(AZ112/AU112)</f>
        <v>0</v>
      </c>
      <c r="BF112" s="11" t="n">
        <f aca="false">(BA112/AV112)</f>
        <v>0.113636363636364</v>
      </c>
      <c r="BG112" s="11" t="n">
        <f aca="false">(BF112*100)</f>
        <v>11.3636363636364</v>
      </c>
      <c r="BH112" s="9" t="n">
        <v>2</v>
      </c>
      <c r="BI112" s="9" t="n">
        <v>5</v>
      </c>
      <c r="BJ112" s="9" t="n">
        <v>2</v>
      </c>
      <c r="BK112" s="9" t="n">
        <v>3</v>
      </c>
      <c r="BL112" s="9" t="n">
        <v>2</v>
      </c>
      <c r="BM112" s="11" t="n">
        <f aca="false">(BI112+BJ112+BK112+BL112)/4</f>
        <v>3</v>
      </c>
      <c r="BN112" s="11" t="n">
        <f aca="false">(BI112/AR112)</f>
        <v>0.238095238095238</v>
      </c>
      <c r="BO112" s="11" t="n">
        <f aca="false">(BJ112/AS112)</f>
        <v>0.0476190476190476</v>
      </c>
      <c r="BP112" s="11" t="n">
        <f aca="false">(BK112/AT112)</f>
        <v>0.5</v>
      </c>
      <c r="BQ112" s="11" t="n">
        <f aca="false">(BL112/AU112)</f>
        <v>0.105263157894737</v>
      </c>
      <c r="BR112" s="11" t="n">
        <f aca="false">(BM112/AV112)</f>
        <v>0.136363636363636</v>
      </c>
      <c r="BS112" s="11" t="n">
        <f aca="false">(100*BR112)</f>
        <v>13.6363636363636</v>
      </c>
      <c r="BT112" s="9" t="n">
        <v>2</v>
      </c>
      <c r="BU112" s="9" t="n">
        <v>0</v>
      </c>
      <c r="BV112" s="9" t="n">
        <v>0</v>
      </c>
      <c r="BW112" s="9" t="n">
        <v>0</v>
      </c>
      <c r="BX112" s="9" t="n">
        <v>0</v>
      </c>
      <c r="BY112" s="11" t="n">
        <f aca="false">(BU112+BV112+BW112+BX112)/4</f>
        <v>0</v>
      </c>
      <c r="BZ112" s="11" t="n">
        <f aca="false">(BU112/AR112)</f>
        <v>0</v>
      </c>
      <c r="CA112" s="11" t="n">
        <f aca="false">(BV112/AS112)</f>
        <v>0</v>
      </c>
      <c r="CB112" s="11" t="n">
        <f aca="false">(BW112/AT112)</f>
        <v>0</v>
      </c>
      <c r="CC112" s="11" t="n">
        <f aca="false">(BX112/AU112)</f>
        <v>0</v>
      </c>
      <c r="CD112" s="11" t="n">
        <f aca="false">(BY112/AV112)</f>
        <v>0</v>
      </c>
      <c r="CE112" s="11" t="n">
        <f aca="false">(100*CD112)</f>
        <v>0</v>
      </c>
      <c r="CF112" s="9" t="n">
        <v>0</v>
      </c>
      <c r="CG112" s="9" t="n">
        <v>2</v>
      </c>
      <c r="CH112" s="9" t="n">
        <v>4</v>
      </c>
      <c r="CI112" s="9" t="n">
        <v>4</v>
      </c>
      <c r="CJ112" s="9" t="n">
        <v>2</v>
      </c>
      <c r="CK112" s="11" t="n">
        <f aca="false">(CG112+CH112+CI112+CJ112)/4</f>
        <v>3</v>
      </c>
      <c r="CL112" s="11" t="n">
        <f aca="false">(CG112/AM112)</f>
        <v>0.166666666666667</v>
      </c>
      <c r="CM112" s="11" t="n">
        <f aca="false">(CH112/AN112)</f>
        <v>0.142857142857143</v>
      </c>
      <c r="CN112" s="11" t="n">
        <f aca="false">(CI112/AO112)</f>
        <v>0.2</v>
      </c>
      <c r="CO112" s="9" t="n">
        <f aca="false">(CJ112/AP112)</f>
        <v>0.0465116279069767</v>
      </c>
      <c r="CP112" s="9" t="n">
        <f aca="false">(CK112/AQ112)</f>
        <v>0.116504854368932</v>
      </c>
      <c r="CQ112" s="9" t="n">
        <f aca="false">(100*CP112)</f>
        <v>11.6504854368932</v>
      </c>
      <c r="CR112" s="18" t="n">
        <v>2</v>
      </c>
      <c r="CS112" s="9" t="n">
        <v>49.1</v>
      </c>
      <c r="CT112" s="9" t="n">
        <v>57</v>
      </c>
      <c r="CU112" s="9" t="n">
        <v>51.3</v>
      </c>
      <c r="CV112" s="9" t="n">
        <v>40.8</v>
      </c>
      <c r="CW112" s="11" t="n">
        <f aca="false">(CS112+CT112+CU112+CV112)/4</f>
        <v>49.55</v>
      </c>
      <c r="CX112" s="9" t="n">
        <v>1</v>
      </c>
      <c r="CY112" s="9" t="n">
        <v>0</v>
      </c>
      <c r="CZ112" s="9" t="n">
        <v>1</v>
      </c>
      <c r="DA112" s="9" t="n">
        <v>1</v>
      </c>
      <c r="DB112" s="11" t="n">
        <f aca="false">(CX112+CY112+CZ112+DA112)/4</f>
        <v>0.75</v>
      </c>
      <c r="DC112" s="9" t="n">
        <v>1</v>
      </c>
      <c r="DD112" s="9" t="n">
        <v>1</v>
      </c>
      <c r="DE112" s="9" t="n">
        <v>1</v>
      </c>
      <c r="DF112" s="9" t="n">
        <v>1</v>
      </c>
      <c r="DG112" s="11" t="n">
        <f aca="false">(DC112+DD112+DE112+DF112)/4</f>
        <v>1</v>
      </c>
      <c r="DH112" s="9" t="n">
        <v>1</v>
      </c>
      <c r="DI112" s="9" t="n">
        <v>1</v>
      </c>
      <c r="DJ112" s="9" t="n">
        <v>1</v>
      </c>
      <c r="DK112" s="9" t="n">
        <v>1</v>
      </c>
      <c r="DL112" s="11" t="n">
        <f aca="false">(DH112+DI112+DJ112+DK112)/4</f>
        <v>1</v>
      </c>
      <c r="DM112" s="9" t="n">
        <v>12</v>
      </c>
      <c r="DN112" s="9" t="n">
        <v>7</v>
      </c>
      <c r="DO112" s="9" t="n">
        <v>12</v>
      </c>
      <c r="DP112" s="9" t="n">
        <v>7</v>
      </c>
      <c r="DQ112" s="11" t="n">
        <f aca="false">(DM112+DN112+DO112+DP112)/4</f>
        <v>9.5</v>
      </c>
      <c r="DR112" s="9" t="n">
        <v>22</v>
      </c>
      <c r="DS112" s="9" t="n">
        <v>18</v>
      </c>
      <c r="DT112" s="9" t="n">
        <v>12</v>
      </c>
      <c r="DU112" s="9" t="n">
        <v>17</v>
      </c>
      <c r="DV112" s="11" t="n">
        <f aca="false">(DR112+DS112+DT112+DU112)/4</f>
        <v>17.25</v>
      </c>
      <c r="DW112" s="9" t="n">
        <v>11</v>
      </c>
      <c r="DX112" s="9" t="n">
        <v>0</v>
      </c>
      <c r="DY112" s="9" t="n">
        <v>6</v>
      </c>
      <c r="DZ112" s="9" t="n">
        <v>2</v>
      </c>
      <c r="EA112" s="11" t="n">
        <f aca="false">(DW112+DX112+DY112+DZ112)/4</f>
        <v>4.75</v>
      </c>
      <c r="EB112" s="11" t="n">
        <f aca="false">(DW112/DR112)</f>
        <v>0.5</v>
      </c>
      <c r="EC112" s="11" t="n">
        <f aca="false">(DX112/DS112)</f>
        <v>0</v>
      </c>
      <c r="ED112" s="11" t="n">
        <f aca="false">(DY112/DT112)</f>
        <v>0.5</v>
      </c>
      <c r="EE112" s="11" t="n">
        <f aca="false">(DZ112/DU112)</f>
        <v>0.117647058823529</v>
      </c>
      <c r="EF112" s="11" t="n">
        <f aca="false">(EA112/DV112)</f>
        <v>0.27536231884058</v>
      </c>
      <c r="EG112" s="11" t="n">
        <f aca="false">(100*EF112)</f>
        <v>27.536231884058</v>
      </c>
      <c r="EH112" s="9" t="n">
        <v>2</v>
      </c>
      <c r="EI112" s="9" t="n">
        <v>2</v>
      </c>
      <c r="EJ112" s="9" t="n">
        <v>3</v>
      </c>
      <c r="EK112" s="19" t="n">
        <v>4</v>
      </c>
      <c r="EL112" s="9" t="n">
        <v>5</v>
      </c>
      <c r="EM112" s="9" t="n">
        <f aca="false">(EI112+EJ112+EK112+EL112)/4</f>
        <v>3.5</v>
      </c>
      <c r="EN112" s="9" t="n">
        <f aca="false">(EI112/DR112)</f>
        <v>0.0909090909090909</v>
      </c>
      <c r="EO112" s="9" t="n">
        <f aca="false">(EJ112/DS112)</f>
        <v>0.166666666666667</v>
      </c>
      <c r="EP112" s="9" t="n">
        <f aca="false">(EK112/DT112)</f>
        <v>0.333333333333333</v>
      </c>
      <c r="EQ112" s="9" t="n">
        <f aca="false">(EL112/DU112)</f>
        <v>0.294117647058824</v>
      </c>
      <c r="ER112" s="9" t="n">
        <f aca="false">EM112/DV112</f>
        <v>0.202898550724638</v>
      </c>
      <c r="ES112" s="9" t="n">
        <f aca="false">(100*ER112)</f>
        <v>20.2898550724638</v>
      </c>
      <c r="ET112" s="9" t="n">
        <v>2</v>
      </c>
      <c r="EU112" s="18" t="n">
        <v>0</v>
      </c>
      <c r="EV112" s="9" t="n">
        <v>0</v>
      </c>
      <c r="EW112" s="9" t="n">
        <v>0</v>
      </c>
      <c r="EX112" s="9" t="n">
        <v>5</v>
      </c>
      <c r="EY112" s="11" t="n">
        <f aca="false">(EU112+EV112+EW112+EX112)/4</f>
        <v>1.25</v>
      </c>
      <c r="EZ112" s="11" t="n">
        <f aca="false">(EU112/DR112)</f>
        <v>0</v>
      </c>
      <c r="FA112" s="11" t="n">
        <f aca="false">(EV112/DS112)</f>
        <v>0</v>
      </c>
      <c r="FB112" s="11" t="n">
        <f aca="false">(EW112/DT112)</f>
        <v>0</v>
      </c>
      <c r="FC112" s="11" t="n">
        <f aca="false">(EX112/DU112)</f>
        <v>0.294117647058824</v>
      </c>
      <c r="FD112" s="11" t="n">
        <f aca="false">(EY112/DV112)</f>
        <v>0.072463768115942</v>
      </c>
      <c r="FE112" s="11" t="n">
        <f aca="false">(100*FD112)</f>
        <v>7.2463768115942</v>
      </c>
      <c r="FF112" s="9" t="n">
        <v>1</v>
      </c>
      <c r="FG112" s="9" t="n">
        <v>2</v>
      </c>
      <c r="FH112" s="9" t="n">
        <v>5</v>
      </c>
      <c r="FI112" s="9" t="n">
        <v>5</v>
      </c>
      <c r="FJ112" s="9" t="n">
        <v>7</v>
      </c>
      <c r="FK112" s="11" t="n">
        <f aca="false">(FG112+FH112+FI112+FJ112)/4</f>
        <v>4.75</v>
      </c>
      <c r="FL112" s="11" t="n">
        <f aca="false">(FG112/DR112)</f>
        <v>0.0909090909090909</v>
      </c>
      <c r="FM112" s="11" t="n">
        <f aca="false">(FH112/DS112)</f>
        <v>0.277777777777778</v>
      </c>
      <c r="FN112" s="11" t="n">
        <f aca="false">(FI112/DT112)</f>
        <v>0.416666666666667</v>
      </c>
      <c r="FO112" s="11" t="n">
        <f aca="false">(FJ112/DU112)</f>
        <v>0.411764705882353</v>
      </c>
      <c r="FP112" s="11" t="n">
        <f aca="false">(FK112/DV112)</f>
        <v>0.27536231884058</v>
      </c>
      <c r="FQ112" s="11" t="n">
        <f aca="false">(100*FP112)</f>
        <v>27.536231884058</v>
      </c>
      <c r="FR112" s="9" t="n">
        <v>2</v>
      </c>
      <c r="FS112" s="9" t="n">
        <v>56.2</v>
      </c>
      <c r="FT112" s="9" t="n">
        <v>55.9</v>
      </c>
      <c r="FU112" s="9" t="n">
        <v>46.2</v>
      </c>
      <c r="FV112" s="9" t="n">
        <v>58.6</v>
      </c>
      <c r="FW112" s="11" t="n">
        <f aca="false">(FS112+FT112+FU112+FV112)/4</f>
        <v>54.225</v>
      </c>
      <c r="FX112" s="9" t="n">
        <v>0</v>
      </c>
      <c r="FY112" s="9" t="n">
        <v>1</v>
      </c>
      <c r="FZ112" s="9" t="n">
        <v>0</v>
      </c>
      <c r="GA112" s="9" t="n">
        <v>1</v>
      </c>
      <c r="GB112" s="11" t="n">
        <f aca="false">(FX112+FY112+FZ112+GA112)/4</f>
        <v>0.5</v>
      </c>
      <c r="GC112" s="9" t="n">
        <v>1</v>
      </c>
      <c r="GD112" s="9" t="n">
        <v>1</v>
      </c>
      <c r="GE112" s="9" t="n">
        <v>1</v>
      </c>
      <c r="GF112" s="9" t="n">
        <v>1</v>
      </c>
      <c r="GG112" s="11" t="n">
        <f aca="false">(GC112+GD112+GE112+GF112)/4</f>
        <v>1</v>
      </c>
      <c r="GH112" s="9" t="n">
        <v>0</v>
      </c>
      <c r="GI112" s="9" t="n">
        <v>0</v>
      </c>
      <c r="GJ112" s="9" t="n">
        <v>0</v>
      </c>
      <c r="GK112" s="9" t="n">
        <v>0</v>
      </c>
      <c r="GL112" s="11" t="n">
        <f aca="false">(GH112+GI112+GJ112+GK112)/4</f>
        <v>0</v>
      </c>
      <c r="GM112" s="9" t="n">
        <v>44</v>
      </c>
      <c r="GN112" s="9" t="n">
        <v>14</v>
      </c>
      <c r="GO112" s="9" t="n">
        <v>15</v>
      </c>
      <c r="GP112" s="9" t="n">
        <v>16</v>
      </c>
      <c r="GQ112" s="11" t="n">
        <f aca="false">(GM112+GN112+GO112+GP112)/4</f>
        <v>22.25</v>
      </c>
      <c r="GR112" s="9" t="n">
        <v>18</v>
      </c>
      <c r="GS112" s="9" t="n">
        <v>7</v>
      </c>
      <c r="GT112" s="9" t="n">
        <v>10</v>
      </c>
      <c r="GU112" s="9" t="n">
        <v>17</v>
      </c>
      <c r="GV112" s="11" t="n">
        <f aca="false">(GR112+GS112+GT112+GU112)/4</f>
        <v>13</v>
      </c>
      <c r="GW112" s="9" t="n">
        <v>0</v>
      </c>
      <c r="GX112" s="9" t="n">
        <v>7</v>
      </c>
      <c r="GY112" s="9" t="n">
        <v>0</v>
      </c>
      <c r="GZ112" s="9" t="n">
        <v>5</v>
      </c>
      <c r="HA112" s="11" t="n">
        <f aca="false">(GW112+GX112+GY112+GZ112)/4</f>
        <v>3</v>
      </c>
      <c r="HB112" s="9" t="n">
        <f aca="false">(GW112/GR112)</f>
        <v>0</v>
      </c>
      <c r="HC112" s="9" t="n">
        <f aca="false">(GX112/GS112)</f>
        <v>1</v>
      </c>
      <c r="HD112" s="9" t="n">
        <f aca="false">(GY112/GT112)</f>
        <v>0</v>
      </c>
      <c r="HE112" s="9" t="n">
        <f aca="false">(GZ112/GU112)/4</f>
        <v>0.0735294117647059</v>
      </c>
      <c r="HF112" s="9" t="n">
        <f aca="false">(HB112+HC112+HD112+HE112)/4</f>
        <v>0.268382352941176</v>
      </c>
      <c r="HG112" s="9" t="n">
        <f aca="false">(100*HF112)</f>
        <v>26.8382352941176</v>
      </c>
      <c r="HH112" s="18" t="n">
        <v>2</v>
      </c>
      <c r="HI112" s="9" t="n">
        <v>4</v>
      </c>
      <c r="HJ112" s="9" t="n">
        <v>2</v>
      </c>
      <c r="HK112" s="9" t="n">
        <v>4</v>
      </c>
      <c r="HL112" s="19" t="n">
        <v>5</v>
      </c>
      <c r="HM112" s="9" t="n">
        <f aca="false">(HI112+HJ112+HK112+HL112)/4</f>
        <v>3.75</v>
      </c>
      <c r="HN112" s="9" t="n">
        <f aca="false">(HI112/GR112)</f>
        <v>0.222222222222222</v>
      </c>
      <c r="HO112" s="9" t="n">
        <f aca="false">(HJ112/GS112)</f>
        <v>0.285714285714286</v>
      </c>
      <c r="HP112" s="9" t="n">
        <f aca="false">(HK112/GT112)</f>
        <v>0.4</v>
      </c>
      <c r="HQ112" s="9" t="n">
        <f aca="false">(HL112/GU112)</f>
        <v>0.294117647058824</v>
      </c>
      <c r="HR112" s="9" t="n">
        <f aca="false">(HM112/GV112)</f>
        <v>0.288461538461538</v>
      </c>
      <c r="HS112" s="9" t="n">
        <f aca="false">(100*HR112)</f>
        <v>28.8461538461538</v>
      </c>
      <c r="HT112" s="18" t="n">
        <v>2</v>
      </c>
      <c r="HU112" s="9" t="n">
        <v>0</v>
      </c>
      <c r="HV112" s="9" t="n">
        <v>0</v>
      </c>
      <c r="HW112" s="9" t="n">
        <v>0</v>
      </c>
      <c r="HX112" s="19" t="n">
        <v>0</v>
      </c>
      <c r="HY112" s="9" t="n">
        <f aca="false">(HU112+HV112+HW112+HX112)/4</f>
        <v>0</v>
      </c>
      <c r="HZ112" s="9" t="n">
        <f aca="false">(HU112/GR112)</f>
        <v>0</v>
      </c>
      <c r="IA112" s="9" t="n">
        <f aca="false">HV112/GS112</f>
        <v>0</v>
      </c>
      <c r="IB112" s="9" t="n">
        <f aca="false">(HW112/GT112)</f>
        <v>0</v>
      </c>
      <c r="IC112" s="9" t="n">
        <f aca="false">(HX112/GU112)</f>
        <v>0</v>
      </c>
      <c r="ID112" s="9" t="n">
        <f aca="false">(HY112/GV112)</f>
        <v>0</v>
      </c>
      <c r="IE112" s="9" t="n">
        <f aca="false">(100*ID112)</f>
        <v>0</v>
      </c>
      <c r="IF112" s="18" t="n">
        <v>0</v>
      </c>
      <c r="IG112" s="9" t="n">
        <v>0</v>
      </c>
      <c r="IH112" s="9" t="n">
        <v>0</v>
      </c>
      <c r="II112" s="19" t="n">
        <v>0</v>
      </c>
      <c r="IJ112" s="9" t="n">
        <v>0</v>
      </c>
      <c r="IK112" s="9" t="n">
        <f aca="false">(IG112+IH112+II112+IJ112)/4</f>
        <v>0</v>
      </c>
      <c r="IL112" s="9" t="n">
        <f aca="false">(IG112/GM112)</f>
        <v>0</v>
      </c>
      <c r="IM112" s="9" t="n">
        <f aca="false">(IH112/GN112)</f>
        <v>0</v>
      </c>
      <c r="IN112" s="9" t="n">
        <f aca="false">(II112/GO112)</f>
        <v>0</v>
      </c>
      <c r="IO112" s="9" t="n">
        <f aca="false">(IJ112/GP112)</f>
        <v>0</v>
      </c>
      <c r="IP112" s="9" t="n">
        <f aca="false">(IK112/GQ112)</f>
        <v>0</v>
      </c>
      <c r="IQ112" s="9" t="n">
        <f aca="false">(100*IP112)</f>
        <v>0</v>
      </c>
      <c r="IR112" s="18" t="n">
        <v>0</v>
      </c>
      <c r="IS112" s="9"/>
      <c r="IT112" s="9"/>
      <c r="IU112" s="19"/>
      <c r="IV112" s="9"/>
      <c r="IW112" s="9" t="n">
        <f aca="false">(IS112+IT112+IU112+IV112)/4</f>
        <v>0</v>
      </c>
      <c r="IX112" s="16" t="n">
        <v>45241</v>
      </c>
      <c r="IY112" s="10" t="s">
        <v>268</v>
      </c>
    </row>
    <row r="113" customFormat="false" ht="15.75" hidden="false" customHeight="true" outlineLevel="0" collapsed="false">
      <c r="A113" s="9" t="s">
        <v>259</v>
      </c>
      <c r="B113" s="10" t="s">
        <v>528</v>
      </c>
      <c r="C113" s="10" t="s">
        <v>514</v>
      </c>
      <c r="D113" s="9" t="n">
        <v>3</v>
      </c>
      <c r="E113" s="9" t="n">
        <v>38</v>
      </c>
      <c r="F113" s="10" t="s">
        <v>529</v>
      </c>
      <c r="G113" s="11" t="s">
        <v>263</v>
      </c>
      <c r="H113" s="9" t="n">
        <v>21</v>
      </c>
      <c r="I113" s="9" t="n">
        <v>5</v>
      </c>
      <c r="J113" s="12" t="s">
        <v>264</v>
      </c>
      <c r="K113" s="13" t="s">
        <v>530</v>
      </c>
      <c r="L113" s="23" t="s">
        <v>531</v>
      </c>
      <c r="M113" s="14" t="n">
        <v>1295</v>
      </c>
      <c r="N113" s="15" t="n">
        <v>45154</v>
      </c>
      <c r="O113" s="10" t="s">
        <v>294</v>
      </c>
      <c r="P113" s="9"/>
      <c r="Q113" s="9" t="n">
        <v>1.91</v>
      </c>
      <c r="R113" s="9" t="n">
        <v>15</v>
      </c>
      <c r="S113" s="9" t="n">
        <v>-5</v>
      </c>
      <c r="T113" s="9" t="n">
        <v>80</v>
      </c>
      <c r="U113" s="9"/>
      <c r="V113" s="9"/>
      <c r="W113" s="9" t="s">
        <v>532</v>
      </c>
      <c r="X113" s="9" t="n">
        <v>0</v>
      </c>
      <c r="Y113" s="9" t="n">
        <v>0</v>
      </c>
      <c r="Z113" s="9" t="n">
        <v>0</v>
      </c>
      <c r="AA113" s="9" t="n">
        <v>0</v>
      </c>
      <c r="AB113" s="11" t="n">
        <f aca="false">(X113+Y113+Z113+AA113)/4</f>
        <v>0</v>
      </c>
      <c r="AC113" s="9" t="n">
        <v>1</v>
      </c>
      <c r="AD113" s="9" t="n">
        <v>1</v>
      </c>
      <c r="AE113" s="9" t="n">
        <v>1</v>
      </c>
      <c r="AF113" s="9" t="n">
        <v>1</v>
      </c>
      <c r="AG113" s="11" t="n">
        <f aca="false">(AC113+AD113+AE113+AF113)/4</f>
        <v>1</v>
      </c>
      <c r="AH113" s="9" t="n">
        <v>1</v>
      </c>
      <c r="AI113" s="9" t="n">
        <v>1</v>
      </c>
      <c r="AJ113" s="9" t="n">
        <v>1</v>
      </c>
      <c r="AK113" s="9" t="n">
        <v>1</v>
      </c>
      <c r="AL113" s="11" t="n">
        <f aca="false">(AH113+AI113+AJ113+AK113)/4</f>
        <v>1</v>
      </c>
      <c r="AM113" s="9" t="n">
        <v>43</v>
      </c>
      <c r="AN113" s="9" t="n">
        <v>21</v>
      </c>
      <c r="AO113" s="9" t="n">
        <v>56</v>
      </c>
      <c r="AP113" s="9" t="n">
        <v>88</v>
      </c>
      <c r="AQ113" s="11" t="n">
        <f aca="false">(AM113+AN113+AO113+AP113)/4</f>
        <v>52</v>
      </c>
      <c r="AR113" s="9" t="n">
        <v>27</v>
      </c>
      <c r="AS113" s="9" t="n">
        <v>17</v>
      </c>
      <c r="AT113" s="9" t="n">
        <v>22</v>
      </c>
      <c r="AU113" s="9" t="n">
        <v>16</v>
      </c>
      <c r="AV113" s="11" t="n">
        <f aca="false">(AR113+AS113+AT113+AU113)/4</f>
        <v>20.5</v>
      </c>
      <c r="AW113" s="9" t="n">
        <v>0</v>
      </c>
      <c r="AX113" s="9" t="n">
        <v>0</v>
      </c>
      <c r="AY113" s="9" t="n">
        <v>0</v>
      </c>
      <c r="AZ113" s="9" t="n">
        <v>0</v>
      </c>
      <c r="BA113" s="11" t="n">
        <f aca="false">(AW113+AX113+AY113+AZ113)/4</f>
        <v>0</v>
      </c>
      <c r="BB113" s="11" t="n">
        <f aca="false">(AW113/AR113)</f>
        <v>0</v>
      </c>
      <c r="BC113" s="11" t="n">
        <f aca="false">(AX113/AS113)</f>
        <v>0</v>
      </c>
      <c r="BD113" s="11" t="n">
        <f aca="false">(AY113/AT113)</f>
        <v>0</v>
      </c>
      <c r="BE113" s="11" t="n">
        <f aca="false">(AZ113/AU113)</f>
        <v>0</v>
      </c>
      <c r="BF113" s="11" t="n">
        <f aca="false">(BA113/AV113)</f>
        <v>0</v>
      </c>
      <c r="BG113" s="11" t="n">
        <f aca="false">(BF113*100)</f>
        <v>0</v>
      </c>
      <c r="BH113" s="9" t="n">
        <v>0</v>
      </c>
      <c r="BI113" s="11" t="n">
        <v>10</v>
      </c>
      <c r="BJ113" s="11" t="n">
        <v>6</v>
      </c>
      <c r="BK113" s="11" t="n">
        <v>21</v>
      </c>
      <c r="BL113" s="11" t="n">
        <v>12</v>
      </c>
      <c r="BM113" s="11" t="n">
        <f aca="false">(BI113+BJ113+BK113+BL113)/4</f>
        <v>12.25</v>
      </c>
      <c r="BN113" s="11" t="n">
        <f aca="false">(BI113/AR113)</f>
        <v>0.37037037037037</v>
      </c>
      <c r="BO113" s="11" t="n">
        <f aca="false">(BJ113/AS113)</f>
        <v>0.352941176470588</v>
      </c>
      <c r="BP113" s="11" t="n">
        <f aca="false">(BK113/AT113)</f>
        <v>0.954545454545455</v>
      </c>
      <c r="BQ113" s="11" t="n">
        <f aca="false">(BL113/AU113)</f>
        <v>0.75</v>
      </c>
      <c r="BR113" s="11" t="n">
        <f aca="false">(BM113/AV113)</f>
        <v>0.597560975609756</v>
      </c>
      <c r="BS113" s="11" t="n">
        <f aca="false">(100*BR113)</f>
        <v>59.7560975609756</v>
      </c>
      <c r="BT113" s="11" t="n">
        <v>3</v>
      </c>
      <c r="BU113" s="11" t="n">
        <v>0</v>
      </c>
      <c r="BV113" s="11" t="n">
        <v>0</v>
      </c>
      <c r="BW113" s="11" t="n">
        <v>0</v>
      </c>
      <c r="BX113" s="11" t="n">
        <v>0</v>
      </c>
      <c r="BY113" s="11" t="n">
        <f aca="false">(BU113+BV113+BW113+BX113)/4</f>
        <v>0</v>
      </c>
      <c r="BZ113" s="11" t="n">
        <f aca="false">(BU113/AR113)</f>
        <v>0</v>
      </c>
      <c r="CA113" s="11" t="n">
        <f aca="false">(BV113/AS113)</f>
        <v>0</v>
      </c>
      <c r="CB113" s="11" t="n">
        <f aca="false">(BW113/AT113)</f>
        <v>0</v>
      </c>
      <c r="CC113" s="11" t="n">
        <f aca="false">(BX113/AU113)</f>
        <v>0</v>
      </c>
      <c r="CD113" s="11" t="n">
        <f aca="false">(BY113/AV113)</f>
        <v>0</v>
      </c>
      <c r="CE113" s="11" t="n">
        <f aca="false">(100*CD113)</f>
        <v>0</v>
      </c>
      <c r="CF113" s="11" t="n">
        <v>0</v>
      </c>
      <c r="CG113" s="11" t="n">
        <v>21</v>
      </c>
      <c r="CH113" s="11" t="n">
        <v>4</v>
      </c>
      <c r="CI113" s="11" t="n">
        <v>28</v>
      </c>
      <c r="CJ113" s="11" t="n">
        <v>22</v>
      </c>
      <c r="CK113" s="11" t="n">
        <f aca="false">(CG113+CH113+CI113+CJ113)/4</f>
        <v>18.75</v>
      </c>
      <c r="CL113" s="11" t="n">
        <f aca="false">(CG113/AM113)</f>
        <v>0.488372093023256</v>
      </c>
      <c r="CM113" s="11" t="n">
        <f aca="false">(CH113/AN113)</f>
        <v>0.19047619047619</v>
      </c>
      <c r="CN113" s="11" t="n">
        <f aca="false">(CI113/AO113)</f>
        <v>0.5</v>
      </c>
      <c r="CO113" s="9" t="n">
        <f aca="false">(CJ113/AP113)</f>
        <v>0.25</v>
      </c>
      <c r="CP113" s="9" t="n">
        <f aca="false">(CK113/AQ113)</f>
        <v>0.360576923076923</v>
      </c>
      <c r="CQ113" s="9" t="n">
        <f aca="false">(100*CP113)</f>
        <v>36.0576923076923</v>
      </c>
      <c r="CR113" s="11" t="n">
        <v>3</v>
      </c>
      <c r="CS113" s="11" t="n">
        <v>57.6</v>
      </c>
      <c r="CT113" s="11" t="n">
        <v>57.2</v>
      </c>
      <c r="CU113" s="11" t="n">
        <v>60</v>
      </c>
      <c r="CV113" s="11" t="n">
        <v>57.2</v>
      </c>
      <c r="CW113" s="11" t="n">
        <f aca="false">(CS113+CT113+CU113+CV113)/4</f>
        <v>58</v>
      </c>
      <c r="CX113" s="11" t="n">
        <v>0</v>
      </c>
      <c r="CY113" s="11" t="n">
        <v>1</v>
      </c>
      <c r="CZ113" s="11" t="n">
        <v>0</v>
      </c>
      <c r="DA113" s="11" t="n">
        <v>0</v>
      </c>
      <c r="DB113" s="11" t="n">
        <f aca="false">(CX113+CY113+CZ113+DA113)/4</f>
        <v>0.25</v>
      </c>
      <c r="DC113" s="11" t="n">
        <v>1</v>
      </c>
      <c r="DD113" s="11" t="n">
        <v>1</v>
      </c>
      <c r="DE113" s="11" t="n">
        <v>1</v>
      </c>
      <c r="DF113" s="11" t="n">
        <v>1</v>
      </c>
      <c r="DG113" s="11" t="n">
        <f aca="false">(DC113+DD113+DE113+DF113)/4</f>
        <v>1</v>
      </c>
      <c r="DH113" s="11" t="n">
        <v>1</v>
      </c>
      <c r="DI113" s="11" t="n">
        <v>1</v>
      </c>
      <c r="DJ113" s="11" t="n">
        <v>1</v>
      </c>
      <c r="DK113" s="11" t="n">
        <v>1</v>
      </c>
      <c r="DL113" s="11" t="n">
        <f aca="false">(DH113+DI113+DJ113+DK113)/4</f>
        <v>1</v>
      </c>
      <c r="DM113" s="11" t="n">
        <v>45</v>
      </c>
      <c r="DN113" s="11" t="n">
        <v>64</v>
      </c>
      <c r="DO113" s="11" t="n">
        <v>24</v>
      </c>
      <c r="DP113" s="11" t="n">
        <v>72</v>
      </c>
      <c r="DQ113" s="11" t="n">
        <f aca="false">(DM113+DN113+DO113+DP113)/4</f>
        <v>51.25</v>
      </c>
      <c r="DR113" s="11" t="n">
        <v>29</v>
      </c>
      <c r="DS113" s="11" t="n">
        <v>12</v>
      </c>
      <c r="DT113" s="11" t="n">
        <v>6</v>
      </c>
      <c r="DU113" s="11" t="n">
        <v>7</v>
      </c>
      <c r="DV113" s="11" t="n">
        <f aca="false">(DR113+DS113+DT113+DU113)/4</f>
        <v>13.5</v>
      </c>
      <c r="DW113" s="11" t="n">
        <v>0</v>
      </c>
      <c r="DX113" s="11" t="n">
        <v>2</v>
      </c>
      <c r="DY113" s="11" t="n">
        <v>0</v>
      </c>
      <c r="DZ113" s="11" t="n">
        <v>0</v>
      </c>
      <c r="EA113" s="11" t="n">
        <f aca="false">(DW113+DX113+DY113+DZ113)/4</f>
        <v>0.5</v>
      </c>
      <c r="EB113" s="11" t="n">
        <f aca="false">(DW113/DR113)</f>
        <v>0</v>
      </c>
      <c r="EC113" s="11" t="n">
        <f aca="false">(DX113/DS113)</f>
        <v>0.166666666666667</v>
      </c>
      <c r="ED113" s="11" t="n">
        <f aca="false">(DY113/DT113)</f>
        <v>0</v>
      </c>
      <c r="EE113" s="11" t="n">
        <f aca="false">(DZ113/DU113)</f>
        <v>0</v>
      </c>
      <c r="EF113" s="11" t="n">
        <f aca="false">(EA113/DV113)</f>
        <v>0.037037037037037</v>
      </c>
      <c r="EG113" s="11" t="n">
        <f aca="false">(100*EF113)</f>
        <v>3.7037037037037</v>
      </c>
      <c r="EH113" s="11" t="n">
        <v>1</v>
      </c>
      <c r="EI113" s="11" t="n">
        <v>5</v>
      </c>
      <c r="EJ113" s="11" t="n">
        <v>4</v>
      </c>
      <c r="EK113" s="11" t="n">
        <v>3</v>
      </c>
      <c r="EL113" s="9" t="n">
        <v>2</v>
      </c>
      <c r="EM113" s="9" t="n">
        <f aca="false">(EI113+EJ113+EK113+EL113)/4</f>
        <v>3.5</v>
      </c>
      <c r="EN113" s="9" t="n">
        <f aca="false">(EI113/DR113)</f>
        <v>0.172413793103448</v>
      </c>
      <c r="EO113" s="9" t="n">
        <f aca="false">(EJ113/DS113)</f>
        <v>0.333333333333333</v>
      </c>
      <c r="EP113" s="9" t="n">
        <f aca="false">(EK113/DT113)</f>
        <v>0.5</v>
      </c>
      <c r="EQ113" s="9" t="n">
        <f aca="false">(EL113/DU113)</f>
        <v>0.285714285714286</v>
      </c>
      <c r="ER113" s="9" t="n">
        <f aca="false">EM113/DV113</f>
        <v>0.259259259259259</v>
      </c>
      <c r="ES113" s="9" t="n">
        <f aca="false">(100*ER113)</f>
        <v>25.9259259259259</v>
      </c>
      <c r="ET113" s="9" t="n">
        <v>2</v>
      </c>
      <c r="EU113" s="11" t="n">
        <v>0</v>
      </c>
      <c r="EV113" s="11" t="n">
        <v>0</v>
      </c>
      <c r="EW113" s="11" t="n">
        <v>1</v>
      </c>
      <c r="EX113" s="11" t="n">
        <v>1</v>
      </c>
      <c r="EY113" s="11" t="n">
        <f aca="false">(EU113+EV113+EW113+EX113)/4</f>
        <v>0.5</v>
      </c>
      <c r="EZ113" s="11" t="n">
        <f aca="false">(EU113/DR113)</f>
        <v>0</v>
      </c>
      <c r="FA113" s="11" t="n">
        <f aca="false">(EV113/DS113)</f>
        <v>0</v>
      </c>
      <c r="FB113" s="11" t="n">
        <f aca="false">(EW113/DT113)</f>
        <v>0.166666666666667</v>
      </c>
      <c r="FC113" s="11" t="n">
        <f aca="false">(EX113/DU113)</f>
        <v>0.142857142857143</v>
      </c>
      <c r="FD113" s="11" t="n">
        <f aca="false">(EY113/DV113)</f>
        <v>0.037037037037037</v>
      </c>
      <c r="FE113" s="11" t="n">
        <f aca="false">(100*FD113)</f>
        <v>3.7037037037037</v>
      </c>
      <c r="FF113" s="11" t="n">
        <v>1</v>
      </c>
      <c r="FG113" s="11" t="n">
        <v>13</v>
      </c>
      <c r="FH113" s="11" t="n">
        <v>8</v>
      </c>
      <c r="FI113" s="11" t="n">
        <v>10</v>
      </c>
      <c r="FJ113" s="11" t="n">
        <v>26</v>
      </c>
      <c r="FK113" s="11" t="n">
        <f aca="false">(FG113+FH113+FI113+FJ113)/4</f>
        <v>14.25</v>
      </c>
      <c r="FL113" s="11" t="n">
        <f aca="false">(FG113/DR113)</f>
        <v>0.448275862068966</v>
      </c>
      <c r="FM113" s="11" t="n">
        <f aca="false">(FH113/DS113)</f>
        <v>0.666666666666667</v>
      </c>
      <c r="FN113" s="11" t="n">
        <f aca="false">(FI113/DT113)</f>
        <v>1.66666666666667</v>
      </c>
      <c r="FO113" s="11" t="n">
        <f aca="false">(FJ113/DU113)</f>
        <v>3.71428571428571</v>
      </c>
      <c r="FP113" s="11" t="n">
        <f aca="false">(FK113/DV113)</f>
        <v>1.05555555555556</v>
      </c>
      <c r="FQ113" s="11" t="n">
        <f aca="false">(100*FP113)</f>
        <v>105.555555555556</v>
      </c>
      <c r="FR113" s="11" t="n">
        <v>3</v>
      </c>
      <c r="FS113" s="11" t="n">
        <v>48</v>
      </c>
      <c r="FT113" s="11" t="n">
        <v>61.5</v>
      </c>
      <c r="FU113" s="11" t="n">
        <v>50.8</v>
      </c>
      <c r="FV113" s="11" t="n">
        <v>49.7</v>
      </c>
      <c r="FW113" s="11" t="n">
        <f aca="false">(FS113+FT113+FU113+FV113)/4</f>
        <v>52.5</v>
      </c>
      <c r="FX113" s="9" t="n">
        <v>0</v>
      </c>
      <c r="FY113" s="9" t="n">
        <v>0</v>
      </c>
      <c r="FZ113" s="9" t="n">
        <v>1</v>
      </c>
      <c r="GA113" s="9" t="n">
        <v>1</v>
      </c>
      <c r="GB113" s="11" t="n">
        <f aca="false">(FX113+FY113+FZ113+GA113)/4</f>
        <v>0.5</v>
      </c>
      <c r="GC113" s="9" t="n">
        <v>1</v>
      </c>
      <c r="GD113" s="9" t="n">
        <v>0</v>
      </c>
      <c r="GE113" s="9" t="n">
        <v>1</v>
      </c>
      <c r="GF113" s="9" t="n">
        <v>1</v>
      </c>
      <c r="GG113" s="11" t="n">
        <f aca="false">(GC113+GD113+GE113+GF113)/4</f>
        <v>0.75</v>
      </c>
      <c r="GH113" s="9" t="n">
        <v>1</v>
      </c>
      <c r="GI113" s="9" t="n">
        <v>1</v>
      </c>
      <c r="GJ113" s="9" t="n">
        <v>1</v>
      </c>
      <c r="GK113" s="9" t="n">
        <v>1</v>
      </c>
      <c r="GL113" s="11" t="n">
        <f aca="false">(GH113+GI113+GJ113+GK113)/4</f>
        <v>1</v>
      </c>
      <c r="GM113" s="9" t="n">
        <v>16</v>
      </c>
      <c r="GN113" s="9" t="n">
        <v>51</v>
      </c>
      <c r="GO113" s="9" t="n">
        <v>43</v>
      </c>
      <c r="GP113" s="9" t="n">
        <v>145</v>
      </c>
      <c r="GQ113" s="11" t="n">
        <f aca="false">(GM113+GN113+GO113+GP113)/4</f>
        <v>63.75</v>
      </c>
      <c r="GR113" s="9" t="n">
        <v>36</v>
      </c>
      <c r="GS113" s="9" t="n">
        <v>4</v>
      </c>
      <c r="GT113" s="9" t="n">
        <v>7</v>
      </c>
      <c r="GU113" s="9" t="n">
        <v>14</v>
      </c>
      <c r="GV113" s="11" t="n">
        <f aca="false">(GR113+GS113+GT113+GU113)/4</f>
        <v>15.25</v>
      </c>
      <c r="GW113" s="9" t="n">
        <v>0</v>
      </c>
      <c r="GX113" s="9" t="n">
        <v>0</v>
      </c>
      <c r="GY113" s="9" t="n">
        <v>3</v>
      </c>
      <c r="GZ113" s="9" t="n">
        <v>2</v>
      </c>
      <c r="HA113" s="11" t="n">
        <f aca="false">(GW113+GX113+GY113+GZ113)/4</f>
        <v>1.25</v>
      </c>
      <c r="HB113" s="9" t="n">
        <f aca="false">(GW113/GR113)</f>
        <v>0</v>
      </c>
      <c r="HC113" s="9" t="n">
        <f aca="false">(GX113/GS113)</f>
        <v>0</v>
      </c>
      <c r="HD113" s="9" t="n">
        <f aca="false">(GY113/GT113)</f>
        <v>0.428571428571429</v>
      </c>
      <c r="HE113" s="9" t="n">
        <f aca="false">(GZ113/GU113)/4</f>
        <v>0.0357142857142857</v>
      </c>
      <c r="HF113" s="9" t="n">
        <f aca="false">(HB113+HC113+HD113+HE113)/4</f>
        <v>0.116071428571429</v>
      </c>
      <c r="HG113" s="9" t="n">
        <f aca="false">(100*HF113)</f>
        <v>11.6071428571429</v>
      </c>
      <c r="HH113" s="18" t="n">
        <v>2</v>
      </c>
      <c r="HI113" s="9" t="n">
        <v>2</v>
      </c>
      <c r="HJ113" s="9" t="n">
        <v>0</v>
      </c>
      <c r="HK113" s="9" t="n">
        <v>3</v>
      </c>
      <c r="HL113" s="19" t="n">
        <v>2</v>
      </c>
      <c r="HM113" s="9" t="n">
        <f aca="false">(HI113+HJ113+HK113+HL113)/4</f>
        <v>1.75</v>
      </c>
      <c r="HN113" s="9" t="n">
        <f aca="false">(HI113/GR113)</f>
        <v>0.0555555555555556</v>
      </c>
      <c r="HO113" s="9" t="n">
        <f aca="false">(HJ113/GS113)</f>
        <v>0</v>
      </c>
      <c r="HP113" s="9" t="n">
        <f aca="false">(HK113/GT113)</f>
        <v>0.428571428571429</v>
      </c>
      <c r="HQ113" s="9" t="n">
        <f aca="false">(HL113/GU113)</f>
        <v>0.142857142857143</v>
      </c>
      <c r="HR113" s="9" t="n">
        <f aca="false">(HM113/GV113)</f>
        <v>0.114754098360656</v>
      </c>
      <c r="HS113" s="9" t="n">
        <f aca="false">(100*HR113)</f>
        <v>11.4754098360656</v>
      </c>
      <c r="HT113" s="18" t="n">
        <v>2</v>
      </c>
      <c r="HU113" s="9" t="n">
        <v>2</v>
      </c>
      <c r="HV113" s="9" t="n">
        <v>0</v>
      </c>
      <c r="HW113" s="9" t="n">
        <v>2</v>
      </c>
      <c r="HX113" s="19" t="n">
        <v>0</v>
      </c>
      <c r="HY113" s="9" t="n">
        <f aca="false">(HU113+HV113+HW113+HX113)/4</f>
        <v>1</v>
      </c>
      <c r="HZ113" s="9" t="n">
        <f aca="false">(HU113/GR113)</f>
        <v>0.0555555555555556</v>
      </c>
      <c r="IA113" s="9" t="n">
        <f aca="false">HV113/GS113</f>
        <v>0</v>
      </c>
      <c r="IB113" s="9" t="n">
        <f aca="false">(HW113/GT113)</f>
        <v>0.285714285714286</v>
      </c>
      <c r="IC113" s="9" t="n">
        <f aca="false">(HX113/GU113)</f>
        <v>0</v>
      </c>
      <c r="ID113" s="9" t="n">
        <f aca="false">(HY113/GV113)</f>
        <v>0.0655737704918033</v>
      </c>
      <c r="IE113" s="9" t="n">
        <f aca="false">(100*ID113)</f>
        <v>6.55737704918033</v>
      </c>
      <c r="IF113" s="18" t="n">
        <v>1</v>
      </c>
      <c r="IG113" s="9" t="n">
        <v>3</v>
      </c>
      <c r="IH113" s="9" t="n">
        <v>23</v>
      </c>
      <c r="II113" s="19" t="n">
        <v>3</v>
      </c>
      <c r="IJ113" s="9" t="n">
        <v>3</v>
      </c>
      <c r="IK113" s="9" t="n">
        <f aca="false">(IG113+IH113+II113+IJ113)/4</f>
        <v>8</v>
      </c>
      <c r="IL113" s="9" t="n">
        <f aca="false">(IG113/GM113)</f>
        <v>0.1875</v>
      </c>
      <c r="IM113" s="9" t="n">
        <f aca="false">(IH113/GN113)</f>
        <v>0.450980392156863</v>
      </c>
      <c r="IN113" s="9" t="n">
        <f aca="false">(II113/GO113)</f>
        <v>0.0697674418604651</v>
      </c>
      <c r="IO113" s="9" t="n">
        <f aca="false">(IJ113/GP113)</f>
        <v>0.0206896551724138</v>
      </c>
      <c r="IP113" s="9" t="n">
        <f aca="false">(IK113/GQ113)</f>
        <v>0.125490196078431</v>
      </c>
      <c r="IQ113" s="9" t="n">
        <f aca="false">(100*IP113)</f>
        <v>12.5490196078431</v>
      </c>
      <c r="IR113" s="18" t="n">
        <v>2</v>
      </c>
      <c r="IS113" s="9" t="n">
        <v>60.3</v>
      </c>
      <c r="IT113" s="9" t="n">
        <v>42.2</v>
      </c>
      <c r="IU113" s="19" t="n">
        <v>54.9</v>
      </c>
      <c r="IV113" s="9" t="n">
        <v>57.6</v>
      </c>
      <c r="IW113" s="9" t="n">
        <f aca="false">(IS113+IT113+IU113+IV113)/4</f>
        <v>53.75</v>
      </c>
      <c r="IX113" s="16" t="n">
        <v>45241</v>
      </c>
      <c r="IY113" s="10" t="s">
        <v>268</v>
      </c>
    </row>
    <row r="114" customFormat="false" ht="15.75" hidden="false" customHeight="true" outlineLevel="0" collapsed="false">
      <c r="A114" s="9" t="s">
        <v>259</v>
      </c>
      <c r="B114" s="10" t="s">
        <v>528</v>
      </c>
      <c r="C114" s="10" t="s">
        <v>514</v>
      </c>
      <c r="D114" s="9" t="n">
        <v>3</v>
      </c>
      <c r="E114" s="9" t="n">
        <v>38</v>
      </c>
      <c r="F114" s="10" t="s">
        <v>533</v>
      </c>
      <c r="G114" s="11" t="s">
        <v>263</v>
      </c>
      <c r="H114" s="9" t="n">
        <v>21</v>
      </c>
      <c r="I114" s="9" t="n">
        <v>11</v>
      </c>
      <c r="J114" s="12" t="s">
        <v>270</v>
      </c>
      <c r="K114" s="20"/>
      <c r="L114" s="20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 t="n">
        <v>0</v>
      </c>
      <c r="Y114" s="9" t="n">
        <v>1</v>
      </c>
      <c r="Z114" s="9" t="n">
        <v>0</v>
      </c>
      <c r="AA114" s="9" t="n">
        <v>0</v>
      </c>
      <c r="AB114" s="11" t="n">
        <f aca="false">(X114+Y114+Z114+AA114)/4</f>
        <v>0.25</v>
      </c>
      <c r="AC114" s="9" t="n">
        <v>1</v>
      </c>
      <c r="AD114" s="9" t="n">
        <v>1</v>
      </c>
      <c r="AE114" s="9" t="n">
        <v>1</v>
      </c>
      <c r="AF114" s="9" t="n">
        <v>1</v>
      </c>
      <c r="AG114" s="11" t="n">
        <f aca="false">(AC114+AD114+AE114+AF114)/4</f>
        <v>1</v>
      </c>
      <c r="AH114" s="9" t="n">
        <v>1</v>
      </c>
      <c r="AI114" s="9" t="n">
        <v>1</v>
      </c>
      <c r="AJ114" s="9" t="n">
        <v>1</v>
      </c>
      <c r="AK114" s="9" t="n">
        <v>1</v>
      </c>
      <c r="AL114" s="11" t="n">
        <f aca="false">(AH114+AI114+AJ114+AK114)/4</f>
        <v>1</v>
      </c>
      <c r="AM114" s="9" t="n">
        <v>0</v>
      </c>
      <c r="AN114" s="9" t="n">
        <v>0</v>
      </c>
      <c r="AO114" s="9" t="n">
        <v>0</v>
      </c>
      <c r="AP114" s="9" t="n">
        <v>0</v>
      </c>
      <c r="AQ114" s="11" t="n">
        <f aca="false">(AM114+AN114+AO114+AP114)/4</f>
        <v>0</v>
      </c>
      <c r="AR114" s="9" t="n">
        <v>20</v>
      </c>
      <c r="AS114" s="9" t="n">
        <v>15</v>
      </c>
      <c r="AT114" s="9" t="n">
        <v>15</v>
      </c>
      <c r="AU114" s="9" t="n">
        <v>16</v>
      </c>
      <c r="AV114" s="11" t="n">
        <f aca="false">(AR114+AS114+AT114+AU114)/4</f>
        <v>16.5</v>
      </c>
      <c r="AW114" s="9" t="n">
        <v>0</v>
      </c>
      <c r="AX114" s="9" t="n">
        <v>2</v>
      </c>
      <c r="AY114" s="9" t="n">
        <v>0</v>
      </c>
      <c r="AZ114" s="9" t="n">
        <v>0</v>
      </c>
      <c r="BA114" s="11" t="n">
        <f aca="false">(AW114+AX114+AY114+AZ114)/4</f>
        <v>0.5</v>
      </c>
      <c r="BB114" s="11" t="n">
        <f aca="false">(AW114/AR114)</f>
        <v>0</v>
      </c>
      <c r="BC114" s="11" t="n">
        <f aca="false">(AX114/AS114)</f>
        <v>0.133333333333333</v>
      </c>
      <c r="BD114" s="11" t="n">
        <f aca="false">(AY114/AT114)</f>
        <v>0</v>
      </c>
      <c r="BE114" s="11" t="n">
        <f aca="false">(AZ114/AU114)</f>
        <v>0</v>
      </c>
      <c r="BF114" s="11" t="n">
        <f aca="false">(BA114/AV114)</f>
        <v>0.0303030303030303</v>
      </c>
      <c r="BG114" s="11" t="n">
        <f aca="false">(BF114*100)</f>
        <v>3.03030303030303</v>
      </c>
      <c r="BH114" s="9" t="n">
        <v>1</v>
      </c>
      <c r="BI114" s="9" t="n">
        <v>1</v>
      </c>
      <c r="BJ114" s="9" t="n">
        <v>2</v>
      </c>
      <c r="BK114" s="9" t="n">
        <v>5</v>
      </c>
      <c r="BL114" s="9" t="n">
        <v>6</v>
      </c>
      <c r="BM114" s="11" t="n">
        <f aca="false">(BI114+BJ114+BK114+BL114)/4</f>
        <v>3.5</v>
      </c>
      <c r="BN114" s="11" t="n">
        <f aca="false">(BI114/AR114)</f>
        <v>0.05</v>
      </c>
      <c r="BO114" s="11" t="n">
        <f aca="false">(BJ114/AS114)</f>
        <v>0.133333333333333</v>
      </c>
      <c r="BP114" s="11" t="n">
        <f aca="false">(BK114/AT114)</f>
        <v>0.333333333333333</v>
      </c>
      <c r="BQ114" s="11" t="n">
        <f aca="false">(BL114/AU114)</f>
        <v>0.375</v>
      </c>
      <c r="BR114" s="11" t="n">
        <f aca="false">(BM114/AV114)</f>
        <v>0.212121212121212</v>
      </c>
      <c r="BS114" s="11" t="n">
        <f aca="false">(100*BR114)</f>
        <v>21.2121212121212</v>
      </c>
      <c r="BT114" s="9" t="n">
        <v>2</v>
      </c>
      <c r="BU114" s="9" t="n">
        <v>2</v>
      </c>
      <c r="BV114" s="9" t="n">
        <v>5</v>
      </c>
      <c r="BW114" s="9" t="n">
        <v>13</v>
      </c>
      <c r="BX114" s="9" t="n">
        <v>2</v>
      </c>
      <c r="BY114" s="11" t="n">
        <f aca="false">(BU114+BV114+BW114+BX114)/4</f>
        <v>5.5</v>
      </c>
      <c r="BZ114" s="11" t="n">
        <f aca="false">(BU114/AR114)</f>
        <v>0.1</v>
      </c>
      <c r="CA114" s="11" t="n">
        <f aca="false">(BV114/AS114)</f>
        <v>0.333333333333333</v>
      </c>
      <c r="CB114" s="11" t="n">
        <f aca="false">(BW114/AT114)</f>
        <v>0.866666666666667</v>
      </c>
      <c r="CC114" s="11" t="n">
        <f aca="false">(BX114/AU114)</f>
        <v>0.125</v>
      </c>
      <c r="CD114" s="11" t="n">
        <f aca="false">(BY114/AV114)</f>
        <v>0.333333333333333</v>
      </c>
      <c r="CE114" s="11" t="n">
        <f aca="false">(100*CD114)</f>
        <v>33.3333333333333</v>
      </c>
      <c r="CF114" s="9" t="n">
        <v>3</v>
      </c>
      <c r="CG114" s="9" t="n">
        <v>0</v>
      </c>
      <c r="CH114" s="9" t="n">
        <v>0</v>
      </c>
      <c r="CI114" s="9" t="n">
        <v>0</v>
      </c>
      <c r="CJ114" s="9" t="n">
        <v>0</v>
      </c>
      <c r="CK114" s="11" t="n">
        <f aca="false">(CG114+CH114+CI114+CJ114)/4</f>
        <v>0</v>
      </c>
      <c r="CL114" s="11" t="e">
        <f aca="false">(CG114/AM114)</f>
        <v>#DIV/0!</v>
      </c>
      <c r="CM114" s="11" t="e">
        <f aca="false">(CH114/AN114)</f>
        <v>#DIV/0!</v>
      </c>
      <c r="CN114" s="11" t="e">
        <f aca="false">(CI114/AO114)</f>
        <v>#DIV/0!</v>
      </c>
      <c r="CO114" s="9" t="e">
        <f aca="false">(CJ114/AP114)</f>
        <v>#DIV/0!</v>
      </c>
      <c r="CP114" s="9" t="e">
        <f aca="false">(CK114/AQ114)</f>
        <v>#DIV/0!</v>
      </c>
      <c r="CQ114" s="9" t="e">
        <f aca="false">(100*CP114)</f>
        <v>#DIV/0!</v>
      </c>
      <c r="CR114" s="18"/>
      <c r="CS114" s="9" t="n">
        <v>42.2</v>
      </c>
      <c r="CT114" s="9" t="n">
        <v>48</v>
      </c>
      <c r="CU114" s="9" t="n">
        <v>45</v>
      </c>
      <c r="CV114" s="9" t="n">
        <v>51</v>
      </c>
      <c r="CW114" s="11" t="n">
        <f aca="false">(CS114+CT114+CU114+CV114)/4</f>
        <v>46.55</v>
      </c>
      <c r="CX114" s="9" t="n">
        <v>0</v>
      </c>
      <c r="CY114" s="9" t="n">
        <v>0</v>
      </c>
      <c r="CZ114" s="9" t="n">
        <v>0</v>
      </c>
      <c r="DA114" s="9" t="n">
        <v>0</v>
      </c>
      <c r="DB114" s="11" t="n">
        <f aca="false">(CX114+CY114+CZ114+DA114)/4</f>
        <v>0</v>
      </c>
      <c r="DC114" s="9" t="n">
        <v>1</v>
      </c>
      <c r="DD114" s="9" t="n">
        <v>1</v>
      </c>
      <c r="DE114" s="9" t="n">
        <v>1</v>
      </c>
      <c r="DF114" s="9" t="n">
        <v>1</v>
      </c>
      <c r="DG114" s="11" t="n">
        <f aca="false">(DC114+DD114+DE114+DF114)/4</f>
        <v>1</v>
      </c>
      <c r="DH114" s="9" t="n">
        <v>1</v>
      </c>
      <c r="DI114" s="9" t="n">
        <v>1</v>
      </c>
      <c r="DJ114" s="9" t="n">
        <v>1</v>
      </c>
      <c r="DK114" s="9" t="n">
        <v>1</v>
      </c>
      <c r="DL114" s="11" t="n">
        <f aca="false">(DH114+DI114+DJ114+DK114)/4</f>
        <v>1</v>
      </c>
      <c r="DM114" s="9" t="n">
        <v>0</v>
      </c>
      <c r="DN114" s="9" t="n">
        <v>0</v>
      </c>
      <c r="DO114" s="9" t="n">
        <v>0</v>
      </c>
      <c r="DP114" s="9" t="n">
        <v>0</v>
      </c>
      <c r="DQ114" s="11" t="n">
        <f aca="false">(DM114+DN114+DO114+DP114)/4</f>
        <v>0</v>
      </c>
      <c r="DR114" s="9" t="n">
        <v>8</v>
      </c>
      <c r="DS114" s="9" t="n">
        <v>17</v>
      </c>
      <c r="DT114" s="9" t="n">
        <v>16</v>
      </c>
      <c r="DU114" s="9" t="n">
        <v>20</v>
      </c>
      <c r="DV114" s="11" t="n">
        <f aca="false">(DR114+DS114+DT114+DU114)/4</f>
        <v>15.25</v>
      </c>
      <c r="DW114" s="9" t="n">
        <v>0</v>
      </c>
      <c r="DX114" s="9" t="n">
        <v>0</v>
      </c>
      <c r="DY114" s="9" t="n">
        <v>0</v>
      </c>
      <c r="DZ114" s="9" t="n">
        <v>0</v>
      </c>
      <c r="EA114" s="11" t="n">
        <f aca="false">(DW114+DX114+DY114+DZ114)/4</f>
        <v>0</v>
      </c>
      <c r="EB114" s="11" t="n">
        <f aca="false">(DW114/DR114)</f>
        <v>0</v>
      </c>
      <c r="EC114" s="11" t="n">
        <f aca="false">(DX114/DS114)</f>
        <v>0</v>
      </c>
      <c r="ED114" s="11" t="n">
        <f aca="false">(DY114/DT114)</f>
        <v>0</v>
      </c>
      <c r="EE114" s="11" t="n">
        <f aca="false">(DZ114/DU114)</f>
        <v>0</v>
      </c>
      <c r="EF114" s="11" t="n">
        <f aca="false">(EA114/DV114)</f>
        <v>0</v>
      </c>
      <c r="EG114" s="11" t="n">
        <f aca="false">(100*EF114)</f>
        <v>0</v>
      </c>
      <c r="EH114" s="9" t="n">
        <v>0</v>
      </c>
      <c r="EI114" s="9" t="n">
        <v>4</v>
      </c>
      <c r="EJ114" s="9" t="n">
        <v>6</v>
      </c>
      <c r="EK114" s="19" t="n">
        <v>5</v>
      </c>
      <c r="EL114" s="9" t="n">
        <v>4</v>
      </c>
      <c r="EM114" s="9" t="n">
        <f aca="false">(EI114+EJ114+EK114+EL114)/4</f>
        <v>4.75</v>
      </c>
      <c r="EN114" s="9" t="n">
        <f aca="false">(EI114/DR114)</f>
        <v>0.5</v>
      </c>
      <c r="EO114" s="9" t="n">
        <f aca="false">(EJ114/DS114)</f>
        <v>0.352941176470588</v>
      </c>
      <c r="EP114" s="9" t="n">
        <f aca="false">(EK114/DT114)</f>
        <v>0.3125</v>
      </c>
      <c r="EQ114" s="9" t="n">
        <f aca="false">(EL114/DU114)</f>
        <v>0.2</v>
      </c>
      <c r="ER114" s="9" t="n">
        <f aca="false">EM114/DV114</f>
        <v>0.311475409836066</v>
      </c>
      <c r="ES114" s="9" t="n">
        <f aca="false">(100*ER114)</f>
        <v>31.1475409836066</v>
      </c>
      <c r="ET114" s="9" t="n">
        <v>3</v>
      </c>
      <c r="EU114" s="18" t="n">
        <v>2</v>
      </c>
      <c r="EV114" s="9" t="n">
        <v>4</v>
      </c>
      <c r="EW114" s="9" t="n">
        <v>2</v>
      </c>
      <c r="EX114" s="9" t="n">
        <v>2</v>
      </c>
      <c r="EY114" s="11" t="n">
        <f aca="false">(EU114+EV114+EW114+EX114)/4</f>
        <v>2.5</v>
      </c>
      <c r="EZ114" s="11" t="n">
        <f aca="false">(EU114/DR114)</f>
        <v>0.25</v>
      </c>
      <c r="FA114" s="11" t="n">
        <f aca="false">(EV114/DS114)</f>
        <v>0.235294117647059</v>
      </c>
      <c r="FB114" s="11" t="n">
        <f aca="false">(EW114/DT114)</f>
        <v>0.125</v>
      </c>
      <c r="FC114" s="11" t="n">
        <f aca="false">(EX114/DU114)</f>
        <v>0.1</v>
      </c>
      <c r="FD114" s="11" t="n">
        <f aca="false">(EY114/DV114)</f>
        <v>0.163934426229508</v>
      </c>
      <c r="FE114" s="11" t="n">
        <f aca="false">(100*FD114)</f>
        <v>16.3934426229508</v>
      </c>
      <c r="FF114" s="9" t="n">
        <v>2</v>
      </c>
      <c r="FG114" s="9" t="n">
        <v>0</v>
      </c>
      <c r="FH114" s="9" t="n">
        <v>0</v>
      </c>
      <c r="FI114" s="9" t="n">
        <v>0</v>
      </c>
      <c r="FJ114" s="9" t="n">
        <v>0</v>
      </c>
      <c r="FK114" s="11" t="n">
        <f aca="false">(FG114+FH114+FI114+FJ114)/4</f>
        <v>0</v>
      </c>
      <c r="FL114" s="11" t="n">
        <f aca="false">(FG114/DR114)</f>
        <v>0</v>
      </c>
      <c r="FM114" s="11" t="n">
        <f aca="false">(FH114/DS114)</f>
        <v>0</v>
      </c>
      <c r="FN114" s="11" t="n">
        <f aca="false">(FI114/DT114)</f>
        <v>0</v>
      </c>
      <c r="FO114" s="11" t="n">
        <f aca="false">(FJ114/DU114)</f>
        <v>0</v>
      </c>
      <c r="FP114" s="11" t="n">
        <f aca="false">(FK114/DV114)</f>
        <v>0</v>
      </c>
      <c r="FQ114" s="11" t="n">
        <f aca="false">(100*FP114)</f>
        <v>0</v>
      </c>
      <c r="FR114" s="9" t="n">
        <v>0</v>
      </c>
      <c r="FS114" s="9" t="n">
        <v>52.6</v>
      </c>
      <c r="FT114" s="9" t="n">
        <v>51.4</v>
      </c>
      <c r="FU114" s="9" t="n">
        <v>56.2</v>
      </c>
      <c r="FV114" s="9" t="n">
        <v>64.2</v>
      </c>
      <c r="FW114" s="11" t="n">
        <f aca="false">(FS114+FT114+FU114+FV114)/4</f>
        <v>56.1</v>
      </c>
      <c r="FX114" s="9" t="n">
        <v>0</v>
      </c>
      <c r="FY114" s="9" t="n">
        <v>0</v>
      </c>
      <c r="FZ114" s="9" t="n">
        <v>0</v>
      </c>
      <c r="GA114" s="9" t="n">
        <v>0</v>
      </c>
      <c r="GB114" s="11" t="n">
        <f aca="false">(FX114+FY114+FZ114+GA114)/4</f>
        <v>0</v>
      </c>
      <c r="GC114" s="9" t="n">
        <v>1</v>
      </c>
      <c r="GD114" s="9" t="n">
        <v>1</v>
      </c>
      <c r="GE114" s="9" t="n">
        <v>1</v>
      </c>
      <c r="GF114" s="9" t="n">
        <v>1</v>
      </c>
      <c r="GG114" s="11" t="n">
        <f aca="false">(GC114+GD114+GE114+GF114)/4</f>
        <v>1</v>
      </c>
      <c r="GH114" s="9" t="n">
        <v>1</v>
      </c>
      <c r="GI114" s="9" t="n">
        <v>1</v>
      </c>
      <c r="GJ114" s="9" t="n">
        <v>1</v>
      </c>
      <c r="GK114" s="9" t="n">
        <v>1</v>
      </c>
      <c r="GL114" s="11" t="n">
        <f aca="false">(GH114+GI114+GJ114+GK114)/4</f>
        <v>1</v>
      </c>
      <c r="GM114" s="9" t="n">
        <v>0</v>
      </c>
      <c r="GN114" s="9" t="n">
        <v>0</v>
      </c>
      <c r="GO114" s="9" t="n">
        <v>0</v>
      </c>
      <c r="GP114" s="9" t="n">
        <v>0</v>
      </c>
      <c r="GQ114" s="11" t="n">
        <f aca="false">(GM114+GN114+GO114+GP114)/4</f>
        <v>0</v>
      </c>
      <c r="GR114" s="9" t="n">
        <v>3</v>
      </c>
      <c r="GS114" s="9" t="n">
        <v>12</v>
      </c>
      <c r="GT114" s="9" t="n">
        <v>7</v>
      </c>
      <c r="GU114" s="9" t="n">
        <v>7</v>
      </c>
      <c r="GV114" s="11" t="n">
        <f aca="false">(GR114+GS114+GT114+GU114)/4</f>
        <v>7.25</v>
      </c>
      <c r="GW114" s="9" t="n">
        <v>0</v>
      </c>
      <c r="GX114" s="9" t="n">
        <v>0</v>
      </c>
      <c r="GY114" s="9" t="n">
        <v>0</v>
      </c>
      <c r="GZ114" s="9" t="n">
        <v>0</v>
      </c>
      <c r="HA114" s="11" t="n">
        <f aca="false">(GW114+GX114+GY114+GZ114)/4</f>
        <v>0</v>
      </c>
      <c r="HB114" s="9" t="n">
        <f aca="false">(GW114/GR114)</f>
        <v>0</v>
      </c>
      <c r="HC114" s="9" t="n">
        <f aca="false">(GX114/GS114)</f>
        <v>0</v>
      </c>
      <c r="HD114" s="9" t="n">
        <f aca="false">(GY114/GT114)</f>
        <v>0</v>
      </c>
      <c r="HE114" s="9" t="n">
        <f aca="false">(GZ114/GU114)/4</f>
        <v>0</v>
      </c>
      <c r="HF114" s="9" t="n">
        <f aca="false">(HB114+HC114+HD114+HE114)/4</f>
        <v>0</v>
      </c>
      <c r="HG114" s="9" t="n">
        <f aca="false">(100*HF114)</f>
        <v>0</v>
      </c>
      <c r="HH114" s="18" t="n">
        <v>0</v>
      </c>
      <c r="HI114" s="9" t="n">
        <v>3</v>
      </c>
      <c r="HJ114" s="9" t="n">
        <v>2</v>
      </c>
      <c r="HK114" s="9" t="n">
        <v>4</v>
      </c>
      <c r="HL114" s="19" t="n">
        <v>5</v>
      </c>
      <c r="HM114" s="9" t="n">
        <f aca="false">(HI114+HJ114+HK114+HL114)/4</f>
        <v>3.5</v>
      </c>
      <c r="HN114" s="9" t="n">
        <f aca="false">(HI114/GR114)</f>
        <v>1</v>
      </c>
      <c r="HO114" s="9" t="n">
        <f aca="false">(HJ114/GS114)</f>
        <v>0.166666666666667</v>
      </c>
      <c r="HP114" s="9" t="n">
        <f aca="false">(HK114/GT114)</f>
        <v>0.571428571428571</v>
      </c>
      <c r="HQ114" s="9" t="n">
        <f aca="false">(HL114/GU114)</f>
        <v>0.714285714285714</v>
      </c>
      <c r="HR114" s="9" t="n">
        <f aca="false">(HM114/GV114)</f>
        <v>0.482758620689655</v>
      </c>
      <c r="HS114" s="9" t="n">
        <f aca="false">(100*HR114)</f>
        <v>48.2758620689655</v>
      </c>
      <c r="HT114" s="18" t="n">
        <v>3</v>
      </c>
      <c r="HU114" s="9" t="n">
        <v>1</v>
      </c>
      <c r="HV114" s="9" t="n">
        <v>8</v>
      </c>
      <c r="HW114" s="9" t="n">
        <v>2</v>
      </c>
      <c r="HX114" s="19" t="n">
        <v>2</v>
      </c>
      <c r="HY114" s="9" t="n">
        <f aca="false">(HU114+HV114+HW114+HX114)/4</f>
        <v>3.25</v>
      </c>
      <c r="HZ114" s="9" t="n">
        <f aca="false">(HU114/GR114)</f>
        <v>0.333333333333333</v>
      </c>
      <c r="IA114" s="9" t="n">
        <f aca="false">HV114/GS114</f>
        <v>0.666666666666667</v>
      </c>
      <c r="IB114" s="9" t="n">
        <f aca="false">(HW114/GT114)</f>
        <v>0.285714285714286</v>
      </c>
      <c r="IC114" s="9" t="n">
        <f aca="false">(HX114/GU114)</f>
        <v>0.285714285714286</v>
      </c>
      <c r="ID114" s="9" t="n">
        <f aca="false">(HY114/GV114)</f>
        <v>0.448275862068966</v>
      </c>
      <c r="IE114" s="9" t="n">
        <f aca="false">(100*ID114)</f>
        <v>44.8275862068966</v>
      </c>
      <c r="IF114" s="18" t="n">
        <v>3</v>
      </c>
      <c r="IG114" s="9" t="n">
        <v>0</v>
      </c>
      <c r="IH114" s="9" t="n">
        <v>0</v>
      </c>
      <c r="II114" s="19" t="n">
        <v>0</v>
      </c>
      <c r="IJ114" s="9" t="n">
        <v>0</v>
      </c>
      <c r="IK114" s="9" t="n">
        <f aca="false">(IG114+IH114+II114+IJ114)/4</f>
        <v>0</v>
      </c>
      <c r="IL114" s="9" t="e">
        <f aca="false">(IG114/GM114)</f>
        <v>#DIV/0!</v>
      </c>
      <c r="IM114" s="9" t="e">
        <f aca="false">(IH114/GN114)</f>
        <v>#DIV/0!</v>
      </c>
      <c r="IN114" s="9" t="e">
        <f aca="false">(II114/GO114)</f>
        <v>#DIV/0!</v>
      </c>
      <c r="IO114" s="9" t="e">
        <f aca="false">(IJ114/GP114)</f>
        <v>#DIV/0!</v>
      </c>
      <c r="IP114" s="9" t="e">
        <f aca="false">(IK114/GQ114)</f>
        <v>#DIV/0!</v>
      </c>
      <c r="IQ114" s="9" t="e">
        <f aca="false">(100*IP114)</f>
        <v>#DIV/0!</v>
      </c>
      <c r="IR114" s="18"/>
      <c r="IS114" s="9" t="n">
        <v>51.8</v>
      </c>
      <c r="IT114" s="9" t="n">
        <v>45.5</v>
      </c>
      <c r="IU114" s="19" t="n">
        <v>65.5</v>
      </c>
      <c r="IV114" s="9" t="n">
        <v>61.5</v>
      </c>
      <c r="IW114" s="9" t="n">
        <f aca="false">(IS114+IT114+IU114+IV114)/4</f>
        <v>56.075</v>
      </c>
      <c r="IX114" s="16" t="n">
        <v>45241</v>
      </c>
      <c r="IY114" s="10" t="s">
        <v>268</v>
      </c>
    </row>
    <row r="115" customFormat="false" ht="15.75" hidden="false" customHeight="true" outlineLevel="0" collapsed="false">
      <c r="A115" s="9" t="s">
        <v>259</v>
      </c>
      <c r="B115" s="10" t="s">
        <v>528</v>
      </c>
      <c r="C115" s="10" t="s">
        <v>514</v>
      </c>
      <c r="D115" s="9" t="n">
        <v>3</v>
      </c>
      <c r="E115" s="9" t="n">
        <v>38</v>
      </c>
      <c r="F115" s="10" t="s">
        <v>534</v>
      </c>
      <c r="G115" s="11" t="s">
        <v>263</v>
      </c>
      <c r="H115" s="9" t="n">
        <v>21</v>
      </c>
      <c r="I115" s="9" t="n">
        <v>20</v>
      </c>
      <c r="J115" s="10" t="s">
        <v>272</v>
      </c>
      <c r="K115" s="20"/>
      <c r="L115" s="20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 t="n">
        <v>0</v>
      </c>
      <c r="Y115" s="9" t="n">
        <v>0</v>
      </c>
      <c r="Z115" s="9" t="n">
        <v>0</v>
      </c>
      <c r="AA115" s="9" t="n">
        <v>0</v>
      </c>
      <c r="AB115" s="11" t="n">
        <f aca="false">(X115+Y115+Z115+AA115)/4</f>
        <v>0</v>
      </c>
      <c r="AC115" s="9" t="n">
        <v>1</v>
      </c>
      <c r="AD115" s="9" t="n">
        <v>1</v>
      </c>
      <c r="AE115" s="9" t="n">
        <v>1</v>
      </c>
      <c r="AF115" s="9" t="n">
        <v>1</v>
      </c>
      <c r="AG115" s="11" t="n">
        <f aca="false">(AC115+AD115+AE115+AF115)/4</f>
        <v>1</v>
      </c>
      <c r="AH115" s="9" t="n">
        <v>1</v>
      </c>
      <c r="AI115" s="9" t="n">
        <v>1</v>
      </c>
      <c r="AJ115" s="9" t="n">
        <v>1</v>
      </c>
      <c r="AK115" s="9" t="n">
        <v>1</v>
      </c>
      <c r="AL115" s="11" t="n">
        <f aca="false">(AH115+AI115+AJ115+AK115)/4</f>
        <v>1</v>
      </c>
      <c r="AM115" s="9" t="n">
        <v>141</v>
      </c>
      <c r="AN115" s="9" t="n">
        <v>52</v>
      </c>
      <c r="AO115" s="9" t="n">
        <v>2</v>
      </c>
      <c r="AP115" s="9" t="n">
        <v>38</v>
      </c>
      <c r="AQ115" s="11" t="n">
        <f aca="false">(AM115+AN115+AO115+AP115)/4</f>
        <v>58.25</v>
      </c>
      <c r="AR115" s="9" t="n">
        <v>15</v>
      </c>
      <c r="AS115" s="9" t="n">
        <v>11</v>
      </c>
      <c r="AT115" s="9" t="n">
        <v>5</v>
      </c>
      <c r="AU115" s="9" t="n">
        <v>6</v>
      </c>
      <c r="AV115" s="11" t="n">
        <f aca="false">(AR115+AS115+AT115+AU115)/4</f>
        <v>9.25</v>
      </c>
      <c r="AW115" s="9" t="n">
        <v>0</v>
      </c>
      <c r="AX115" s="9" t="n">
        <v>0</v>
      </c>
      <c r="AY115" s="9" t="n">
        <v>0</v>
      </c>
      <c r="AZ115" s="9" t="n">
        <v>0</v>
      </c>
      <c r="BA115" s="11" t="n">
        <f aca="false">(AW115+AX115+AY115+AZ115)/4</f>
        <v>0</v>
      </c>
      <c r="BB115" s="11" t="n">
        <f aca="false">(AW115/AR115)</f>
        <v>0</v>
      </c>
      <c r="BC115" s="11" t="n">
        <f aca="false">(AX115/AS115)</f>
        <v>0</v>
      </c>
      <c r="BD115" s="11" t="n">
        <f aca="false">(AY115/AT115)</f>
        <v>0</v>
      </c>
      <c r="BE115" s="11" t="n">
        <f aca="false">(AZ115/AU115)</f>
        <v>0</v>
      </c>
      <c r="BF115" s="11" t="n">
        <f aca="false">(BA115/AV115)</f>
        <v>0</v>
      </c>
      <c r="BG115" s="11" t="n">
        <f aca="false">(BF115*100)</f>
        <v>0</v>
      </c>
      <c r="BH115" s="9" t="n">
        <v>0</v>
      </c>
      <c r="BI115" s="9" t="n">
        <v>4</v>
      </c>
      <c r="BJ115" s="9" t="n">
        <v>4</v>
      </c>
      <c r="BK115" s="9" t="n">
        <v>5</v>
      </c>
      <c r="BL115" s="9" t="n">
        <v>4</v>
      </c>
      <c r="BM115" s="11" t="n">
        <f aca="false">(BI115+BJ115+BK115+BL115)/4</f>
        <v>4.25</v>
      </c>
      <c r="BN115" s="11" t="n">
        <f aca="false">(BI115/AR115)</f>
        <v>0.266666666666667</v>
      </c>
      <c r="BO115" s="11" t="n">
        <f aca="false">(BJ115/AS115)</f>
        <v>0.363636363636364</v>
      </c>
      <c r="BP115" s="11" t="n">
        <f aca="false">(BK115/AT115)</f>
        <v>1</v>
      </c>
      <c r="BQ115" s="11" t="n">
        <f aca="false">(BL115/AU115)</f>
        <v>0.666666666666667</v>
      </c>
      <c r="BR115" s="11" t="n">
        <f aca="false">(BM115/AV115)</f>
        <v>0.45945945945946</v>
      </c>
      <c r="BS115" s="11" t="n">
        <f aca="false">(100*BR115)</f>
        <v>45.945945945946</v>
      </c>
      <c r="BT115" s="9" t="n">
        <v>3</v>
      </c>
      <c r="BU115" s="9" t="n">
        <v>0</v>
      </c>
      <c r="BV115" s="9" t="n">
        <v>0</v>
      </c>
      <c r="BW115" s="9" t="n">
        <v>0</v>
      </c>
      <c r="BX115" s="9" t="n">
        <v>1</v>
      </c>
      <c r="BY115" s="11" t="n">
        <f aca="false">(BU115+BV115+BW115+BX115)/4</f>
        <v>0.25</v>
      </c>
      <c r="BZ115" s="11" t="n">
        <f aca="false">(BU115/AR115)</f>
        <v>0</v>
      </c>
      <c r="CA115" s="11" t="n">
        <f aca="false">(BV115/AS115)</f>
        <v>0</v>
      </c>
      <c r="CB115" s="11" t="n">
        <f aca="false">(BW115/AT115)</f>
        <v>0</v>
      </c>
      <c r="CC115" s="11" t="n">
        <f aca="false">(BX115/AU115)</f>
        <v>0.166666666666667</v>
      </c>
      <c r="CD115" s="11" t="n">
        <f aca="false">(BY115/AV115)</f>
        <v>0.027027027027027</v>
      </c>
      <c r="CE115" s="11" t="n">
        <f aca="false">(100*CD115)</f>
        <v>2.7027027027027</v>
      </c>
      <c r="CF115" s="9" t="n">
        <v>1</v>
      </c>
      <c r="CG115" s="9" t="n">
        <v>12</v>
      </c>
      <c r="CH115" s="9" t="n">
        <v>3</v>
      </c>
      <c r="CI115" s="9" t="n">
        <v>2</v>
      </c>
      <c r="CJ115" s="9" t="n">
        <v>2</v>
      </c>
      <c r="CK115" s="11" t="n">
        <f aca="false">(CG115+CH115+CI115+CJ115)/4</f>
        <v>4.75</v>
      </c>
      <c r="CL115" s="11" t="n">
        <f aca="false">(CG115/AM115)</f>
        <v>0.0851063829787234</v>
      </c>
      <c r="CM115" s="11" t="n">
        <f aca="false">(CH115/AN115)</f>
        <v>0.0576923076923077</v>
      </c>
      <c r="CN115" s="11" t="n">
        <f aca="false">(CI115/AO115)</f>
        <v>1</v>
      </c>
      <c r="CO115" s="9" t="n">
        <f aca="false">(CJ115/AP115)</f>
        <v>0.0526315789473684</v>
      </c>
      <c r="CP115" s="9" t="n">
        <f aca="false">(CK115/AQ115)</f>
        <v>0.0815450643776824</v>
      </c>
      <c r="CQ115" s="9" t="n">
        <f aca="false">(100*CP115)</f>
        <v>8.15450643776824</v>
      </c>
      <c r="CR115" s="18" t="n">
        <v>1</v>
      </c>
      <c r="CS115" s="9" t="n">
        <v>45.4</v>
      </c>
      <c r="CT115" s="9" t="n">
        <v>56.2</v>
      </c>
      <c r="CU115" s="9" t="n">
        <v>58.8</v>
      </c>
      <c r="CV115" s="9" t="n">
        <v>50.6</v>
      </c>
      <c r="CW115" s="11" t="n">
        <f aca="false">(CS115+CT115+CU115+CV115)/4</f>
        <v>52.75</v>
      </c>
      <c r="CX115" s="9" t="n">
        <v>0</v>
      </c>
      <c r="CY115" s="9" t="n">
        <v>0</v>
      </c>
      <c r="CZ115" s="9" t="n">
        <v>0</v>
      </c>
      <c r="DA115" s="9" t="n">
        <v>0</v>
      </c>
      <c r="DB115" s="11" t="n">
        <f aca="false">(CX115+CY115+CZ115+DA115)/4</f>
        <v>0</v>
      </c>
      <c r="DC115" s="9" t="n">
        <v>1</v>
      </c>
      <c r="DD115" s="9" t="n">
        <v>1</v>
      </c>
      <c r="DE115" s="9" t="n">
        <v>1</v>
      </c>
      <c r="DF115" s="9" t="n">
        <v>1</v>
      </c>
      <c r="DG115" s="11" t="n">
        <f aca="false">(DC115+DD115+DE115+DF115)/4</f>
        <v>1</v>
      </c>
      <c r="DH115" s="9" t="n">
        <v>1</v>
      </c>
      <c r="DI115" s="9" t="n">
        <v>1</v>
      </c>
      <c r="DJ115" s="9" t="n">
        <v>0</v>
      </c>
      <c r="DK115" s="9" t="n">
        <v>1</v>
      </c>
      <c r="DL115" s="11" t="n">
        <f aca="false">(DH115+DI115+DJ115+DK115)/4</f>
        <v>0.75</v>
      </c>
      <c r="DM115" s="9" t="n">
        <v>38</v>
      </c>
      <c r="DN115" s="9" t="n">
        <v>95</v>
      </c>
      <c r="DO115" s="9" t="n">
        <v>62</v>
      </c>
      <c r="DP115" s="9" t="n">
        <v>52</v>
      </c>
      <c r="DQ115" s="11" t="n">
        <f aca="false">(DM115+DN115+DO115+DP115)/4</f>
        <v>61.75</v>
      </c>
      <c r="DR115" s="9" t="n">
        <v>7</v>
      </c>
      <c r="DS115" s="9" t="n">
        <v>7</v>
      </c>
      <c r="DT115" s="9" t="n">
        <v>12</v>
      </c>
      <c r="DU115" s="9" t="n">
        <v>13</v>
      </c>
      <c r="DV115" s="11" t="n">
        <f aca="false">(DR115+DS115+DT115+DU115)/4</f>
        <v>9.75</v>
      </c>
      <c r="DW115" s="9" t="n">
        <v>0</v>
      </c>
      <c r="DX115" s="9" t="n">
        <v>0</v>
      </c>
      <c r="DY115" s="9" t="n">
        <v>0</v>
      </c>
      <c r="DZ115" s="9" t="n">
        <v>0</v>
      </c>
      <c r="EA115" s="11" t="n">
        <f aca="false">(DW115+DX115+DY115+DZ115)/4</f>
        <v>0</v>
      </c>
      <c r="EB115" s="11" t="n">
        <f aca="false">(DW115/DR115)</f>
        <v>0</v>
      </c>
      <c r="EC115" s="11" t="n">
        <f aca="false">(DX115/DS115)</f>
        <v>0</v>
      </c>
      <c r="ED115" s="11" t="n">
        <f aca="false">(DY115/DT115)</f>
        <v>0</v>
      </c>
      <c r="EE115" s="11" t="n">
        <f aca="false">(DZ115/DU115)</f>
        <v>0</v>
      </c>
      <c r="EF115" s="11" t="n">
        <f aca="false">(EA115/DV115)</f>
        <v>0</v>
      </c>
      <c r="EG115" s="11" t="n">
        <f aca="false">(100*EF115)</f>
        <v>0</v>
      </c>
      <c r="EH115" s="9" t="n">
        <v>0</v>
      </c>
      <c r="EI115" s="9" t="n">
        <v>3</v>
      </c>
      <c r="EJ115" s="9" t="n">
        <v>4</v>
      </c>
      <c r="EK115" s="19" t="n">
        <v>4</v>
      </c>
      <c r="EL115" s="9" t="n">
        <v>11</v>
      </c>
      <c r="EM115" s="9" t="n">
        <f aca="false">(EI115+EJ115+EK115+EL115)/4</f>
        <v>5.5</v>
      </c>
      <c r="EN115" s="9" t="n">
        <f aca="false">(EI115/DR115)</f>
        <v>0.428571428571429</v>
      </c>
      <c r="EO115" s="9" t="n">
        <f aca="false">(EJ115/DS115)</f>
        <v>0.571428571428571</v>
      </c>
      <c r="EP115" s="9" t="n">
        <f aca="false">(EK115/DT115)</f>
        <v>0.333333333333333</v>
      </c>
      <c r="EQ115" s="9" t="n">
        <f aca="false">(EL115/DU115)</f>
        <v>0.846153846153846</v>
      </c>
      <c r="ER115" s="9" t="n">
        <f aca="false">EM115/DV115</f>
        <v>0.564102564102564</v>
      </c>
      <c r="ES115" s="9" t="n">
        <f aca="false">(100*ER115)</f>
        <v>56.4102564102564</v>
      </c>
      <c r="ET115" s="9" t="n">
        <v>3</v>
      </c>
      <c r="EU115" s="18" t="n">
        <v>1</v>
      </c>
      <c r="EV115" s="9" t="n">
        <v>2</v>
      </c>
      <c r="EW115" s="9" t="n">
        <v>0</v>
      </c>
      <c r="EX115" s="9" t="n">
        <v>1</v>
      </c>
      <c r="EY115" s="11" t="n">
        <f aca="false">(EU115+EV115+EW115+EX115)/4</f>
        <v>1</v>
      </c>
      <c r="EZ115" s="11" t="n">
        <f aca="false">(EU115/DR115)</f>
        <v>0.142857142857143</v>
      </c>
      <c r="FA115" s="11" t="n">
        <f aca="false">(EV115/DS115)</f>
        <v>0.285714285714286</v>
      </c>
      <c r="FB115" s="11" t="n">
        <f aca="false">(EW115/DT115)</f>
        <v>0</v>
      </c>
      <c r="FC115" s="11" t="n">
        <f aca="false">(EX115/DU115)</f>
        <v>0.0769230769230769</v>
      </c>
      <c r="FD115" s="11" t="n">
        <f aca="false">(EY115/DV115)</f>
        <v>0.102564102564103</v>
      </c>
      <c r="FE115" s="11" t="n">
        <f aca="false">(100*FD115)</f>
        <v>10.2564102564103</v>
      </c>
      <c r="FF115" s="9" t="n">
        <v>2</v>
      </c>
      <c r="FG115" s="9" t="n">
        <v>8</v>
      </c>
      <c r="FH115" s="9" t="n">
        <v>8</v>
      </c>
      <c r="FI115" s="9" t="n">
        <v>0</v>
      </c>
      <c r="FJ115" s="9" t="n">
        <v>3</v>
      </c>
      <c r="FK115" s="11" t="n">
        <f aca="false">(FG115+FH115+FI115+FJ115)/4</f>
        <v>4.75</v>
      </c>
      <c r="FL115" s="11" t="n">
        <f aca="false">(FG115/DR115)</f>
        <v>1.14285714285714</v>
      </c>
      <c r="FM115" s="11" t="n">
        <f aca="false">(FH115/DS115)</f>
        <v>1.14285714285714</v>
      </c>
      <c r="FN115" s="11" t="n">
        <f aca="false">(FI115/DT115)</f>
        <v>0</v>
      </c>
      <c r="FO115" s="11" t="n">
        <f aca="false">(FJ115/DU115)</f>
        <v>0.230769230769231</v>
      </c>
      <c r="FP115" s="11" t="n">
        <f aca="false">(FK115/DV115)</f>
        <v>0.487179487179487</v>
      </c>
      <c r="FQ115" s="11" t="n">
        <f aca="false">(100*FP115)</f>
        <v>48.7179487179487</v>
      </c>
      <c r="FR115" s="9" t="n">
        <v>3</v>
      </c>
      <c r="FS115" s="9" t="n">
        <v>54.8</v>
      </c>
      <c r="FT115" s="9" t="n">
        <v>55.7</v>
      </c>
      <c r="FU115" s="9" t="n">
        <v>62.3</v>
      </c>
      <c r="FV115" s="9" t="n">
        <v>59.9</v>
      </c>
      <c r="FW115" s="11" t="n">
        <f aca="false">(FS115+FT115+FU115+FV115)/4</f>
        <v>58.175</v>
      </c>
      <c r="FX115" s="9" t="n">
        <v>0</v>
      </c>
      <c r="FY115" s="9" t="n">
        <v>0</v>
      </c>
      <c r="FZ115" s="9" t="n">
        <v>0</v>
      </c>
      <c r="GA115" s="9" t="n">
        <v>1</v>
      </c>
      <c r="GB115" s="11" t="n">
        <f aca="false">(FX115+FY115+FZ115+GA115)/4</f>
        <v>0.25</v>
      </c>
      <c r="GC115" s="9" t="n">
        <v>1</v>
      </c>
      <c r="GD115" s="9" t="n">
        <v>1</v>
      </c>
      <c r="GE115" s="9" t="n">
        <v>1</v>
      </c>
      <c r="GF115" s="9" t="n">
        <v>1</v>
      </c>
      <c r="GG115" s="11" t="n">
        <f aca="false">(GC115+GD115+GE115+GF115)/4</f>
        <v>1</v>
      </c>
      <c r="GH115" s="9" t="n">
        <v>1</v>
      </c>
      <c r="GI115" s="9" t="n">
        <v>1</v>
      </c>
      <c r="GJ115" s="9" t="n">
        <v>1</v>
      </c>
      <c r="GK115" s="9" t="n">
        <v>1</v>
      </c>
      <c r="GL115" s="11" t="n">
        <f aca="false">(GH115+GI115+GJ115+GK115)/4</f>
        <v>1</v>
      </c>
      <c r="GM115" s="9" t="n">
        <v>98</v>
      </c>
      <c r="GN115" s="9" t="n">
        <v>22</v>
      </c>
      <c r="GO115" s="9" t="n">
        <v>54</v>
      </c>
      <c r="GP115" s="9" t="n">
        <v>77</v>
      </c>
      <c r="GQ115" s="11" t="n">
        <f aca="false">(GM115+GN115+GO115+GP115)/4</f>
        <v>62.75</v>
      </c>
      <c r="GR115" s="9" t="n">
        <v>23</v>
      </c>
      <c r="GS115" s="9" t="n">
        <v>10</v>
      </c>
      <c r="GT115" s="9" t="n">
        <v>8</v>
      </c>
      <c r="GU115" s="9" t="n">
        <v>12</v>
      </c>
      <c r="GV115" s="11" t="n">
        <f aca="false">(GR115+GS115+GT115+GU115)/4</f>
        <v>13.25</v>
      </c>
      <c r="GW115" s="9" t="n">
        <v>0</v>
      </c>
      <c r="GX115" s="9" t="n">
        <v>0</v>
      </c>
      <c r="GY115" s="9" t="n">
        <v>0</v>
      </c>
      <c r="GZ115" s="9" t="n">
        <v>2</v>
      </c>
      <c r="HA115" s="11" t="n">
        <f aca="false">(GW115+GX115+GY115+GZ115)/4</f>
        <v>0.5</v>
      </c>
      <c r="HB115" s="9" t="n">
        <f aca="false">(GW115/GR115)</f>
        <v>0</v>
      </c>
      <c r="HC115" s="9" t="n">
        <f aca="false">(GX115/GS115)</f>
        <v>0</v>
      </c>
      <c r="HD115" s="9" t="n">
        <f aca="false">(GY115/GT115)</f>
        <v>0</v>
      </c>
      <c r="HE115" s="9" t="n">
        <f aca="false">(GZ115/GU115)/4</f>
        <v>0.0416666666666667</v>
      </c>
      <c r="HF115" s="9" t="n">
        <f aca="false">(HB115+HC115+HD115+HE115)/4</f>
        <v>0.0104166666666667</v>
      </c>
      <c r="HG115" s="9" t="n">
        <f aca="false">(100*HF115)</f>
        <v>1.04166666666667</v>
      </c>
      <c r="HH115" s="18" t="n">
        <v>1</v>
      </c>
      <c r="HI115" s="9" t="n">
        <v>4</v>
      </c>
      <c r="HJ115" s="9" t="n">
        <v>2</v>
      </c>
      <c r="HK115" s="9" t="n">
        <v>4</v>
      </c>
      <c r="HL115" s="19" t="n">
        <v>3</v>
      </c>
      <c r="HM115" s="9" t="n">
        <f aca="false">(HI115+HJ115+HK115+HL115)/4</f>
        <v>3.25</v>
      </c>
      <c r="HN115" s="9" t="n">
        <f aca="false">(HI115/GR115)</f>
        <v>0.173913043478261</v>
      </c>
      <c r="HO115" s="9" t="n">
        <f aca="false">(HJ115/GS115)</f>
        <v>0.2</v>
      </c>
      <c r="HP115" s="9" t="n">
        <f aca="false">(HK115/GT115)</f>
        <v>0.5</v>
      </c>
      <c r="HQ115" s="9" t="n">
        <f aca="false">(HL115/GU115)</f>
        <v>0.25</v>
      </c>
      <c r="HR115" s="9" t="n">
        <f aca="false">(HM115/GV115)</f>
        <v>0.245283018867925</v>
      </c>
      <c r="HS115" s="9" t="n">
        <f aca="false">(100*HR115)</f>
        <v>24.5283018867925</v>
      </c>
      <c r="HT115" s="18" t="n">
        <v>2</v>
      </c>
      <c r="HU115" s="9" t="n">
        <v>5</v>
      </c>
      <c r="HV115" s="9" t="n">
        <v>0</v>
      </c>
      <c r="HW115" s="9" t="n">
        <v>2</v>
      </c>
      <c r="HX115" s="19" t="n">
        <v>0</v>
      </c>
      <c r="HY115" s="9" t="n">
        <f aca="false">(HU115+HV115+HW115+HX115)/4</f>
        <v>1.75</v>
      </c>
      <c r="HZ115" s="9" t="n">
        <f aca="false">(HU115/GR115)</f>
        <v>0.217391304347826</v>
      </c>
      <c r="IA115" s="9" t="n">
        <f aca="false">HV115/GS115</f>
        <v>0</v>
      </c>
      <c r="IB115" s="9" t="n">
        <f aca="false">(HW115/GT115)</f>
        <v>0.25</v>
      </c>
      <c r="IC115" s="9" t="n">
        <f aca="false">(HX115/GU115)</f>
        <v>0</v>
      </c>
      <c r="ID115" s="9" t="n">
        <f aca="false">(HY115/GV115)</f>
        <v>0.132075471698113</v>
      </c>
      <c r="IE115" s="9" t="n">
        <f aca="false">(100*ID115)</f>
        <v>13.2075471698113</v>
      </c>
      <c r="IF115" s="18" t="n">
        <v>2</v>
      </c>
      <c r="IG115" s="9" t="n">
        <v>4</v>
      </c>
      <c r="IH115" s="9" t="n">
        <v>10</v>
      </c>
      <c r="II115" s="19" t="n">
        <v>2</v>
      </c>
      <c r="IJ115" s="9" t="n">
        <v>5</v>
      </c>
      <c r="IK115" s="9" t="n">
        <f aca="false">(IG115+IH115+II115+IJ115)/4</f>
        <v>5.25</v>
      </c>
      <c r="IL115" s="9" t="n">
        <f aca="false">(IG115/GM115)</f>
        <v>0.0408163265306122</v>
      </c>
      <c r="IM115" s="9" t="n">
        <f aca="false">(IH115/GN115)</f>
        <v>0.454545454545455</v>
      </c>
      <c r="IN115" s="9" t="n">
        <f aca="false">(II115/GO115)</f>
        <v>0.037037037037037</v>
      </c>
      <c r="IO115" s="9" t="n">
        <f aca="false">(IJ115/GP115)</f>
        <v>0.0649350649350649</v>
      </c>
      <c r="IP115" s="9" t="n">
        <f aca="false">(IK115/GQ115)</f>
        <v>0.0836653386454183</v>
      </c>
      <c r="IQ115" s="9" t="n">
        <f aca="false">(100*IP115)</f>
        <v>8.36653386454183</v>
      </c>
      <c r="IR115" s="18" t="n">
        <v>1</v>
      </c>
      <c r="IS115" s="9" t="n">
        <v>60.1</v>
      </c>
      <c r="IT115" s="9" t="n">
        <v>70.5</v>
      </c>
      <c r="IU115" s="19" t="n">
        <v>64.7</v>
      </c>
      <c r="IV115" s="9" t="n">
        <v>75.7</v>
      </c>
      <c r="IW115" s="9" t="n">
        <f aca="false">(IS115+IT115+IU115+IV115)/4</f>
        <v>67.75</v>
      </c>
      <c r="IX115" s="16" t="n">
        <v>45241</v>
      </c>
      <c r="IY115" s="10" t="s">
        <v>268</v>
      </c>
    </row>
    <row r="116" customFormat="false" ht="15.75" hidden="false" customHeight="true" outlineLevel="0" collapsed="false">
      <c r="A116" s="9" t="s">
        <v>259</v>
      </c>
      <c r="B116" s="10" t="s">
        <v>535</v>
      </c>
      <c r="C116" s="10" t="s">
        <v>514</v>
      </c>
      <c r="D116" s="9" t="n">
        <v>4</v>
      </c>
      <c r="E116" s="9" t="n">
        <v>39</v>
      </c>
      <c r="F116" s="10" t="s">
        <v>536</v>
      </c>
      <c r="G116" s="11" t="s">
        <v>263</v>
      </c>
      <c r="H116" s="9" t="n">
        <v>21</v>
      </c>
      <c r="I116" s="9" t="n">
        <v>5</v>
      </c>
      <c r="J116" s="12" t="s">
        <v>264</v>
      </c>
      <c r="K116" s="23" t="s">
        <v>537</v>
      </c>
      <c r="L116" s="13" t="s">
        <v>538</v>
      </c>
      <c r="M116" s="32" t="n">
        <v>1294</v>
      </c>
      <c r="N116" s="15" t="n">
        <v>45154</v>
      </c>
      <c r="O116" s="10" t="s">
        <v>294</v>
      </c>
      <c r="P116" s="9"/>
      <c r="Q116" s="9" t="n">
        <v>36.5</v>
      </c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11" t="n">
        <f aca="false">(X116+Y116+Z116+AA116)/4</f>
        <v>0</v>
      </c>
      <c r="AC116" s="9"/>
      <c r="AD116" s="9"/>
      <c r="AE116" s="9"/>
      <c r="AF116" s="9"/>
      <c r="AG116" s="11" t="n">
        <f aca="false">(AC116+AD116+AE116+AF116)/4</f>
        <v>0</v>
      </c>
      <c r="AH116" s="9"/>
      <c r="AI116" s="9"/>
      <c r="AJ116" s="9"/>
      <c r="AK116" s="9"/>
      <c r="AL116" s="11" t="n">
        <f aca="false">(AH116+AI116+AJ116+AK116)/4</f>
        <v>0</v>
      </c>
      <c r="AM116" s="9"/>
      <c r="AN116" s="9"/>
      <c r="AO116" s="9"/>
      <c r="AP116" s="9"/>
      <c r="AQ116" s="11" t="n">
        <f aca="false">(AM116+AN116+AO116+AP116)/4</f>
        <v>0</v>
      </c>
      <c r="AR116" s="9"/>
      <c r="AS116" s="9"/>
      <c r="AT116" s="9"/>
      <c r="AU116" s="9"/>
      <c r="AV116" s="11" t="n">
        <f aca="false">(AR116+AS116+AT116+AU116)/4</f>
        <v>0</v>
      </c>
      <c r="AW116" s="9"/>
      <c r="AX116" s="9"/>
      <c r="AY116" s="9"/>
      <c r="AZ116" s="9"/>
      <c r="BA116" s="11" t="n">
        <f aca="false">(AW116+AX116+AY116+AZ116)/4</f>
        <v>0</v>
      </c>
      <c r="BB116" s="11" t="e">
        <f aca="false">(AW116/AR116)</f>
        <v>#DIV/0!</v>
      </c>
      <c r="BC116" s="11" t="e">
        <f aca="false">(AX116/AS116)</f>
        <v>#DIV/0!</v>
      </c>
      <c r="BD116" s="11" t="e">
        <f aca="false">(AY116/AT116)</f>
        <v>#DIV/0!</v>
      </c>
      <c r="BE116" s="11" t="e">
        <f aca="false">(AZ116/AU116)</f>
        <v>#DIV/0!</v>
      </c>
      <c r="BF116" s="11" t="e">
        <f aca="false">(BA116/AV116)</f>
        <v>#DIV/0!</v>
      </c>
      <c r="BG116" s="11" t="e">
        <f aca="false">(BF116*100)</f>
        <v>#DIV/0!</v>
      </c>
      <c r="BH116" s="9"/>
      <c r="BI116" s="9"/>
      <c r="BJ116" s="9"/>
      <c r="BK116" s="9"/>
      <c r="BL116" s="9"/>
      <c r="BM116" s="11" t="n">
        <f aca="false">(BI116+BJ116+BK116+BL116)/4</f>
        <v>0</v>
      </c>
      <c r="BN116" s="11" t="e">
        <f aca="false">(BI116/AR116)</f>
        <v>#DIV/0!</v>
      </c>
      <c r="BO116" s="11" t="e">
        <f aca="false">(BJ116/AS116)</f>
        <v>#DIV/0!</v>
      </c>
      <c r="BP116" s="11" t="e">
        <f aca="false">(BK116/AT116)</f>
        <v>#DIV/0!</v>
      </c>
      <c r="BQ116" s="11" t="e">
        <f aca="false">(BL116/AU116)</f>
        <v>#DIV/0!</v>
      </c>
      <c r="BR116" s="11" t="e">
        <f aca="false">(BM116/AV116)</f>
        <v>#DIV/0!</v>
      </c>
      <c r="BS116" s="11" t="e">
        <f aca="false">(100*BR116)</f>
        <v>#DIV/0!</v>
      </c>
      <c r="BT116" s="9"/>
      <c r="BU116" s="9"/>
      <c r="BV116" s="9"/>
      <c r="BW116" s="9"/>
      <c r="BX116" s="9"/>
      <c r="BY116" s="11" t="n">
        <f aca="false">(BU116+BV116+BW116+BX116)/4</f>
        <v>0</v>
      </c>
      <c r="BZ116" s="11" t="e">
        <f aca="false">(BU116/AR116)</f>
        <v>#DIV/0!</v>
      </c>
      <c r="CA116" s="11" t="e">
        <f aca="false">(BV116/AS116)</f>
        <v>#DIV/0!</v>
      </c>
      <c r="CB116" s="11" t="e">
        <f aca="false">(BW116/AT116)</f>
        <v>#DIV/0!</v>
      </c>
      <c r="CC116" s="11" t="e">
        <f aca="false">(BX116/AU116)</f>
        <v>#DIV/0!</v>
      </c>
      <c r="CD116" s="11" t="e">
        <f aca="false">(BY116/AV116)</f>
        <v>#DIV/0!</v>
      </c>
      <c r="CE116" s="11" t="e">
        <f aca="false">(100*CD116)</f>
        <v>#DIV/0!</v>
      </c>
      <c r="CF116" s="9"/>
      <c r="CG116" s="9"/>
      <c r="CH116" s="9"/>
      <c r="CI116" s="9"/>
      <c r="CJ116" s="9"/>
      <c r="CK116" s="11" t="n">
        <f aca="false">(CG116+CH116+CI116+CJ116)/4</f>
        <v>0</v>
      </c>
      <c r="CL116" s="11" t="e">
        <f aca="false">(CG116/AM116)</f>
        <v>#DIV/0!</v>
      </c>
      <c r="CM116" s="11" t="e">
        <f aca="false">(CH116/AN116)</f>
        <v>#DIV/0!</v>
      </c>
      <c r="CN116" s="11" t="e">
        <f aca="false">(CI116/AO116)</f>
        <v>#DIV/0!</v>
      </c>
      <c r="CO116" s="9" t="e">
        <f aca="false">(CJ116/AP116)</f>
        <v>#DIV/0!</v>
      </c>
      <c r="CP116" s="9" t="e">
        <f aca="false">(CK116/AQ116)</f>
        <v>#DIV/0!</v>
      </c>
      <c r="CQ116" s="9" t="e">
        <f aca="false">(100*CP116)</f>
        <v>#DIV/0!</v>
      </c>
      <c r="CR116" s="18"/>
      <c r="CS116" s="9"/>
      <c r="CT116" s="9"/>
      <c r="CU116" s="9"/>
      <c r="CV116" s="9"/>
      <c r="CW116" s="11" t="n">
        <f aca="false">(CS116+CT116+CU116+CV116)/4</f>
        <v>0</v>
      </c>
      <c r="CX116" s="9"/>
      <c r="CY116" s="9"/>
      <c r="CZ116" s="9"/>
      <c r="DA116" s="9"/>
      <c r="DB116" s="11" t="n">
        <f aca="false">(CX116+CY116+CZ116+DA116)/4</f>
        <v>0</v>
      </c>
      <c r="DC116" s="9"/>
      <c r="DD116" s="9"/>
      <c r="DE116" s="9"/>
      <c r="DF116" s="9"/>
      <c r="DG116" s="11" t="n">
        <f aca="false">(DC116+DD116+DE116+DF116)/4</f>
        <v>0</v>
      </c>
      <c r="DH116" s="9"/>
      <c r="DI116" s="9"/>
      <c r="DJ116" s="9"/>
      <c r="DK116" s="9"/>
      <c r="DL116" s="11" t="n">
        <f aca="false">(DH116+DI116+DJ116+DK116)/4</f>
        <v>0</v>
      </c>
      <c r="DM116" s="9"/>
      <c r="DN116" s="9"/>
      <c r="DO116" s="9"/>
      <c r="DP116" s="9"/>
      <c r="DQ116" s="11" t="n">
        <f aca="false">(DM116+DN116+DO116+DP116)/4</f>
        <v>0</v>
      </c>
      <c r="DR116" s="9"/>
      <c r="DS116" s="9"/>
      <c r="DT116" s="9"/>
      <c r="DU116" s="9"/>
      <c r="DV116" s="11" t="n">
        <f aca="false">(DR116+DS116+DT116+DU116)/4</f>
        <v>0</v>
      </c>
      <c r="DW116" s="9"/>
      <c r="DX116" s="9"/>
      <c r="DY116" s="9"/>
      <c r="DZ116" s="9"/>
      <c r="EA116" s="11" t="n">
        <f aca="false">(DW116+DX116+DY116+DZ116)/4</f>
        <v>0</v>
      </c>
      <c r="EB116" s="11" t="e">
        <f aca="false">(DW116/DR116)</f>
        <v>#DIV/0!</v>
      </c>
      <c r="EC116" s="11" t="e">
        <f aca="false">(DX116/DS116)</f>
        <v>#DIV/0!</v>
      </c>
      <c r="ED116" s="11" t="e">
        <f aca="false">(DY116/DT116)</f>
        <v>#DIV/0!</v>
      </c>
      <c r="EE116" s="11" t="e">
        <f aca="false">(DZ116/DU116)</f>
        <v>#DIV/0!</v>
      </c>
      <c r="EF116" s="11" t="e">
        <f aca="false">(EA116/DV116)</f>
        <v>#DIV/0!</v>
      </c>
      <c r="EG116" s="11" t="e">
        <f aca="false">(100*EF116)</f>
        <v>#DIV/0!</v>
      </c>
      <c r="EH116" s="9"/>
      <c r="EI116" s="9"/>
      <c r="EJ116" s="9"/>
      <c r="EK116" s="19"/>
      <c r="EL116" s="9"/>
      <c r="EM116" s="9" t="n">
        <f aca="false">(EI116+EJ116+EK116+EL116)/4</f>
        <v>0</v>
      </c>
      <c r="EN116" s="9" t="e">
        <f aca="false">(EI116/DR116)</f>
        <v>#DIV/0!</v>
      </c>
      <c r="EO116" s="9" t="e">
        <f aca="false">(EJ116/DS116)</f>
        <v>#DIV/0!</v>
      </c>
      <c r="EP116" s="9" t="e">
        <f aca="false">(EK116/DT116)</f>
        <v>#DIV/0!</v>
      </c>
      <c r="EQ116" s="9" t="e">
        <f aca="false">(EL116/DU116)</f>
        <v>#DIV/0!</v>
      </c>
      <c r="ER116" s="9" t="e">
        <f aca="false">EM116/DV116</f>
        <v>#DIV/0!</v>
      </c>
      <c r="ES116" s="9" t="e">
        <f aca="false">(100*ER116)</f>
        <v>#DIV/0!</v>
      </c>
      <c r="ET116" s="9"/>
      <c r="EU116" s="18"/>
      <c r="EV116" s="9"/>
      <c r="EW116" s="9"/>
      <c r="EX116" s="9"/>
      <c r="EY116" s="11" t="n">
        <f aca="false">(EU116+EV116+EW116+EX116)/4</f>
        <v>0</v>
      </c>
      <c r="EZ116" s="11" t="e">
        <f aca="false">(EU116/DR116)</f>
        <v>#DIV/0!</v>
      </c>
      <c r="FA116" s="11" t="e">
        <f aca="false">(EV116/DS116)</f>
        <v>#DIV/0!</v>
      </c>
      <c r="FB116" s="11" t="e">
        <f aca="false">(EW116/DT116)</f>
        <v>#DIV/0!</v>
      </c>
      <c r="FC116" s="11" t="e">
        <f aca="false">(EX116/DU116)</f>
        <v>#DIV/0!</v>
      </c>
      <c r="FD116" s="11" t="e">
        <f aca="false">(EY116/DV116)</f>
        <v>#DIV/0!</v>
      </c>
      <c r="FE116" s="11" t="e">
        <f aca="false">(100*FD116)</f>
        <v>#DIV/0!</v>
      </c>
      <c r="FF116" s="9"/>
      <c r="FG116" s="9"/>
      <c r="FH116" s="9"/>
      <c r="FI116" s="9"/>
      <c r="FJ116" s="9"/>
      <c r="FK116" s="11" t="n">
        <f aca="false">(FG116+FH116+FI116+FJ116)/4</f>
        <v>0</v>
      </c>
      <c r="FL116" s="11" t="e">
        <f aca="false">(FG116/DR116)</f>
        <v>#DIV/0!</v>
      </c>
      <c r="FM116" s="11" t="e">
        <f aca="false">(FH116/DS116)</f>
        <v>#DIV/0!</v>
      </c>
      <c r="FN116" s="11" t="e">
        <f aca="false">(FI116/DT116)</f>
        <v>#DIV/0!</v>
      </c>
      <c r="FO116" s="11" t="e">
        <f aca="false">(FJ116/DU116)</f>
        <v>#DIV/0!</v>
      </c>
      <c r="FP116" s="11" t="e">
        <f aca="false">(FK116/DV116)</f>
        <v>#DIV/0!</v>
      </c>
      <c r="FQ116" s="11" t="e">
        <f aca="false">(100*FP116)</f>
        <v>#DIV/0!</v>
      </c>
      <c r="FR116" s="9"/>
      <c r="FS116" s="9"/>
      <c r="FT116" s="9"/>
      <c r="FU116" s="9"/>
      <c r="FV116" s="9"/>
      <c r="FW116" s="11" t="n">
        <f aca="false">(FS116+FT116+FU116+FV116)/4</f>
        <v>0</v>
      </c>
      <c r="FX116" s="9"/>
      <c r="FY116" s="9"/>
      <c r="FZ116" s="9"/>
      <c r="GA116" s="9"/>
      <c r="GB116" s="11" t="n">
        <f aca="false">(FX116+FY116+FZ116+GA116)/4</f>
        <v>0</v>
      </c>
      <c r="GC116" s="9"/>
      <c r="GD116" s="9"/>
      <c r="GE116" s="9"/>
      <c r="GF116" s="9"/>
      <c r="GG116" s="11" t="n">
        <f aca="false">(GC116+GD116+GE116+GF116)/4</f>
        <v>0</v>
      </c>
      <c r="GH116" s="9"/>
      <c r="GI116" s="9"/>
      <c r="GJ116" s="9"/>
      <c r="GK116" s="9"/>
      <c r="GL116" s="11" t="n">
        <f aca="false">(GH116+GI116+GJ116+GK116)/4</f>
        <v>0</v>
      </c>
      <c r="GM116" s="9"/>
      <c r="GN116" s="9"/>
      <c r="GO116" s="9"/>
      <c r="GP116" s="9"/>
      <c r="GQ116" s="11" t="n">
        <f aca="false">(GM116+GN116+GO116+GP116)/4</f>
        <v>0</v>
      </c>
      <c r="GR116" s="9"/>
      <c r="GS116" s="9"/>
      <c r="GT116" s="9"/>
      <c r="GU116" s="9"/>
      <c r="GV116" s="11" t="n">
        <f aca="false">(GR116+GS116+GT116+GU116)/4</f>
        <v>0</v>
      </c>
      <c r="GW116" s="9"/>
      <c r="GX116" s="9"/>
      <c r="GY116" s="9"/>
      <c r="GZ116" s="9"/>
      <c r="HA116" s="11" t="n">
        <f aca="false">(GW116+GX116+GY116+GZ116)/4</f>
        <v>0</v>
      </c>
      <c r="HB116" s="9" t="e">
        <f aca="false">(GW116/GR116)</f>
        <v>#DIV/0!</v>
      </c>
      <c r="HC116" s="9" t="e">
        <f aca="false">(GX116/GS116)</f>
        <v>#DIV/0!</v>
      </c>
      <c r="HD116" s="9" t="e">
        <f aca="false">(GY116/GT116)</f>
        <v>#DIV/0!</v>
      </c>
      <c r="HE116" s="9" t="e">
        <f aca="false">(GZ116/GU116)/4</f>
        <v>#DIV/0!</v>
      </c>
      <c r="HF116" s="9" t="e">
        <f aca="false">(HB116+HC116+HD116+HE116)/4</f>
        <v>#DIV/0!</v>
      </c>
      <c r="HG116" s="9" t="e">
        <f aca="false">(100*HF116)</f>
        <v>#DIV/0!</v>
      </c>
      <c r="HH116" s="18"/>
      <c r="HI116" s="9"/>
      <c r="HJ116" s="9"/>
      <c r="HK116" s="9"/>
      <c r="HL116" s="19"/>
      <c r="HM116" s="9" t="n">
        <f aca="false">(HI116+HJ116+HK116+HL116)/4</f>
        <v>0</v>
      </c>
      <c r="HN116" s="9" t="e">
        <f aca="false">(HI116/GR116)</f>
        <v>#DIV/0!</v>
      </c>
      <c r="HO116" s="9" t="e">
        <f aca="false">(HJ116/GS116)</f>
        <v>#DIV/0!</v>
      </c>
      <c r="HP116" s="9" t="e">
        <f aca="false">(HK116/GT116)</f>
        <v>#DIV/0!</v>
      </c>
      <c r="HQ116" s="9" t="e">
        <f aca="false">(HL116/GU116)</f>
        <v>#DIV/0!</v>
      </c>
      <c r="HR116" s="9" t="e">
        <f aca="false">(HM116/GV116)</f>
        <v>#DIV/0!</v>
      </c>
      <c r="HS116" s="9" t="e">
        <f aca="false">(100*HR116)</f>
        <v>#DIV/0!</v>
      </c>
      <c r="HT116" s="18"/>
      <c r="HU116" s="9"/>
      <c r="HV116" s="9"/>
      <c r="HW116" s="9"/>
      <c r="HX116" s="19"/>
      <c r="HY116" s="9" t="n">
        <f aca="false">(HU116+HV116+HW116+HX116)/4</f>
        <v>0</v>
      </c>
      <c r="HZ116" s="9" t="e">
        <f aca="false">(HU116/GR116)</f>
        <v>#DIV/0!</v>
      </c>
      <c r="IA116" s="9" t="e">
        <f aca="false">HV116/GS116</f>
        <v>#DIV/0!</v>
      </c>
      <c r="IB116" s="9" t="e">
        <f aca="false">(HW116/GT116)</f>
        <v>#DIV/0!</v>
      </c>
      <c r="IC116" s="9" t="e">
        <f aca="false">(HX116/GU116)</f>
        <v>#DIV/0!</v>
      </c>
      <c r="ID116" s="9" t="e">
        <f aca="false">(HY116/GV116)</f>
        <v>#DIV/0!</v>
      </c>
      <c r="IE116" s="9" t="e">
        <f aca="false">(100*ID116)</f>
        <v>#DIV/0!</v>
      </c>
      <c r="IF116" s="18"/>
      <c r="IG116" s="9"/>
      <c r="IH116" s="9"/>
      <c r="II116" s="19"/>
      <c r="IJ116" s="9"/>
      <c r="IK116" s="9" t="n">
        <f aca="false">(IG116+IH116+II116+IJ116)/4</f>
        <v>0</v>
      </c>
      <c r="IL116" s="9" t="e">
        <f aca="false">(IG116/GM116)</f>
        <v>#DIV/0!</v>
      </c>
      <c r="IM116" s="9" t="e">
        <f aca="false">(IH116/GN116)</f>
        <v>#DIV/0!</v>
      </c>
      <c r="IN116" s="9" t="e">
        <f aca="false">(II116/GO116)</f>
        <v>#DIV/0!</v>
      </c>
      <c r="IO116" s="9" t="e">
        <f aca="false">(IJ116/GP116)</f>
        <v>#DIV/0!</v>
      </c>
      <c r="IP116" s="9" t="e">
        <f aca="false">(IK116/GQ116)</f>
        <v>#DIV/0!</v>
      </c>
      <c r="IQ116" s="9" t="e">
        <f aca="false">(100*IP116)</f>
        <v>#DIV/0!</v>
      </c>
      <c r="IR116" s="18"/>
      <c r="IS116" s="9"/>
      <c r="IT116" s="9"/>
      <c r="IU116" s="19"/>
      <c r="IV116" s="9"/>
      <c r="IW116" s="9" t="n">
        <f aca="false">(IS116+IT116+IU116+IV116)/4</f>
        <v>0</v>
      </c>
      <c r="IX116" s="9"/>
      <c r="IY116" s="9"/>
    </row>
    <row r="117" customFormat="false" ht="15.75" hidden="false" customHeight="true" outlineLevel="0" collapsed="false">
      <c r="A117" s="9" t="s">
        <v>259</v>
      </c>
      <c r="B117" s="10" t="s">
        <v>535</v>
      </c>
      <c r="C117" s="10" t="s">
        <v>514</v>
      </c>
      <c r="D117" s="9" t="n">
        <v>4</v>
      </c>
      <c r="E117" s="9" t="n">
        <v>39</v>
      </c>
      <c r="F117" s="10" t="s">
        <v>539</v>
      </c>
      <c r="G117" s="11" t="s">
        <v>263</v>
      </c>
      <c r="H117" s="9" t="n">
        <v>21</v>
      </c>
      <c r="I117" s="9" t="n">
        <v>10</v>
      </c>
      <c r="J117" s="12" t="s">
        <v>270</v>
      </c>
      <c r="K117" s="20"/>
      <c r="L117" s="20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11" t="n">
        <f aca="false">(X117+Y117+Z117+AA117)/4</f>
        <v>0</v>
      </c>
      <c r="AC117" s="9"/>
      <c r="AD117" s="9"/>
      <c r="AE117" s="9"/>
      <c r="AF117" s="9"/>
      <c r="AG117" s="11" t="n">
        <f aca="false">(AC117+AD117+AE117+AF117)/4</f>
        <v>0</v>
      </c>
      <c r="AH117" s="9"/>
      <c r="AI117" s="9"/>
      <c r="AJ117" s="9"/>
      <c r="AK117" s="9"/>
      <c r="AL117" s="11" t="n">
        <f aca="false">(AH117+AI117+AJ117+AK117)/4</f>
        <v>0</v>
      </c>
      <c r="AM117" s="9"/>
      <c r="AN117" s="9"/>
      <c r="AO117" s="9"/>
      <c r="AP117" s="9"/>
      <c r="AQ117" s="11" t="n">
        <f aca="false">(AM117+AN117+AO117+AP117)/4</f>
        <v>0</v>
      </c>
      <c r="AR117" s="9"/>
      <c r="AS117" s="9"/>
      <c r="AT117" s="9"/>
      <c r="AU117" s="9"/>
      <c r="AV117" s="11" t="n">
        <f aca="false">(AR117+AS117+AT117+AU117)/4</f>
        <v>0</v>
      </c>
      <c r="AW117" s="9"/>
      <c r="AX117" s="9"/>
      <c r="AY117" s="9"/>
      <c r="AZ117" s="9"/>
      <c r="BA117" s="11" t="n">
        <f aca="false">(AW117+AX117+AY117+AZ117)/4</f>
        <v>0</v>
      </c>
      <c r="BB117" s="11" t="e">
        <f aca="false">(AW117/AR117)</f>
        <v>#DIV/0!</v>
      </c>
      <c r="BC117" s="11" t="e">
        <f aca="false">(AX117/AS117)</f>
        <v>#DIV/0!</v>
      </c>
      <c r="BD117" s="11" t="e">
        <f aca="false">(AY117/AT117)</f>
        <v>#DIV/0!</v>
      </c>
      <c r="BE117" s="11" t="e">
        <f aca="false">(AZ117/AU117)</f>
        <v>#DIV/0!</v>
      </c>
      <c r="BF117" s="11" t="e">
        <f aca="false">(BA117/AV117)</f>
        <v>#DIV/0!</v>
      </c>
      <c r="BG117" s="11" t="e">
        <f aca="false">(BF117*100)</f>
        <v>#DIV/0!</v>
      </c>
      <c r="BH117" s="9"/>
      <c r="BI117" s="9"/>
      <c r="BJ117" s="9"/>
      <c r="BK117" s="9"/>
      <c r="BL117" s="9"/>
      <c r="BM117" s="11" t="n">
        <f aca="false">(BI117+BJ117+BK117+BL117)/4</f>
        <v>0</v>
      </c>
      <c r="BN117" s="11" t="e">
        <f aca="false">(BI117/AR117)</f>
        <v>#DIV/0!</v>
      </c>
      <c r="BO117" s="11" t="e">
        <f aca="false">(BJ117/AS117)</f>
        <v>#DIV/0!</v>
      </c>
      <c r="BP117" s="11" t="e">
        <f aca="false">(BK117/AT117)</f>
        <v>#DIV/0!</v>
      </c>
      <c r="BQ117" s="11" t="e">
        <f aca="false">(BL117/AU117)</f>
        <v>#DIV/0!</v>
      </c>
      <c r="BR117" s="11" t="e">
        <f aca="false">(BM117/AV117)</f>
        <v>#DIV/0!</v>
      </c>
      <c r="BS117" s="11" t="e">
        <f aca="false">(100*BR117)</f>
        <v>#DIV/0!</v>
      </c>
      <c r="BT117" s="9"/>
      <c r="BU117" s="9"/>
      <c r="BV117" s="9"/>
      <c r="BW117" s="9"/>
      <c r="BX117" s="9"/>
      <c r="BY117" s="11" t="n">
        <f aca="false">(BU117+BV117+BW117+BX117)/4</f>
        <v>0</v>
      </c>
      <c r="BZ117" s="11" t="e">
        <f aca="false">(BU117/AR117)</f>
        <v>#DIV/0!</v>
      </c>
      <c r="CA117" s="11" t="e">
        <f aca="false">(BV117/AS117)</f>
        <v>#DIV/0!</v>
      </c>
      <c r="CB117" s="11" t="e">
        <f aca="false">(BW117/AT117)</f>
        <v>#DIV/0!</v>
      </c>
      <c r="CC117" s="11" t="e">
        <f aca="false">(BX117/AU117)</f>
        <v>#DIV/0!</v>
      </c>
      <c r="CD117" s="11" t="e">
        <f aca="false">(BY117/AV117)</f>
        <v>#DIV/0!</v>
      </c>
      <c r="CE117" s="11" t="e">
        <f aca="false">(100*CD117)</f>
        <v>#DIV/0!</v>
      </c>
      <c r="CF117" s="9"/>
      <c r="CG117" s="9"/>
      <c r="CH117" s="9"/>
      <c r="CI117" s="9"/>
      <c r="CJ117" s="9"/>
      <c r="CK117" s="11" t="n">
        <f aca="false">(CG117+CH117+CI117+CJ117)/4</f>
        <v>0</v>
      </c>
      <c r="CL117" s="11" t="e">
        <f aca="false">(CG117/AM117)</f>
        <v>#DIV/0!</v>
      </c>
      <c r="CM117" s="11" t="e">
        <f aca="false">(CH117/AN117)</f>
        <v>#DIV/0!</v>
      </c>
      <c r="CN117" s="11" t="e">
        <f aca="false">(CI117/AO117)</f>
        <v>#DIV/0!</v>
      </c>
      <c r="CO117" s="9" t="e">
        <f aca="false">(CJ117/AP117)</f>
        <v>#DIV/0!</v>
      </c>
      <c r="CP117" s="9" t="e">
        <f aca="false">(CK117/AQ117)</f>
        <v>#DIV/0!</v>
      </c>
      <c r="CQ117" s="9" t="e">
        <f aca="false">(100*CP117)</f>
        <v>#DIV/0!</v>
      </c>
      <c r="CR117" s="18"/>
      <c r="CS117" s="9"/>
      <c r="CT117" s="9"/>
      <c r="CU117" s="9"/>
      <c r="CV117" s="9"/>
      <c r="CW117" s="11" t="n">
        <f aca="false">(CS117+CT117+CU117+CV117)/4</f>
        <v>0</v>
      </c>
      <c r="CX117" s="9"/>
      <c r="CY117" s="9"/>
      <c r="CZ117" s="9"/>
      <c r="DA117" s="9"/>
      <c r="DB117" s="11" t="n">
        <f aca="false">(CX117+CY117+CZ117+DA117)/4</f>
        <v>0</v>
      </c>
      <c r="DC117" s="9"/>
      <c r="DD117" s="9"/>
      <c r="DE117" s="9"/>
      <c r="DF117" s="9"/>
      <c r="DG117" s="11" t="n">
        <f aca="false">(DC117+DD117+DE117+DF117)/4</f>
        <v>0</v>
      </c>
      <c r="DH117" s="9"/>
      <c r="DI117" s="9"/>
      <c r="DJ117" s="9"/>
      <c r="DK117" s="9"/>
      <c r="DL117" s="11" t="n">
        <f aca="false">(DH117+DI117+DJ117+DK117)/4</f>
        <v>0</v>
      </c>
      <c r="DM117" s="9"/>
      <c r="DN117" s="9"/>
      <c r="DO117" s="9"/>
      <c r="DP117" s="9"/>
      <c r="DQ117" s="11" t="n">
        <f aca="false">(DM117+DN117+DO117+DP117)/4</f>
        <v>0</v>
      </c>
      <c r="DR117" s="9"/>
      <c r="DS117" s="9"/>
      <c r="DT117" s="9"/>
      <c r="DU117" s="9"/>
      <c r="DV117" s="11" t="n">
        <f aca="false">(DR117+DS117+DT117+DU117)/4</f>
        <v>0</v>
      </c>
      <c r="DW117" s="9"/>
      <c r="DX117" s="9"/>
      <c r="DY117" s="9"/>
      <c r="DZ117" s="9"/>
      <c r="EA117" s="11" t="n">
        <f aca="false">(DW117+DX117+DY117+DZ117)/4</f>
        <v>0</v>
      </c>
      <c r="EB117" s="11" t="e">
        <f aca="false">(DW117/DR117)</f>
        <v>#DIV/0!</v>
      </c>
      <c r="EC117" s="11" t="e">
        <f aca="false">(DX117/DS117)</f>
        <v>#DIV/0!</v>
      </c>
      <c r="ED117" s="11" t="e">
        <f aca="false">(DY117/DT117)</f>
        <v>#DIV/0!</v>
      </c>
      <c r="EE117" s="11" t="e">
        <f aca="false">(DZ117/DU117)</f>
        <v>#DIV/0!</v>
      </c>
      <c r="EF117" s="11" t="e">
        <f aca="false">(EA117/DV117)</f>
        <v>#DIV/0!</v>
      </c>
      <c r="EG117" s="11" t="e">
        <f aca="false">(100*EF117)</f>
        <v>#DIV/0!</v>
      </c>
      <c r="EH117" s="9"/>
      <c r="EI117" s="9"/>
      <c r="EJ117" s="9"/>
      <c r="EK117" s="19"/>
      <c r="EL117" s="9"/>
      <c r="EM117" s="9" t="n">
        <f aca="false">(EI117+EJ117+EK117+EL117)/4</f>
        <v>0</v>
      </c>
      <c r="EN117" s="9" t="e">
        <f aca="false">(EI117/DR117)</f>
        <v>#DIV/0!</v>
      </c>
      <c r="EO117" s="9" t="e">
        <f aca="false">(EJ117/DS117)</f>
        <v>#DIV/0!</v>
      </c>
      <c r="EP117" s="9" t="e">
        <f aca="false">(EK117/DT117)</f>
        <v>#DIV/0!</v>
      </c>
      <c r="EQ117" s="9" t="e">
        <f aca="false">(EL117/DU117)</f>
        <v>#DIV/0!</v>
      </c>
      <c r="ER117" s="9" t="e">
        <f aca="false">EM117/DV117</f>
        <v>#DIV/0!</v>
      </c>
      <c r="ES117" s="9" t="e">
        <f aca="false">(100*ER117)</f>
        <v>#DIV/0!</v>
      </c>
      <c r="ET117" s="9"/>
      <c r="EU117" s="18"/>
      <c r="EV117" s="9"/>
      <c r="EW117" s="9"/>
      <c r="EX117" s="9"/>
      <c r="EY117" s="11" t="n">
        <f aca="false">(EU117+EV117+EW117+EX117)/4</f>
        <v>0</v>
      </c>
      <c r="EZ117" s="11" t="e">
        <f aca="false">(EU117/DR117)</f>
        <v>#DIV/0!</v>
      </c>
      <c r="FA117" s="11" t="e">
        <f aca="false">(EV117/DS117)</f>
        <v>#DIV/0!</v>
      </c>
      <c r="FB117" s="11" t="e">
        <f aca="false">(EW117/DT117)</f>
        <v>#DIV/0!</v>
      </c>
      <c r="FC117" s="11" t="e">
        <f aca="false">(EX117/DU117)</f>
        <v>#DIV/0!</v>
      </c>
      <c r="FD117" s="11" t="e">
        <f aca="false">(EY117/DV117)</f>
        <v>#DIV/0!</v>
      </c>
      <c r="FE117" s="11" t="e">
        <f aca="false">(100*FD117)</f>
        <v>#DIV/0!</v>
      </c>
      <c r="FF117" s="9"/>
      <c r="FG117" s="9"/>
      <c r="FH117" s="9"/>
      <c r="FI117" s="9"/>
      <c r="FJ117" s="9"/>
      <c r="FK117" s="11" t="n">
        <f aca="false">(FG117+FH117+FI117+FJ117)/4</f>
        <v>0</v>
      </c>
      <c r="FL117" s="11" t="e">
        <f aca="false">(FG117/DR117)</f>
        <v>#DIV/0!</v>
      </c>
      <c r="FM117" s="11" t="e">
        <f aca="false">(FH117/DS117)</f>
        <v>#DIV/0!</v>
      </c>
      <c r="FN117" s="11" t="e">
        <f aca="false">(FI117/DT117)</f>
        <v>#DIV/0!</v>
      </c>
      <c r="FO117" s="11" t="e">
        <f aca="false">(FJ117/DU117)</f>
        <v>#DIV/0!</v>
      </c>
      <c r="FP117" s="11" t="e">
        <f aca="false">(FK117/DV117)</f>
        <v>#DIV/0!</v>
      </c>
      <c r="FQ117" s="11" t="e">
        <f aca="false">(100*FP117)</f>
        <v>#DIV/0!</v>
      </c>
      <c r="FR117" s="9"/>
      <c r="FS117" s="9"/>
      <c r="FT117" s="9"/>
      <c r="FU117" s="9"/>
      <c r="FV117" s="9"/>
      <c r="FW117" s="11" t="n">
        <f aca="false">(FS117+FT117+FU117+FV117)/4</f>
        <v>0</v>
      </c>
      <c r="FX117" s="9"/>
      <c r="FY117" s="9"/>
      <c r="FZ117" s="9"/>
      <c r="GA117" s="9"/>
      <c r="GB117" s="11" t="n">
        <f aca="false">(FX117+FY117+FZ117+GA117)/4</f>
        <v>0</v>
      </c>
      <c r="GC117" s="9"/>
      <c r="GD117" s="9"/>
      <c r="GE117" s="9"/>
      <c r="GF117" s="9"/>
      <c r="GG117" s="11" t="n">
        <f aca="false">(GC117+GD117+GE117+GF117)/4</f>
        <v>0</v>
      </c>
      <c r="GH117" s="9"/>
      <c r="GI117" s="9"/>
      <c r="GJ117" s="9"/>
      <c r="GK117" s="9"/>
      <c r="GL117" s="11" t="n">
        <f aca="false">(GH117+GI117+GJ117+GK117)/4</f>
        <v>0</v>
      </c>
      <c r="GM117" s="9"/>
      <c r="GN117" s="9"/>
      <c r="GO117" s="9"/>
      <c r="GP117" s="9"/>
      <c r="GQ117" s="11" t="n">
        <f aca="false">(GM117+GN117+GO117+GP117)/4</f>
        <v>0</v>
      </c>
      <c r="GR117" s="9"/>
      <c r="GS117" s="9"/>
      <c r="GT117" s="9"/>
      <c r="GU117" s="9"/>
      <c r="GV117" s="11" t="n">
        <f aca="false">(GR117+GS117+GT117+GU117)/4</f>
        <v>0</v>
      </c>
      <c r="GW117" s="9"/>
      <c r="GX117" s="9"/>
      <c r="GY117" s="9"/>
      <c r="GZ117" s="9"/>
      <c r="HA117" s="11" t="n">
        <f aca="false">(GW117+GX117+GY117+GZ117)/4</f>
        <v>0</v>
      </c>
      <c r="HB117" s="9" t="e">
        <f aca="false">(GW117/GR117)</f>
        <v>#DIV/0!</v>
      </c>
      <c r="HC117" s="9" t="e">
        <f aca="false">(GX117/GS117)</f>
        <v>#DIV/0!</v>
      </c>
      <c r="HD117" s="9" t="e">
        <f aca="false">(GY117/GT117)</f>
        <v>#DIV/0!</v>
      </c>
      <c r="HE117" s="9" t="e">
        <f aca="false">(GZ117/GU117)/4</f>
        <v>#DIV/0!</v>
      </c>
      <c r="HF117" s="9" t="e">
        <f aca="false">(HB117+HC117+HD117+HE117)/4</f>
        <v>#DIV/0!</v>
      </c>
      <c r="HG117" s="9" t="e">
        <f aca="false">(100*HF117)</f>
        <v>#DIV/0!</v>
      </c>
      <c r="HH117" s="18"/>
      <c r="HI117" s="9"/>
      <c r="HJ117" s="9"/>
      <c r="HK117" s="9"/>
      <c r="HL117" s="19"/>
      <c r="HM117" s="9" t="n">
        <f aca="false">(HI117+HJ117+HK117+HL117)/4</f>
        <v>0</v>
      </c>
      <c r="HN117" s="9" t="e">
        <f aca="false">(HI117/GR117)</f>
        <v>#DIV/0!</v>
      </c>
      <c r="HO117" s="9" t="e">
        <f aca="false">(HJ117/GS117)</f>
        <v>#DIV/0!</v>
      </c>
      <c r="HP117" s="9" t="e">
        <f aca="false">(HK117/GT117)</f>
        <v>#DIV/0!</v>
      </c>
      <c r="HQ117" s="9" t="e">
        <f aca="false">(HL117/GU117)</f>
        <v>#DIV/0!</v>
      </c>
      <c r="HR117" s="9" t="e">
        <f aca="false">(HM117/GV117)</f>
        <v>#DIV/0!</v>
      </c>
      <c r="HS117" s="9" t="e">
        <f aca="false">(100*HR117)</f>
        <v>#DIV/0!</v>
      </c>
      <c r="HT117" s="18"/>
      <c r="HU117" s="9"/>
      <c r="HV117" s="9"/>
      <c r="HW117" s="9"/>
      <c r="HX117" s="19"/>
      <c r="HY117" s="9" t="n">
        <f aca="false">(HU117+HV117+HW117+HX117)/4</f>
        <v>0</v>
      </c>
      <c r="HZ117" s="9" t="e">
        <f aca="false">(HU117/GR117)</f>
        <v>#DIV/0!</v>
      </c>
      <c r="IA117" s="9" t="e">
        <f aca="false">HV117/GS117</f>
        <v>#DIV/0!</v>
      </c>
      <c r="IB117" s="9" t="e">
        <f aca="false">(HW117/GT117)</f>
        <v>#DIV/0!</v>
      </c>
      <c r="IC117" s="9" t="e">
        <f aca="false">(HX117/GU117)</f>
        <v>#DIV/0!</v>
      </c>
      <c r="ID117" s="9" t="e">
        <f aca="false">(HY117/GV117)</f>
        <v>#DIV/0!</v>
      </c>
      <c r="IE117" s="9" t="e">
        <f aca="false">(100*ID117)</f>
        <v>#DIV/0!</v>
      </c>
      <c r="IF117" s="18"/>
      <c r="IG117" s="9"/>
      <c r="IH117" s="9"/>
      <c r="II117" s="19"/>
      <c r="IJ117" s="9"/>
      <c r="IK117" s="9" t="n">
        <f aca="false">(IG117+IH117+II117+IJ117)/4</f>
        <v>0</v>
      </c>
      <c r="IL117" s="9" t="e">
        <f aca="false">(IG117/GM117)</f>
        <v>#DIV/0!</v>
      </c>
      <c r="IM117" s="9" t="e">
        <f aca="false">(IH117/GN117)</f>
        <v>#DIV/0!</v>
      </c>
      <c r="IN117" s="9" t="e">
        <f aca="false">(II117/GO117)</f>
        <v>#DIV/0!</v>
      </c>
      <c r="IO117" s="9" t="e">
        <f aca="false">(IJ117/GP117)</f>
        <v>#DIV/0!</v>
      </c>
      <c r="IP117" s="9" t="e">
        <f aca="false">(IK117/GQ117)</f>
        <v>#DIV/0!</v>
      </c>
      <c r="IQ117" s="9" t="e">
        <f aca="false">(100*IP117)</f>
        <v>#DIV/0!</v>
      </c>
      <c r="IR117" s="18"/>
      <c r="IS117" s="9"/>
      <c r="IT117" s="9"/>
      <c r="IU117" s="19"/>
      <c r="IV117" s="9"/>
      <c r="IW117" s="9" t="n">
        <f aca="false">(IS117+IT117+IU117+IV117)/4</f>
        <v>0</v>
      </c>
      <c r="IX117" s="9"/>
      <c r="IY117" s="9"/>
    </row>
    <row r="118" customFormat="false" ht="15.75" hidden="false" customHeight="true" outlineLevel="0" collapsed="false">
      <c r="A118" s="9" t="s">
        <v>259</v>
      </c>
      <c r="B118" s="10" t="s">
        <v>535</v>
      </c>
      <c r="C118" s="10" t="s">
        <v>514</v>
      </c>
      <c r="D118" s="9" t="n">
        <v>4</v>
      </c>
      <c r="E118" s="9" t="n">
        <v>39</v>
      </c>
      <c r="F118" s="10" t="s">
        <v>540</v>
      </c>
      <c r="G118" s="11" t="s">
        <v>263</v>
      </c>
      <c r="H118" s="9" t="n">
        <v>21</v>
      </c>
      <c r="I118" s="9" t="n">
        <v>21</v>
      </c>
      <c r="J118" s="10" t="s">
        <v>272</v>
      </c>
      <c r="K118" s="20"/>
      <c r="L118" s="20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11" t="n">
        <f aca="false">(X118+Y118+Z118+AA118)/4</f>
        <v>0</v>
      </c>
      <c r="AC118" s="9"/>
      <c r="AD118" s="9"/>
      <c r="AE118" s="9"/>
      <c r="AF118" s="9"/>
      <c r="AG118" s="11" t="n">
        <f aca="false">(AC118+AD118+AE118+AF118)/4</f>
        <v>0</v>
      </c>
      <c r="AH118" s="9"/>
      <c r="AI118" s="9"/>
      <c r="AJ118" s="9"/>
      <c r="AK118" s="9"/>
      <c r="AL118" s="11" t="n">
        <f aca="false">(AH118+AI118+AJ118+AK118)/4</f>
        <v>0</v>
      </c>
      <c r="AM118" s="9"/>
      <c r="AN118" s="9"/>
      <c r="AO118" s="9"/>
      <c r="AP118" s="9"/>
      <c r="AQ118" s="11" t="n">
        <f aca="false">(AM118+AN118+AO118+AP118)/4</f>
        <v>0</v>
      </c>
      <c r="AR118" s="9"/>
      <c r="AS118" s="9"/>
      <c r="AT118" s="9"/>
      <c r="AU118" s="9"/>
      <c r="AV118" s="11" t="n">
        <f aca="false">(AR118+AS118+AT118+AU118)/4</f>
        <v>0</v>
      </c>
      <c r="AW118" s="9"/>
      <c r="AX118" s="9"/>
      <c r="AY118" s="9"/>
      <c r="AZ118" s="9"/>
      <c r="BA118" s="11" t="n">
        <f aca="false">(AW118+AX118+AY118+AZ118)/4</f>
        <v>0</v>
      </c>
      <c r="BB118" s="11" t="e">
        <f aca="false">(AW118/AR118)</f>
        <v>#DIV/0!</v>
      </c>
      <c r="BC118" s="11" t="e">
        <f aca="false">(AX118/AS118)</f>
        <v>#DIV/0!</v>
      </c>
      <c r="BD118" s="11" t="e">
        <f aca="false">(AY118/AT118)</f>
        <v>#DIV/0!</v>
      </c>
      <c r="BE118" s="11" t="e">
        <f aca="false">(AZ118/AU118)</f>
        <v>#DIV/0!</v>
      </c>
      <c r="BF118" s="11" t="e">
        <f aca="false">(BA118/AV118)</f>
        <v>#DIV/0!</v>
      </c>
      <c r="BG118" s="11" t="e">
        <f aca="false">(BF118*100)</f>
        <v>#DIV/0!</v>
      </c>
      <c r="BH118" s="9"/>
      <c r="BI118" s="9"/>
      <c r="BJ118" s="9"/>
      <c r="BK118" s="9"/>
      <c r="BL118" s="9"/>
      <c r="BM118" s="11" t="n">
        <f aca="false">(BI118+BJ118+BK118+BL118)/4</f>
        <v>0</v>
      </c>
      <c r="BN118" s="11" t="e">
        <f aca="false">(BI118/AR118)</f>
        <v>#DIV/0!</v>
      </c>
      <c r="BO118" s="11" t="e">
        <f aca="false">(BJ118/AS118)</f>
        <v>#DIV/0!</v>
      </c>
      <c r="BP118" s="11" t="e">
        <f aca="false">(BK118/AT118)</f>
        <v>#DIV/0!</v>
      </c>
      <c r="BQ118" s="11" t="e">
        <f aca="false">(BL118/AU118)</f>
        <v>#DIV/0!</v>
      </c>
      <c r="BR118" s="11" t="e">
        <f aca="false">(BM118/AV118)</f>
        <v>#DIV/0!</v>
      </c>
      <c r="BS118" s="11" t="e">
        <f aca="false">(100*BR118)</f>
        <v>#DIV/0!</v>
      </c>
      <c r="BT118" s="9"/>
      <c r="BU118" s="9"/>
      <c r="BV118" s="9"/>
      <c r="BW118" s="9"/>
      <c r="BX118" s="9"/>
      <c r="BY118" s="11" t="n">
        <f aca="false">(BU118+BV118+BW118+BX118)/4</f>
        <v>0</v>
      </c>
      <c r="BZ118" s="11" t="e">
        <f aca="false">(BU118/AR118)</f>
        <v>#DIV/0!</v>
      </c>
      <c r="CA118" s="11" t="e">
        <f aca="false">(BV118/AS118)</f>
        <v>#DIV/0!</v>
      </c>
      <c r="CB118" s="11" t="e">
        <f aca="false">(BW118/AT118)</f>
        <v>#DIV/0!</v>
      </c>
      <c r="CC118" s="11" t="e">
        <f aca="false">(BX118/AU118)</f>
        <v>#DIV/0!</v>
      </c>
      <c r="CD118" s="11" t="e">
        <f aca="false">(BY118/AV118)</f>
        <v>#DIV/0!</v>
      </c>
      <c r="CE118" s="11" t="e">
        <f aca="false">(100*CD118)</f>
        <v>#DIV/0!</v>
      </c>
      <c r="CF118" s="9"/>
      <c r="CG118" s="9"/>
      <c r="CH118" s="9"/>
      <c r="CI118" s="9"/>
      <c r="CJ118" s="9"/>
      <c r="CK118" s="11" t="n">
        <f aca="false">(CG118+CH118+CI118+CJ118)/4</f>
        <v>0</v>
      </c>
      <c r="CL118" s="11" t="e">
        <f aca="false">(CG118/AM118)</f>
        <v>#DIV/0!</v>
      </c>
      <c r="CM118" s="11" t="e">
        <f aca="false">(CH118/AN118)</f>
        <v>#DIV/0!</v>
      </c>
      <c r="CN118" s="11" t="e">
        <f aca="false">(CI118/AO118)</f>
        <v>#DIV/0!</v>
      </c>
      <c r="CO118" s="9" t="e">
        <f aca="false">(CJ118/AP118)</f>
        <v>#DIV/0!</v>
      </c>
      <c r="CP118" s="9" t="e">
        <f aca="false">(CK118/AQ118)</f>
        <v>#DIV/0!</v>
      </c>
      <c r="CQ118" s="9" t="e">
        <f aca="false">(100*CP118)</f>
        <v>#DIV/0!</v>
      </c>
      <c r="CR118" s="18"/>
      <c r="CS118" s="9"/>
      <c r="CT118" s="9"/>
      <c r="CU118" s="9"/>
      <c r="CV118" s="9"/>
      <c r="CW118" s="11" t="n">
        <f aca="false">(CS118+CT118+CU118+CV118)/4</f>
        <v>0</v>
      </c>
      <c r="CX118" s="9"/>
      <c r="CY118" s="9"/>
      <c r="CZ118" s="9"/>
      <c r="DA118" s="9"/>
      <c r="DB118" s="11" t="n">
        <f aca="false">(CX118+CY118+CZ118+DA118)/4</f>
        <v>0</v>
      </c>
      <c r="DC118" s="9"/>
      <c r="DD118" s="9"/>
      <c r="DE118" s="9"/>
      <c r="DF118" s="9"/>
      <c r="DG118" s="11" t="n">
        <f aca="false">(DC118+DD118+DE118+DF118)/4</f>
        <v>0</v>
      </c>
      <c r="DH118" s="9"/>
      <c r="DI118" s="9"/>
      <c r="DJ118" s="9"/>
      <c r="DK118" s="9"/>
      <c r="DL118" s="11" t="n">
        <f aca="false">(DH118+DI118+DJ118+DK118)/4</f>
        <v>0</v>
      </c>
      <c r="DM118" s="9"/>
      <c r="DN118" s="9"/>
      <c r="DO118" s="9"/>
      <c r="DP118" s="9"/>
      <c r="DQ118" s="11" t="n">
        <f aca="false">(DM118+DN118+DO118+DP118)/4</f>
        <v>0</v>
      </c>
      <c r="DR118" s="9"/>
      <c r="DS118" s="9"/>
      <c r="DT118" s="9"/>
      <c r="DU118" s="9"/>
      <c r="DV118" s="11" t="n">
        <f aca="false">(DR118+DS118+DT118+DU118)/4</f>
        <v>0</v>
      </c>
      <c r="DW118" s="9"/>
      <c r="DX118" s="9"/>
      <c r="DY118" s="9"/>
      <c r="DZ118" s="9"/>
      <c r="EA118" s="11" t="n">
        <f aca="false">(DW118+DX118+DY118+DZ118)/4</f>
        <v>0</v>
      </c>
      <c r="EB118" s="11" t="e">
        <f aca="false">(DW118/DR118)</f>
        <v>#DIV/0!</v>
      </c>
      <c r="EC118" s="11" t="e">
        <f aca="false">(DX118/DS118)</f>
        <v>#DIV/0!</v>
      </c>
      <c r="ED118" s="11" t="e">
        <f aca="false">(DY118/DT118)</f>
        <v>#DIV/0!</v>
      </c>
      <c r="EE118" s="11" t="e">
        <f aca="false">(DZ118/DU118)</f>
        <v>#DIV/0!</v>
      </c>
      <c r="EF118" s="11" t="e">
        <f aca="false">(EA118/DV118)</f>
        <v>#DIV/0!</v>
      </c>
      <c r="EG118" s="11" t="e">
        <f aca="false">(100*EF118)</f>
        <v>#DIV/0!</v>
      </c>
      <c r="EH118" s="9"/>
      <c r="EI118" s="9"/>
      <c r="EJ118" s="9"/>
      <c r="EK118" s="19"/>
      <c r="EL118" s="9"/>
      <c r="EM118" s="9" t="n">
        <f aca="false">(EI118+EJ118+EK118+EL118)/4</f>
        <v>0</v>
      </c>
      <c r="EN118" s="9" t="e">
        <f aca="false">(EI118/DR118)</f>
        <v>#DIV/0!</v>
      </c>
      <c r="EO118" s="9" t="e">
        <f aca="false">(EJ118/DS118)</f>
        <v>#DIV/0!</v>
      </c>
      <c r="EP118" s="9" t="e">
        <f aca="false">(EK118/DT118)</f>
        <v>#DIV/0!</v>
      </c>
      <c r="EQ118" s="9" t="e">
        <f aca="false">(EL118/DU118)</f>
        <v>#DIV/0!</v>
      </c>
      <c r="ER118" s="9" t="e">
        <f aca="false">EM118/DV118</f>
        <v>#DIV/0!</v>
      </c>
      <c r="ES118" s="9" t="e">
        <f aca="false">(100*ER118)</f>
        <v>#DIV/0!</v>
      </c>
      <c r="ET118" s="9"/>
      <c r="EU118" s="18"/>
      <c r="EV118" s="9"/>
      <c r="EW118" s="9"/>
      <c r="EX118" s="9"/>
      <c r="EY118" s="11" t="n">
        <f aca="false">(EU118+EV118+EW118+EX118)/4</f>
        <v>0</v>
      </c>
      <c r="EZ118" s="11" t="e">
        <f aca="false">(EU118/DR118)</f>
        <v>#DIV/0!</v>
      </c>
      <c r="FA118" s="11" t="e">
        <f aca="false">(EV118/DS118)</f>
        <v>#DIV/0!</v>
      </c>
      <c r="FB118" s="11" t="e">
        <f aca="false">(EW118/DT118)</f>
        <v>#DIV/0!</v>
      </c>
      <c r="FC118" s="11" t="e">
        <f aca="false">(EX118/DU118)</f>
        <v>#DIV/0!</v>
      </c>
      <c r="FD118" s="11" t="e">
        <f aca="false">(EY118/DV118)</f>
        <v>#DIV/0!</v>
      </c>
      <c r="FE118" s="11" t="e">
        <f aca="false">(100*FD118)</f>
        <v>#DIV/0!</v>
      </c>
      <c r="FF118" s="9"/>
      <c r="FG118" s="9"/>
      <c r="FH118" s="9"/>
      <c r="FI118" s="9"/>
      <c r="FJ118" s="9"/>
      <c r="FK118" s="11" t="n">
        <f aca="false">(FG118+FH118+FI118+FJ118)/4</f>
        <v>0</v>
      </c>
      <c r="FL118" s="11" t="e">
        <f aca="false">(FG118/DR118)</f>
        <v>#DIV/0!</v>
      </c>
      <c r="FM118" s="11" t="e">
        <f aca="false">(FH118/DS118)</f>
        <v>#DIV/0!</v>
      </c>
      <c r="FN118" s="11" t="e">
        <f aca="false">(FI118/DT118)</f>
        <v>#DIV/0!</v>
      </c>
      <c r="FO118" s="11" t="e">
        <f aca="false">(FJ118/DU118)</f>
        <v>#DIV/0!</v>
      </c>
      <c r="FP118" s="11" t="e">
        <f aca="false">(FK118/DV118)</f>
        <v>#DIV/0!</v>
      </c>
      <c r="FQ118" s="11" t="e">
        <f aca="false">(100*FP118)</f>
        <v>#DIV/0!</v>
      </c>
      <c r="FR118" s="9"/>
      <c r="FS118" s="9"/>
      <c r="FT118" s="9"/>
      <c r="FU118" s="9"/>
      <c r="FV118" s="9"/>
      <c r="FW118" s="11" t="n">
        <f aca="false">(FS118+FT118+FU118+FV118)/4</f>
        <v>0</v>
      </c>
      <c r="FX118" s="9"/>
      <c r="FY118" s="9"/>
      <c r="FZ118" s="9"/>
      <c r="GA118" s="9"/>
      <c r="GB118" s="11" t="n">
        <f aca="false">(FX118+FY118+FZ118+GA118)/4</f>
        <v>0</v>
      </c>
      <c r="GC118" s="9"/>
      <c r="GD118" s="9"/>
      <c r="GE118" s="9"/>
      <c r="GF118" s="9"/>
      <c r="GG118" s="11" t="n">
        <f aca="false">(GC118+GD118+GE118+GF118)/4</f>
        <v>0</v>
      </c>
      <c r="GH118" s="9"/>
      <c r="GI118" s="9"/>
      <c r="GJ118" s="9"/>
      <c r="GK118" s="9"/>
      <c r="GL118" s="11" t="n">
        <f aca="false">(GH118+GI118+GJ118+GK118)/4</f>
        <v>0</v>
      </c>
      <c r="GM118" s="9"/>
      <c r="GN118" s="9"/>
      <c r="GO118" s="9"/>
      <c r="GP118" s="9"/>
      <c r="GQ118" s="11" t="n">
        <f aca="false">(GM118+GN118+GO118+GP118)/4</f>
        <v>0</v>
      </c>
      <c r="GR118" s="9"/>
      <c r="GS118" s="9"/>
      <c r="GT118" s="9"/>
      <c r="GU118" s="9"/>
      <c r="GV118" s="11" t="n">
        <f aca="false">(GR118+GS118+GT118+GU118)/4</f>
        <v>0</v>
      </c>
      <c r="GW118" s="9"/>
      <c r="GX118" s="9"/>
      <c r="GY118" s="9"/>
      <c r="GZ118" s="9"/>
      <c r="HA118" s="11" t="n">
        <f aca="false">(GW118+GX118+GY118+GZ118)/4</f>
        <v>0</v>
      </c>
      <c r="HB118" s="9" t="e">
        <f aca="false">(GW118/GR118)</f>
        <v>#DIV/0!</v>
      </c>
      <c r="HC118" s="9" t="e">
        <f aca="false">(GX118/GS118)</f>
        <v>#DIV/0!</v>
      </c>
      <c r="HD118" s="9" t="e">
        <f aca="false">(GY118/GT118)</f>
        <v>#DIV/0!</v>
      </c>
      <c r="HE118" s="9" t="e">
        <f aca="false">(GZ118/GU118)/4</f>
        <v>#DIV/0!</v>
      </c>
      <c r="HF118" s="9" t="e">
        <f aca="false">(HB118+HC118+HD118+HE118)/4</f>
        <v>#DIV/0!</v>
      </c>
      <c r="HG118" s="9" t="e">
        <f aca="false">(100*HF118)</f>
        <v>#DIV/0!</v>
      </c>
      <c r="HH118" s="18"/>
      <c r="HI118" s="9"/>
      <c r="HJ118" s="9"/>
      <c r="HK118" s="9"/>
      <c r="HL118" s="19"/>
      <c r="HM118" s="9" t="n">
        <f aca="false">(HI118+HJ118+HK118+HL118)/4</f>
        <v>0</v>
      </c>
      <c r="HN118" s="9" t="e">
        <f aca="false">(HI118/GR118)</f>
        <v>#DIV/0!</v>
      </c>
      <c r="HO118" s="9" t="e">
        <f aca="false">(HJ118/GS118)</f>
        <v>#DIV/0!</v>
      </c>
      <c r="HP118" s="9" t="e">
        <f aca="false">(HK118/GT118)</f>
        <v>#DIV/0!</v>
      </c>
      <c r="HQ118" s="9" t="e">
        <f aca="false">(HL118/GU118)</f>
        <v>#DIV/0!</v>
      </c>
      <c r="HR118" s="9" t="e">
        <f aca="false">(HM118/GV118)</f>
        <v>#DIV/0!</v>
      </c>
      <c r="HS118" s="9" t="e">
        <f aca="false">(100*HR118)</f>
        <v>#DIV/0!</v>
      </c>
      <c r="HT118" s="18"/>
      <c r="HU118" s="9"/>
      <c r="HV118" s="9"/>
      <c r="HW118" s="9"/>
      <c r="HX118" s="19"/>
      <c r="HY118" s="9" t="n">
        <f aca="false">(HU118+HV118+HW118+HX118)/4</f>
        <v>0</v>
      </c>
      <c r="HZ118" s="9" t="e">
        <f aca="false">(HU118/GR118)</f>
        <v>#DIV/0!</v>
      </c>
      <c r="IA118" s="9" t="e">
        <f aca="false">HV118/GS118</f>
        <v>#DIV/0!</v>
      </c>
      <c r="IB118" s="9" t="e">
        <f aca="false">(HW118/GT118)</f>
        <v>#DIV/0!</v>
      </c>
      <c r="IC118" s="9" t="e">
        <f aca="false">(HX118/GU118)</f>
        <v>#DIV/0!</v>
      </c>
      <c r="ID118" s="9" t="e">
        <f aca="false">(HY118/GV118)</f>
        <v>#DIV/0!</v>
      </c>
      <c r="IE118" s="9" t="e">
        <f aca="false">(100*ID118)</f>
        <v>#DIV/0!</v>
      </c>
      <c r="IF118" s="18"/>
      <c r="IG118" s="9"/>
      <c r="IH118" s="9"/>
      <c r="II118" s="19"/>
      <c r="IJ118" s="9"/>
      <c r="IK118" s="9" t="n">
        <f aca="false">(IG118+IH118+II118+IJ118)/4</f>
        <v>0</v>
      </c>
      <c r="IL118" s="9" t="e">
        <f aca="false">(IG118/GM118)</f>
        <v>#DIV/0!</v>
      </c>
      <c r="IM118" s="9" t="e">
        <f aca="false">(IH118/GN118)</f>
        <v>#DIV/0!</v>
      </c>
      <c r="IN118" s="9" t="e">
        <f aca="false">(II118/GO118)</f>
        <v>#DIV/0!</v>
      </c>
      <c r="IO118" s="9" t="e">
        <f aca="false">(IJ118/GP118)</f>
        <v>#DIV/0!</v>
      </c>
      <c r="IP118" s="9" t="e">
        <f aca="false">(IK118/GQ118)</f>
        <v>#DIV/0!</v>
      </c>
      <c r="IQ118" s="9" t="e">
        <f aca="false">(100*IP118)</f>
        <v>#DIV/0!</v>
      </c>
      <c r="IR118" s="18"/>
      <c r="IS118" s="9"/>
      <c r="IT118" s="9"/>
      <c r="IU118" s="19"/>
      <c r="IV118" s="9"/>
      <c r="IW118" s="9" t="n">
        <f aca="false">(IS118+IT118+IU118+IV118)/4</f>
        <v>0</v>
      </c>
      <c r="IX118" s="9"/>
      <c r="IY118" s="9"/>
    </row>
    <row r="119" customFormat="false" ht="15.75" hidden="false" customHeight="true" outlineLevel="0" collapsed="false">
      <c r="A119" s="9" t="s">
        <v>259</v>
      </c>
      <c r="B119" s="10" t="s">
        <v>541</v>
      </c>
      <c r="C119" s="10" t="s">
        <v>514</v>
      </c>
      <c r="D119" s="9" t="n">
        <v>5</v>
      </c>
      <c r="E119" s="9" t="n">
        <v>40</v>
      </c>
      <c r="F119" s="10" t="s">
        <v>542</v>
      </c>
      <c r="G119" s="10" t="s">
        <v>275</v>
      </c>
      <c r="H119" s="9" t="n">
        <v>20</v>
      </c>
      <c r="I119" s="9" t="n">
        <v>6</v>
      </c>
      <c r="J119" s="12" t="s">
        <v>264</v>
      </c>
      <c r="K119" s="13" t="s">
        <v>543</v>
      </c>
      <c r="L119" s="13" t="s">
        <v>544</v>
      </c>
      <c r="M119" s="14" t="n">
        <v>1301</v>
      </c>
      <c r="N119" s="15" t="n">
        <v>45155</v>
      </c>
      <c r="O119" s="10" t="s">
        <v>294</v>
      </c>
      <c r="P119" s="9"/>
      <c r="Q119" s="9" t="n">
        <v>52.27</v>
      </c>
      <c r="R119" s="9" t="n">
        <v>18</v>
      </c>
      <c r="S119" s="9" t="n">
        <v>-10</v>
      </c>
      <c r="T119" s="9" t="n">
        <v>100</v>
      </c>
      <c r="U119" s="9"/>
      <c r="V119" s="9" t="n">
        <v>5.5</v>
      </c>
      <c r="W119" s="9" t="s">
        <v>545</v>
      </c>
      <c r="X119" s="9" t="n">
        <v>0</v>
      </c>
      <c r="Y119" s="9" t="n">
        <v>0</v>
      </c>
      <c r="Z119" s="9" t="n">
        <v>0</v>
      </c>
      <c r="AA119" s="9" t="n">
        <v>1</v>
      </c>
      <c r="AB119" s="11" t="n">
        <f aca="false">(X119+Y119+Z119+AA119)/4</f>
        <v>0.25</v>
      </c>
      <c r="AC119" s="9" t="n">
        <v>1</v>
      </c>
      <c r="AD119" s="9" t="n">
        <v>1</v>
      </c>
      <c r="AE119" s="9" t="n">
        <v>1</v>
      </c>
      <c r="AF119" s="9" t="n">
        <v>1</v>
      </c>
      <c r="AG119" s="11" t="n">
        <f aca="false">(AC119+AD119+AE119+AF119)/4</f>
        <v>1</v>
      </c>
      <c r="AH119" s="9" t="n">
        <v>1</v>
      </c>
      <c r="AI119" s="9" t="n">
        <v>1</v>
      </c>
      <c r="AJ119" s="9" t="n">
        <v>1</v>
      </c>
      <c r="AK119" s="9" t="n">
        <v>1</v>
      </c>
      <c r="AL119" s="11" t="n">
        <f aca="false">(AH119+AI119+AJ119+AK119)/4</f>
        <v>1</v>
      </c>
      <c r="AM119" s="9" t="n">
        <v>35</v>
      </c>
      <c r="AN119" s="9" t="n">
        <v>49</v>
      </c>
      <c r="AO119" s="9" t="n">
        <v>39</v>
      </c>
      <c r="AP119" s="9" t="n">
        <v>32</v>
      </c>
      <c r="AQ119" s="11" t="n">
        <f aca="false">(AM119+AN119+AO119+AP119)/4</f>
        <v>38.75</v>
      </c>
      <c r="AR119" s="9" t="n">
        <v>22</v>
      </c>
      <c r="AS119" s="9" t="n">
        <v>5</v>
      </c>
      <c r="AT119" s="9" t="n">
        <v>9</v>
      </c>
      <c r="AU119" s="9" t="n">
        <v>18</v>
      </c>
      <c r="AV119" s="11" t="n">
        <f aca="false">(AR119+AS119+AT119+AU119)/4</f>
        <v>13.5</v>
      </c>
      <c r="AW119" s="9" t="n">
        <v>0</v>
      </c>
      <c r="AX119" s="9" t="n">
        <v>0</v>
      </c>
      <c r="AY119" s="9" t="n">
        <v>0</v>
      </c>
      <c r="AZ119" s="9" t="n">
        <v>2</v>
      </c>
      <c r="BA119" s="11" t="n">
        <f aca="false">(AW119+AX119+AY119+AZ119)/4</f>
        <v>0.5</v>
      </c>
      <c r="BB119" s="11" t="n">
        <f aca="false">(AW119/AR119)</f>
        <v>0</v>
      </c>
      <c r="BC119" s="11" t="n">
        <f aca="false">(AX119/AS119)</f>
        <v>0</v>
      </c>
      <c r="BD119" s="11" t="n">
        <f aca="false">(AY119/AT119)</f>
        <v>0</v>
      </c>
      <c r="BE119" s="11" t="n">
        <f aca="false">(AZ119/AU119)</f>
        <v>0.111111111111111</v>
      </c>
      <c r="BF119" s="11" t="n">
        <f aca="false">(BA119/AV119)</f>
        <v>0.037037037037037</v>
      </c>
      <c r="BG119" s="11" t="n">
        <f aca="false">(BF119*100)</f>
        <v>3.7037037037037</v>
      </c>
      <c r="BH119" s="9" t="n">
        <v>1</v>
      </c>
      <c r="BI119" s="9" t="n">
        <v>10</v>
      </c>
      <c r="BJ119" s="9" t="n">
        <v>2</v>
      </c>
      <c r="BK119" s="9" t="n">
        <v>5</v>
      </c>
      <c r="BL119" s="9" t="n">
        <v>0</v>
      </c>
      <c r="BM119" s="11" t="n">
        <f aca="false">(BI119+BJ119+BK119+BL119)/4</f>
        <v>4.25</v>
      </c>
      <c r="BN119" s="11" t="n">
        <f aca="false">(BI119/AR119)</f>
        <v>0.454545454545455</v>
      </c>
      <c r="BO119" s="11" t="n">
        <f aca="false">(BJ119/AS119)</f>
        <v>0.4</v>
      </c>
      <c r="BP119" s="11" t="n">
        <f aca="false">(BK119/AT119)</f>
        <v>0.555555555555556</v>
      </c>
      <c r="BQ119" s="11" t="n">
        <f aca="false">(BL119/AU119)</f>
        <v>0</v>
      </c>
      <c r="BR119" s="11" t="n">
        <f aca="false">(BM119/AV119)</f>
        <v>0.314814814814815</v>
      </c>
      <c r="BS119" s="11" t="n">
        <f aca="false">(100*BR119)</f>
        <v>31.4814814814815</v>
      </c>
      <c r="BT119" s="9" t="n">
        <v>3</v>
      </c>
      <c r="BU119" s="9" t="n">
        <v>0</v>
      </c>
      <c r="BV119" s="9" t="n">
        <v>0</v>
      </c>
      <c r="BW119" s="9" t="n">
        <v>0</v>
      </c>
      <c r="BX119" s="9" t="n">
        <v>0</v>
      </c>
      <c r="BY119" s="11" t="n">
        <f aca="false">(BU119+BV119+BW119+BX119)/4</f>
        <v>0</v>
      </c>
      <c r="BZ119" s="11" t="n">
        <f aca="false">(BU119/AR119)</f>
        <v>0</v>
      </c>
      <c r="CA119" s="11" t="n">
        <f aca="false">(BV119/AS119)</f>
        <v>0</v>
      </c>
      <c r="CB119" s="11" t="n">
        <f aca="false">(BW119/AT119)</f>
        <v>0</v>
      </c>
      <c r="CC119" s="11" t="n">
        <f aca="false">(BX119/AU119)</f>
        <v>0</v>
      </c>
      <c r="CD119" s="11" t="n">
        <f aca="false">(BY119/AV119)</f>
        <v>0</v>
      </c>
      <c r="CE119" s="11" t="n">
        <f aca="false">(100*CD119)</f>
        <v>0</v>
      </c>
      <c r="CF119" s="9" t="n">
        <v>0</v>
      </c>
      <c r="CG119" s="9" t="n">
        <v>12</v>
      </c>
      <c r="CH119" s="9" t="n">
        <v>15</v>
      </c>
      <c r="CI119" s="9" t="n">
        <v>8</v>
      </c>
      <c r="CJ119" s="9" t="n">
        <v>4</v>
      </c>
      <c r="CK119" s="11" t="n">
        <f aca="false">(CG119+CH119+CI119+CJ119)/4</f>
        <v>9.75</v>
      </c>
      <c r="CL119" s="11" t="n">
        <f aca="false">(CG119/AM119)</f>
        <v>0.342857142857143</v>
      </c>
      <c r="CM119" s="11" t="n">
        <f aca="false">(CH119/AN119)</f>
        <v>0.306122448979592</v>
      </c>
      <c r="CN119" s="11" t="n">
        <f aca="false">(CI119/AO119)</f>
        <v>0.205128205128205</v>
      </c>
      <c r="CO119" s="9" t="n">
        <f aca="false">(CJ119/AP119)</f>
        <v>0.125</v>
      </c>
      <c r="CP119" s="9" t="n">
        <f aca="false">(CK119/AQ119)</f>
        <v>0.251612903225806</v>
      </c>
      <c r="CQ119" s="9" t="n">
        <f aca="false">(100*CP119)</f>
        <v>25.1612903225806</v>
      </c>
      <c r="CR119" s="18" t="n">
        <v>2</v>
      </c>
      <c r="CS119" s="9" t="n">
        <v>60.6</v>
      </c>
      <c r="CT119" s="9" t="n">
        <v>53.4</v>
      </c>
      <c r="CU119" s="9" t="n">
        <v>62.1</v>
      </c>
      <c r="CV119" s="9" t="n">
        <v>57.4</v>
      </c>
      <c r="CW119" s="11" t="n">
        <f aca="false">(CS119+CT119+CU119+CV119)/4</f>
        <v>58.375</v>
      </c>
      <c r="CX119" s="9" t="n">
        <v>1</v>
      </c>
      <c r="CY119" s="9" t="n">
        <v>1</v>
      </c>
      <c r="CZ119" s="9" t="n">
        <v>0</v>
      </c>
      <c r="DA119" s="9" t="n">
        <v>0</v>
      </c>
      <c r="DB119" s="11" t="n">
        <f aca="false">(CX119+CY119+CZ119+DA119)/4</f>
        <v>0.5</v>
      </c>
      <c r="DC119" s="9" t="n">
        <v>0</v>
      </c>
      <c r="DD119" s="9" t="n">
        <v>1</v>
      </c>
      <c r="DE119" s="9" t="n">
        <v>1</v>
      </c>
      <c r="DF119" s="9" t="n">
        <v>1</v>
      </c>
      <c r="DG119" s="11" t="n">
        <f aca="false">(DC119+DD119+DE119+DF119)/4</f>
        <v>0.75</v>
      </c>
      <c r="DH119" s="9" t="n">
        <v>0</v>
      </c>
      <c r="DI119" s="9" t="n">
        <v>1</v>
      </c>
      <c r="DJ119" s="9" t="n">
        <v>1</v>
      </c>
      <c r="DK119" s="9" t="n">
        <v>1</v>
      </c>
      <c r="DL119" s="11" t="n">
        <f aca="false">(DH119+DI119+DJ119+DK119)/4</f>
        <v>0.75</v>
      </c>
      <c r="DM119" s="9" t="n">
        <v>31</v>
      </c>
      <c r="DN119" s="9" t="n">
        <v>31</v>
      </c>
      <c r="DO119" s="9" t="n">
        <v>47</v>
      </c>
      <c r="DP119" s="9" t="n">
        <v>26</v>
      </c>
      <c r="DQ119" s="11" t="n">
        <f aca="false">(DM119+DN119+DO119+DP119)/4</f>
        <v>33.75</v>
      </c>
      <c r="DR119" s="9" t="n">
        <v>7</v>
      </c>
      <c r="DS119" s="9" t="n">
        <v>4</v>
      </c>
      <c r="DT119" s="9" t="n">
        <v>6</v>
      </c>
      <c r="DU119" s="9" t="n">
        <v>6</v>
      </c>
      <c r="DV119" s="11" t="n">
        <f aca="false">(DR119+DS119+DT119+DU119)/4</f>
        <v>5.75</v>
      </c>
      <c r="DW119" s="9" t="n">
        <v>7</v>
      </c>
      <c r="DX119" s="9" t="n">
        <v>2</v>
      </c>
      <c r="DY119" s="9" t="n">
        <v>0</v>
      </c>
      <c r="DZ119" s="9" t="n">
        <v>0</v>
      </c>
      <c r="EA119" s="11" t="n">
        <f aca="false">(DW119+DX119+DY119+DZ119)/4</f>
        <v>2.25</v>
      </c>
      <c r="EB119" s="11" t="n">
        <f aca="false">(DW119/DR119)</f>
        <v>1</v>
      </c>
      <c r="EC119" s="11" t="n">
        <f aca="false">(DX119/DS119)</f>
        <v>0.5</v>
      </c>
      <c r="ED119" s="11" t="n">
        <f aca="false">(DY119/DT119)</f>
        <v>0</v>
      </c>
      <c r="EE119" s="11" t="n">
        <f aca="false">(DZ119/DU119)</f>
        <v>0</v>
      </c>
      <c r="EF119" s="11" t="n">
        <f aca="false">(EA119/DV119)</f>
        <v>0.391304347826087</v>
      </c>
      <c r="EG119" s="11" t="n">
        <f aca="false">(100*EF119)</f>
        <v>39.1304347826087</v>
      </c>
      <c r="EH119" s="9" t="n">
        <v>3</v>
      </c>
      <c r="EI119" s="9" t="n">
        <v>0</v>
      </c>
      <c r="EJ119" s="9" t="n">
        <v>3</v>
      </c>
      <c r="EK119" s="19" t="n">
        <v>2</v>
      </c>
      <c r="EL119" s="9" t="n">
        <v>2</v>
      </c>
      <c r="EM119" s="9" t="n">
        <f aca="false">(EI119+EJ119+EK119+EL119)/4</f>
        <v>1.75</v>
      </c>
      <c r="EN119" s="9" t="n">
        <f aca="false">(EI119/DR119)</f>
        <v>0</v>
      </c>
      <c r="EO119" s="9" t="n">
        <f aca="false">(EJ119/DS119)</f>
        <v>0.75</v>
      </c>
      <c r="EP119" s="9" t="n">
        <f aca="false">(EK119/DT119)</f>
        <v>0.333333333333333</v>
      </c>
      <c r="EQ119" s="9" t="n">
        <f aca="false">(EL119/DU119)</f>
        <v>0.333333333333333</v>
      </c>
      <c r="ER119" s="9" t="n">
        <f aca="false">EM119/DV119</f>
        <v>0.304347826086957</v>
      </c>
      <c r="ES119" s="9" t="n">
        <f aca="false">(100*ER119)</f>
        <v>30.4347826086957</v>
      </c>
      <c r="ET119" s="9" t="n">
        <v>3</v>
      </c>
      <c r="EU119" s="18" t="n">
        <v>0</v>
      </c>
      <c r="EV119" s="9" t="n">
        <v>0</v>
      </c>
      <c r="EW119" s="9" t="n">
        <v>0</v>
      </c>
      <c r="EX119" s="9" t="n">
        <v>0</v>
      </c>
      <c r="EY119" s="11" t="n">
        <f aca="false">(EU119+EV119+EW119+EX119)/4</f>
        <v>0</v>
      </c>
      <c r="EZ119" s="11" t="n">
        <f aca="false">(EU119/DR119)</f>
        <v>0</v>
      </c>
      <c r="FA119" s="11" t="n">
        <f aca="false">(EV119/DS119)</f>
        <v>0</v>
      </c>
      <c r="FB119" s="11" t="n">
        <f aca="false">(EW119/DT119)</f>
        <v>0</v>
      </c>
      <c r="FC119" s="11" t="n">
        <f aca="false">(EX119/DU119)</f>
        <v>0</v>
      </c>
      <c r="FD119" s="11" t="n">
        <f aca="false">(EY119/DV119)</f>
        <v>0</v>
      </c>
      <c r="FE119" s="11" t="n">
        <f aca="false">(100*FD119)</f>
        <v>0</v>
      </c>
      <c r="FF119" s="9" t="n">
        <v>0</v>
      </c>
      <c r="FG119" s="9" t="n">
        <v>0</v>
      </c>
      <c r="FH119" s="9" t="n">
        <v>5</v>
      </c>
      <c r="FI119" s="9" t="n">
        <v>10</v>
      </c>
      <c r="FJ119" s="9" t="n">
        <v>0</v>
      </c>
      <c r="FK119" s="11" t="n">
        <f aca="false">(FG119+FH119+FI119+FJ119)/4</f>
        <v>3.75</v>
      </c>
      <c r="FL119" s="11" t="n">
        <f aca="false">(FG119/DR119)</f>
        <v>0</v>
      </c>
      <c r="FM119" s="11" t="n">
        <f aca="false">(FH119/DS119)</f>
        <v>1.25</v>
      </c>
      <c r="FN119" s="11" t="n">
        <f aca="false">(FI119/DT119)</f>
        <v>1.66666666666667</v>
      </c>
      <c r="FO119" s="11" t="n">
        <f aca="false">(FJ119/DU119)</f>
        <v>0</v>
      </c>
      <c r="FP119" s="11" t="n">
        <f aca="false">(FK119/DV119)</f>
        <v>0.652173913043478</v>
      </c>
      <c r="FQ119" s="11" t="n">
        <f aca="false">(100*FP119)</f>
        <v>65.2173913043478</v>
      </c>
      <c r="FR119" s="9" t="n">
        <v>3</v>
      </c>
      <c r="FS119" s="9" t="n">
        <v>47.7</v>
      </c>
      <c r="FT119" s="9" t="n">
        <v>56.8</v>
      </c>
      <c r="FU119" s="9" t="n">
        <v>46.4</v>
      </c>
      <c r="FV119" s="9" t="n">
        <v>62</v>
      </c>
      <c r="FW119" s="11" t="n">
        <f aca="false">(FS119+FT119+FU119+FV119)/4</f>
        <v>53.225</v>
      </c>
      <c r="FX119" s="9" t="n">
        <v>0</v>
      </c>
      <c r="FY119" s="9" t="n">
        <v>0</v>
      </c>
      <c r="FZ119" s="9" t="n">
        <v>1</v>
      </c>
      <c r="GA119" s="9" t="n">
        <v>0</v>
      </c>
      <c r="GB119" s="11" t="n">
        <f aca="false">(FX119+FY119+FZ119+GA119)/4</f>
        <v>0.25</v>
      </c>
      <c r="GC119" s="9" t="n">
        <v>1</v>
      </c>
      <c r="GD119" s="9" t="n">
        <v>1</v>
      </c>
      <c r="GE119" s="9" t="n">
        <v>1</v>
      </c>
      <c r="GF119" s="9" t="n">
        <v>1</v>
      </c>
      <c r="GG119" s="11" t="n">
        <f aca="false">(GC119+GD119+GE119+GF119)/4</f>
        <v>1</v>
      </c>
      <c r="GH119" s="9" t="n">
        <v>1</v>
      </c>
      <c r="GI119" s="9" t="n">
        <v>1</v>
      </c>
      <c r="GJ119" s="9" t="n">
        <v>1</v>
      </c>
      <c r="GK119" s="9" t="n">
        <v>1</v>
      </c>
      <c r="GL119" s="11" t="n">
        <f aca="false">(GH119+GI119+GJ119+GK119)/4</f>
        <v>1</v>
      </c>
      <c r="GM119" s="9" t="n">
        <v>80</v>
      </c>
      <c r="GN119" s="9" t="n">
        <v>101</v>
      </c>
      <c r="GO119" s="9" t="n">
        <v>17</v>
      </c>
      <c r="GP119" s="9" t="n">
        <v>93</v>
      </c>
      <c r="GQ119" s="11" t="n">
        <f aca="false">(GM119+GN119+GO119+GP119)/4</f>
        <v>72.75</v>
      </c>
      <c r="GR119" s="9" t="n">
        <v>5</v>
      </c>
      <c r="GS119" s="9" t="n">
        <v>7</v>
      </c>
      <c r="GT119" s="9" t="n">
        <v>15</v>
      </c>
      <c r="GU119" s="9" t="n">
        <v>9</v>
      </c>
      <c r="GV119" s="11" t="n">
        <f aca="false">(GR119+GS119+GT119+GU119)/4</f>
        <v>9</v>
      </c>
      <c r="GW119" s="9" t="n">
        <v>0</v>
      </c>
      <c r="GX119" s="9" t="n">
        <v>0</v>
      </c>
      <c r="GY119" s="9" t="n">
        <v>1</v>
      </c>
      <c r="GZ119" s="9" t="n">
        <v>0</v>
      </c>
      <c r="HA119" s="11" t="n">
        <f aca="false">(GW119+GX119+GY119+GZ119)/4</f>
        <v>0.25</v>
      </c>
      <c r="HB119" s="9" t="n">
        <f aca="false">(GW119/GR119)</f>
        <v>0</v>
      </c>
      <c r="HC119" s="9" t="n">
        <f aca="false">(GX119/GS119)</f>
        <v>0</v>
      </c>
      <c r="HD119" s="9" t="n">
        <f aca="false">(GY119/GT119)</f>
        <v>0.0666666666666667</v>
      </c>
      <c r="HE119" s="9" t="n">
        <f aca="false">(GZ119/GU119)/4</f>
        <v>0</v>
      </c>
      <c r="HF119" s="9" t="n">
        <f aca="false">(HB119+HC119+HD119+HE119)/4</f>
        <v>0.0166666666666667</v>
      </c>
      <c r="HG119" s="9" t="n">
        <f aca="false">(100*HF119)</f>
        <v>1.66666666666667</v>
      </c>
      <c r="HH119" s="18" t="n">
        <v>1</v>
      </c>
      <c r="HI119" s="9" t="n">
        <v>2</v>
      </c>
      <c r="HJ119" s="9" t="n">
        <v>4</v>
      </c>
      <c r="HK119" s="9" t="n">
        <v>6</v>
      </c>
      <c r="HL119" s="19" t="n">
        <v>3</v>
      </c>
      <c r="HM119" s="9" t="n">
        <f aca="false">(HI119+HJ119+HK119+HL119)/4</f>
        <v>3.75</v>
      </c>
      <c r="HN119" s="9" t="n">
        <f aca="false">(HI119/GR119)</f>
        <v>0.4</v>
      </c>
      <c r="HO119" s="9" t="n">
        <f aca="false">(HJ119/GS119)</f>
        <v>0.571428571428571</v>
      </c>
      <c r="HP119" s="9" t="n">
        <f aca="false">(HK119/GT119)</f>
        <v>0.4</v>
      </c>
      <c r="HQ119" s="9" t="n">
        <f aca="false">(HL119/GU119)</f>
        <v>0.333333333333333</v>
      </c>
      <c r="HR119" s="9" t="n">
        <f aca="false">(HM119/GV119)</f>
        <v>0.416666666666667</v>
      </c>
      <c r="HS119" s="9" t="n">
        <f aca="false">(100*HR119)</f>
        <v>41.6666666666667</v>
      </c>
      <c r="HT119" s="18" t="n">
        <v>3</v>
      </c>
      <c r="HU119" s="9" t="n">
        <v>0</v>
      </c>
      <c r="HV119" s="9" t="n">
        <v>0</v>
      </c>
      <c r="HW119" s="9" t="n">
        <v>0</v>
      </c>
      <c r="HX119" s="19" t="n">
        <v>0</v>
      </c>
      <c r="HY119" s="9" t="n">
        <f aca="false">(HU119+HV119+HW119+HX119)/4</f>
        <v>0</v>
      </c>
      <c r="HZ119" s="9" t="n">
        <f aca="false">(HU119/GR119)</f>
        <v>0</v>
      </c>
      <c r="IA119" s="9" t="n">
        <f aca="false">HV119/GS119</f>
        <v>0</v>
      </c>
      <c r="IB119" s="9" t="n">
        <f aca="false">(HW119/GT119)</f>
        <v>0</v>
      </c>
      <c r="IC119" s="9" t="n">
        <f aca="false">(HX119/GU119)</f>
        <v>0</v>
      </c>
      <c r="ID119" s="9" t="n">
        <f aca="false">(HY119/GV119)</f>
        <v>0</v>
      </c>
      <c r="IE119" s="9" t="n">
        <f aca="false">(100*ID119)</f>
        <v>0</v>
      </c>
      <c r="IF119" s="18" t="n">
        <v>0</v>
      </c>
      <c r="IG119" s="9" t="n">
        <v>11</v>
      </c>
      <c r="IH119" s="9" t="n">
        <v>7</v>
      </c>
      <c r="II119" s="19" t="n">
        <v>5</v>
      </c>
      <c r="IJ119" s="9" t="n">
        <v>18</v>
      </c>
      <c r="IK119" s="9" t="n">
        <f aca="false">(IG119+IH119+II119+IJ119)/4</f>
        <v>10.25</v>
      </c>
      <c r="IL119" s="9" t="n">
        <f aca="false">(IG119/GM119)</f>
        <v>0.1375</v>
      </c>
      <c r="IM119" s="9" t="n">
        <f aca="false">(IH119/GN119)</f>
        <v>0.0693069306930693</v>
      </c>
      <c r="IN119" s="9" t="n">
        <f aca="false">(II119/GO119)</f>
        <v>0.294117647058824</v>
      </c>
      <c r="IO119" s="9" t="n">
        <f aca="false">(IJ119/GP119)</f>
        <v>0.193548387096774</v>
      </c>
      <c r="IP119" s="9" t="n">
        <f aca="false">(IK119/GQ119)</f>
        <v>0.140893470790378</v>
      </c>
      <c r="IQ119" s="9" t="n">
        <f aca="false">(100*IP119)</f>
        <v>14.0893470790378</v>
      </c>
      <c r="IR119" s="18" t="n">
        <v>2</v>
      </c>
      <c r="IS119" s="9" t="n">
        <v>58.3</v>
      </c>
      <c r="IT119" s="9" t="n">
        <v>55.7</v>
      </c>
      <c r="IU119" s="19" t="n">
        <v>63.7</v>
      </c>
      <c r="IV119" s="9" t="n">
        <v>67.6</v>
      </c>
      <c r="IW119" s="9" t="n">
        <f aca="false">(IS119+IT119+IU119+IV119)/4</f>
        <v>61.325</v>
      </c>
      <c r="IX119" s="16" t="n">
        <v>45210</v>
      </c>
      <c r="IY119" s="10" t="s">
        <v>268</v>
      </c>
    </row>
    <row r="120" customFormat="false" ht="15.75" hidden="false" customHeight="true" outlineLevel="0" collapsed="false">
      <c r="A120" s="9" t="s">
        <v>259</v>
      </c>
      <c r="B120" s="10" t="s">
        <v>541</v>
      </c>
      <c r="C120" s="10" t="s">
        <v>514</v>
      </c>
      <c r="D120" s="9" t="n">
        <v>5</v>
      </c>
      <c r="E120" s="9" t="n">
        <v>40</v>
      </c>
      <c r="F120" s="10" t="s">
        <v>546</v>
      </c>
      <c r="G120" s="10" t="s">
        <v>297</v>
      </c>
      <c r="H120" s="9" t="n">
        <v>20</v>
      </c>
      <c r="I120" s="9" t="n">
        <v>11</v>
      </c>
      <c r="J120" s="12" t="s">
        <v>270</v>
      </c>
      <c r="K120" s="20"/>
      <c r="L120" s="20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 t="n">
        <v>1</v>
      </c>
      <c r="Y120" s="9" t="n">
        <v>0</v>
      </c>
      <c r="Z120" s="9" t="n">
        <v>0</v>
      </c>
      <c r="AA120" s="9" t="n">
        <v>0</v>
      </c>
      <c r="AB120" s="11" t="n">
        <f aca="false">(X120+Y120+Z120+AA120)/4</f>
        <v>0.25</v>
      </c>
      <c r="AC120" s="9" t="n">
        <v>1</v>
      </c>
      <c r="AD120" s="9" t="n">
        <v>1</v>
      </c>
      <c r="AE120" s="9" t="n">
        <v>1</v>
      </c>
      <c r="AF120" s="9" t="n">
        <v>1</v>
      </c>
      <c r="AG120" s="11" t="n">
        <f aca="false">(AC120+AD120+AE120+AF120)/4</f>
        <v>1</v>
      </c>
      <c r="AH120" s="9" t="n">
        <v>0</v>
      </c>
      <c r="AI120" s="9" t="n">
        <v>0</v>
      </c>
      <c r="AJ120" s="9" t="n">
        <v>0</v>
      </c>
      <c r="AK120" s="9" t="n">
        <v>0</v>
      </c>
      <c r="AL120" s="11" t="n">
        <f aca="false">(AH120+AI120+AJ120+AK120)/4</f>
        <v>0</v>
      </c>
      <c r="AM120" s="11" t="n">
        <v>0</v>
      </c>
      <c r="AN120" s="11" t="n">
        <v>0</v>
      </c>
      <c r="AO120" s="11" t="n">
        <v>0</v>
      </c>
      <c r="AP120" s="11" t="n">
        <v>0</v>
      </c>
      <c r="AQ120" s="11" t="n">
        <f aca="false">(AM120+AN120+AO120+AP120)/4</f>
        <v>0</v>
      </c>
      <c r="AR120" s="9" t="n">
        <v>10</v>
      </c>
      <c r="AS120" s="9" t="n">
        <v>11</v>
      </c>
      <c r="AT120" s="9" t="n">
        <v>8</v>
      </c>
      <c r="AU120" s="9" t="n">
        <v>7</v>
      </c>
      <c r="AV120" s="11" t="n">
        <f aca="false">(AR120+AS120+AT120+AU120)/4</f>
        <v>9</v>
      </c>
      <c r="AW120" s="9" t="n">
        <v>2</v>
      </c>
      <c r="AX120" s="9" t="n">
        <v>0</v>
      </c>
      <c r="AY120" s="9" t="n">
        <v>0</v>
      </c>
      <c r="AZ120" s="9" t="n">
        <v>0</v>
      </c>
      <c r="BA120" s="11" t="n">
        <f aca="false">(AW120+AX120+AY120+AZ120)/4</f>
        <v>0.5</v>
      </c>
      <c r="BB120" s="11" t="n">
        <f aca="false">(AW120/AR120)</f>
        <v>0.2</v>
      </c>
      <c r="BC120" s="11" t="n">
        <f aca="false">(AX120/AS120)</f>
        <v>0</v>
      </c>
      <c r="BD120" s="11" t="n">
        <f aca="false">(AY120/AT120)</f>
        <v>0</v>
      </c>
      <c r="BE120" s="11" t="n">
        <f aca="false">(AZ120/AU120)</f>
        <v>0</v>
      </c>
      <c r="BF120" s="11" t="n">
        <f aca="false">(BA120/AV120)</f>
        <v>0.0555555555555556</v>
      </c>
      <c r="BG120" s="11" t="n">
        <f aca="false">(BF120*100)</f>
        <v>5.55555555555556</v>
      </c>
      <c r="BH120" s="9" t="n">
        <v>1</v>
      </c>
      <c r="BI120" s="9" t="n">
        <v>2</v>
      </c>
      <c r="BJ120" s="9" t="n">
        <v>3</v>
      </c>
      <c r="BK120" s="9" t="n">
        <v>2</v>
      </c>
      <c r="BL120" s="9" t="n">
        <v>2</v>
      </c>
      <c r="BM120" s="11" t="n">
        <f aca="false">(BI120+BJ120+BK120+BL120)/4</f>
        <v>2.25</v>
      </c>
      <c r="BN120" s="11" t="n">
        <f aca="false">(BI120/AR120)</f>
        <v>0.2</v>
      </c>
      <c r="BO120" s="11" t="n">
        <f aca="false">(BJ120/AS120)</f>
        <v>0.272727272727273</v>
      </c>
      <c r="BP120" s="11" t="n">
        <f aca="false">(BK120/AT120)</f>
        <v>0.25</v>
      </c>
      <c r="BQ120" s="11" t="n">
        <f aca="false">(BL120/AU120)</f>
        <v>0.285714285714286</v>
      </c>
      <c r="BR120" s="11" t="n">
        <f aca="false">(BM120/AV120)</f>
        <v>0.25</v>
      </c>
      <c r="BS120" s="11" t="n">
        <f aca="false">(100*BR120)</f>
        <v>25</v>
      </c>
      <c r="BT120" s="9" t="n">
        <v>2</v>
      </c>
      <c r="BU120" s="9" t="n">
        <v>0</v>
      </c>
      <c r="BV120" s="9" t="n">
        <v>0</v>
      </c>
      <c r="BW120" s="9" t="n">
        <v>0</v>
      </c>
      <c r="BX120" s="9" t="n">
        <v>0</v>
      </c>
      <c r="BY120" s="11" t="n">
        <f aca="false">(BU120+BV120+BW120+BX120)/4</f>
        <v>0</v>
      </c>
      <c r="BZ120" s="11" t="n">
        <f aca="false">(BU120/AR120)</f>
        <v>0</v>
      </c>
      <c r="CA120" s="11" t="n">
        <f aca="false">(BV120/AS120)</f>
        <v>0</v>
      </c>
      <c r="CB120" s="11" t="n">
        <f aca="false">(BW120/AT120)</f>
        <v>0</v>
      </c>
      <c r="CC120" s="11" t="n">
        <f aca="false">(BX120/AU120)</f>
        <v>0</v>
      </c>
      <c r="CD120" s="11" t="n">
        <f aca="false">(BY120/AV120)</f>
        <v>0</v>
      </c>
      <c r="CE120" s="11" t="n">
        <f aca="false">(100*CD120)</f>
        <v>0</v>
      </c>
      <c r="CF120" s="9" t="n">
        <v>0</v>
      </c>
      <c r="CG120" s="9" t="n">
        <v>0</v>
      </c>
      <c r="CH120" s="9" t="n">
        <v>0</v>
      </c>
      <c r="CI120" s="9" t="n">
        <v>0</v>
      </c>
      <c r="CJ120" s="9" t="n">
        <v>0</v>
      </c>
      <c r="CK120" s="11" t="n">
        <f aca="false">(CG120+CH120+CI120+CJ120)/4</f>
        <v>0</v>
      </c>
      <c r="CL120" s="11" t="e">
        <f aca="false">(CG120/AM120)</f>
        <v>#DIV/0!</v>
      </c>
      <c r="CM120" s="11" t="e">
        <f aca="false">(CH120/AN120)</f>
        <v>#DIV/0!</v>
      </c>
      <c r="CN120" s="11" t="e">
        <f aca="false">(CI120/AO120)</f>
        <v>#DIV/0!</v>
      </c>
      <c r="CO120" s="9" t="e">
        <f aca="false">(CJ120/AP120)</f>
        <v>#DIV/0!</v>
      </c>
      <c r="CP120" s="9" t="e">
        <f aca="false">(CK120/AQ120)</f>
        <v>#DIV/0!</v>
      </c>
      <c r="CQ120" s="9" t="e">
        <f aca="false">(100*CP120)</f>
        <v>#DIV/0!</v>
      </c>
      <c r="CR120" s="18"/>
      <c r="CS120" s="9" t="n">
        <v>57.9</v>
      </c>
      <c r="CT120" s="9" t="n">
        <v>75.8</v>
      </c>
      <c r="CU120" s="9" t="n">
        <v>57.5</v>
      </c>
      <c r="CV120" s="9" t="n">
        <v>68.3</v>
      </c>
      <c r="CW120" s="11" t="n">
        <f aca="false">(CS120+CT120+CU120+CV120)/4</f>
        <v>64.875</v>
      </c>
      <c r="CX120" s="9" t="n">
        <v>0</v>
      </c>
      <c r="CY120" s="9" t="n">
        <v>0</v>
      </c>
      <c r="CZ120" s="9" t="n">
        <v>0</v>
      </c>
      <c r="DA120" s="9" t="n">
        <v>0</v>
      </c>
      <c r="DB120" s="11" t="n">
        <f aca="false">(CX120+CY120+CZ120+DA120)/4</f>
        <v>0</v>
      </c>
      <c r="DC120" s="9" t="n">
        <v>1</v>
      </c>
      <c r="DD120" s="9" t="n">
        <v>1</v>
      </c>
      <c r="DE120" s="9" t="n">
        <v>1</v>
      </c>
      <c r="DF120" s="9" t="n">
        <v>1</v>
      </c>
      <c r="DG120" s="11" t="n">
        <f aca="false">(DC120+DD120+DE120+DF120)/4</f>
        <v>1</v>
      </c>
      <c r="DH120" s="9" t="n">
        <v>1</v>
      </c>
      <c r="DI120" s="9" t="n">
        <v>1</v>
      </c>
      <c r="DJ120" s="9" t="n">
        <v>1</v>
      </c>
      <c r="DK120" s="9" t="n">
        <v>0</v>
      </c>
      <c r="DL120" s="11" t="n">
        <f aca="false">(DH120+DI120+DJ120+DK120)/4</f>
        <v>0.75</v>
      </c>
      <c r="DM120" s="9" t="n">
        <v>0</v>
      </c>
      <c r="DN120" s="9" t="n">
        <v>0</v>
      </c>
      <c r="DO120" s="9" t="n">
        <v>0</v>
      </c>
      <c r="DP120" s="9" t="n">
        <v>0</v>
      </c>
      <c r="DQ120" s="11" t="n">
        <f aca="false">(DM120+DN120+DO120+DP120)/4</f>
        <v>0</v>
      </c>
      <c r="DR120" s="9" t="n">
        <v>13</v>
      </c>
      <c r="DS120" s="9" t="n">
        <v>13</v>
      </c>
      <c r="DT120" s="9" t="n">
        <v>11</v>
      </c>
      <c r="DU120" s="9" t="n">
        <v>8</v>
      </c>
      <c r="DV120" s="11" t="n">
        <f aca="false">(DR120+DS120+DT120+DU120)/4</f>
        <v>11.25</v>
      </c>
      <c r="DW120" s="9" t="n">
        <v>0</v>
      </c>
      <c r="DX120" s="9" t="n">
        <v>0</v>
      </c>
      <c r="DY120" s="9" t="n">
        <v>0</v>
      </c>
      <c r="DZ120" s="9" t="n">
        <v>0</v>
      </c>
      <c r="EA120" s="11" t="n">
        <f aca="false">(DW120+DX120+DY120+DZ120)/4</f>
        <v>0</v>
      </c>
      <c r="EB120" s="11" t="n">
        <f aca="false">(DW120/DR120)</f>
        <v>0</v>
      </c>
      <c r="EC120" s="11" t="n">
        <f aca="false">(DX120/DS120)</f>
        <v>0</v>
      </c>
      <c r="ED120" s="11" t="n">
        <f aca="false">(DY120/DT120)</f>
        <v>0</v>
      </c>
      <c r="EE120" s="11" t="n">
        <f aca="false">(DZ120/DU120)</f>
        <v>0</v>
      </c>
      <c r="EF120" s="11" t="n">
        <f aca="false">(EA120/DV120)</f>
        <v>0</v>
      </c>
      <c r="EG120" s="11" t="n">
        <f aca="false">(100*EF120)</f>
        <v>0</v>
      </c>
      <c r="EH120" s="9" t="n">
        <v>0</v>
      </c>
      <c r="EI120" s="9" t="n">
        <v>8</v>
      </c>
      <c r="EJ120" s="9" t="n">
        <v>4</v>
      </c>
      <c r="EK120" s="19" t="n">
        <v>1</v>
      </c>
      <c r="EL120" s="9" t="n">
        <v>5</v>
      </c>
      <c r="EM120" s="9" t="n">
        <f aca="false">(EI120+EJ120+EK120+EL120)/4</f>
        <v>4.5</v>
      </c>
      <c r="EN120" s="9" t="n">
        <f aca="false">(EI120/DR120)</f>
        <v>0.615384615384615</v>
      </c>
      <c r="EO120" s="9" t="n">
        <f aca="false">(EJ120/DS120)</f>
        <v>0.307692307692308</v>
      </c>
      <c r="EP120" s="9" t="n">
        <f aca="false">(EK120/DT120)</f>
        <v>0.0909090909090909</v>
      </c>
      <c r="EQ120" s="9" t="n">
        <f aca="false">(EL120/DU120)</f>
        <v>0.625</v>
      </c>
      <c r="ER120" s="9" t="n">
        <f aca="false">EM120/DV120</f>
        <v>0.4</v>
      </c>
      <c r="ES120" s="9" t="n">
        <f aca="false">(100*ER120)</f>
        <v>40</v>
      </c>
      <c r="ET120" s="9" t="n">
        <v>3</v>
      </c>
      <c r="EU120" s="18" t="n">
        <v>4</v>
      </c>
      <c r="EV120" s="9" t="n">
        <v>2</v>
      </c>
      <c r="EW120" s="9" t="n">
        <v>2</v>
      </c>
      <c r="EX120" s="9" t="n">
        <v>0</v>
      </c>
      <c r="EY120" s="11" t="n">
        <f aca="false">(EU120+EV120+EW120+EX120)/4</f>
        <v>2</v>
      </c>
      <c r="EZ120" s="11" t="n">
        <f aca="false">(EU120/DR120)</f>
        <v>0.307692307692308</v>
      </c>
      <c r="FA120" s="11" t="n">
        <f aca="false">(EV120/DS120)</f>
        <v>0.153846153846154</v>
      </c>
      <c r="FB120" s="11" t="n">
        <f aca="false">(EW120/DT120)</f>
        <v>0.181818181818182</v>
      </c>
      <c r="FC120" s="11" t="n">
        <f aca="false">(EX120/DU120)</f>
        <v>0</v>
      </c>
      <c r="FD120" s="11" t="n">
        <f aca="false">(EY120/DV120)</f>
        <v>0.177777777777778</v>
      </c>
      <c r="FE120" s="11" t="n">
        <f aca="false">(100*FD120)</f>
        <v>17.7777777777778</v>
      </c>
      <c r="FF120" s="9" t="n">
        <v>2</v>
      </c>
      <c r="FG120" s="9" t="n">
        <v>0</v>
      </c>
      <c r="FH120" s="9" t="n">
        <v>0</v>
      </c>
      <c r="FI120" s="9" t="n">
        <v>0</v>
      </c>
      <c r="FJ120" s="9" t="n">
        <v>0</v>
      </c>
      <c r="FK120" s="11" t="n">
        <f aca="false">(FG120+FH120+FI120+FJ120)/4</f>
        <v>0</v>
      </c>
      <c r="FL120" s="11" t="n">
        <f aca="false">(FG120/DR120)</f>
        <v>0</v>
      </c>
      <c r="FM120" s="11" t="n">
        <f aca="false">(FH120/DS120)</f>
        <v>0</v>
      </c>
      <c r="FN120" s="11" t="n">
        <f aca="false">(FI120/DT120)</f>
        <v>0</v>
      </c>
      <c r="FO120" s="11" t="n">
        <f aca="false">(FJ120/DU120)</f>
        <v>0</v>
      </c>
      <c r="FP120" s="11" t="n">
        <f aca="false">(FK120/DV120)</f>
        <v>0</v>
      </c>
      <c r="FQ120" s="11" t="n">
        <f aca="false">(100*FP120)</f>
        <v>0</v>
      </c>
      <c r="FR120" s="9" t="n">
        <v>0</v>
      </c>
      <c r="FS120" s="9" t="n">
        <v>58.1</v>
      </c>
      <c r="FT120" s="9" t="n">
        <v>53.8</v>
      </c>
      <c r="FU120" s="9" t="n">
        <v>58.8</v>
      </c>
      <c r="FV120" s="9" t="n">
        <v>50</v>
      </c>
      <c r="FW120" s="11" t="n">
        <f aca="false">(FS120+FT120+FU120+FV120)/4</f>
        <v>55.175</v>
      </c>
      <c r="FX120" s="9" t="n">
        <v>0</v>
      </c>
      <c r="FY120" s="9" t="n">
        <v>0</v>
      </c>
      <c r="FZ120" s="9" t="n">
        <v>0</v>
      </c>
      <c r="GA120" s="9" t="n">
        <v>0</v>
      </c>
      <c r="GB120" s="11" t="n">
        <f aca="false">(FX120+FY120+FZ120+GA120)/4</f>
        <v>0</v>
      </c>
      <c r="GC120" s="9" t="n">
        <v>1</v>
      </c>
      <c r="GD120" s="9" t="n">
        <v>1</v>
      </c>
      <c r="GE120" s="9" t="n">
        <v>1</v>
      </c>
      <c r="GF120" s="9" t="n">
        <v>1</v>
      </c>
      <c r="GG120" s="11" t="n">
        <f aca="false">(GC120+GD120+GE120+GF120)/4</f>
        <v>1</v>
      </c>
      <c r="GH120" s="9" t="n">
        <v>0</v>
      </c>
      <c r="GI120" s="9" t="n">
        <v>0</v>
      </c>
      <c r="GJ120" s="9" t="n">
        <v>0</v>
      </c>
      <c r="GK120" s="9" t="n">
        <v>0</v>
      </c>
      <c r="GL120" s="11" t="n">
        <f aca="false">(GH120+GI120+GJ120+GK120)/4</f>
        <v>0</v>
      </c>
      <c r="GM120" s="9" t="n">
        <v>0</v>
      </c>
      <c r="GN120" s="9" t="n">
        <v>0</v>
      </c>
      <c r="GO120" s="9" t="n">
        <v>0</v>
      </c>
      <c r="GP120" s="9" t="n">
        <v>0</v>
      </c>
      <c r="GQ120" s="11" t="n">
        <f aca="false">(GM120+GN120+GO120+GP120)/4</f>
        <v>0</v>
      </c>
      <c r="GR120" s="9" t="n">
        <v>14</v>
      </c>
      <c r="GS120" s="9" t="n">
        <v>8</v>
      </c>
      <c r="GT120" s="9" t="n">
        <v>10</v>
      </c>
      <c r="GU120" s="9" t="n">
        <v>10</v>
      </c>
      <c r="GV120" s="11" t="n">
        <f aca="false">(GR120+GS120+GT120+GU120)/4</f>
        <v>10.5</v>
      </c>
      <c r="GW120" s="11" t="n">
        <v>0</v>
      </c>
      <c r="GX120" s="11" t="n">
        <v>0</v>
      </c>
      <c r="GY120" s="11" t="n">
        <v>0</v>
      </c>
      <c r="GZ120" s="11" t="n">
        <v>0</v>
      </c>
      <c r="HA120" s="11" t="n">
        <f aca="false">(GW120+GX120+GY120+GZ120)/4</f>
        <v>0</v>
      </c>
      <c r="HB120" s="9" t="n">
        <f aca="false">(GW120/GR120)</f>
        <v>0</v>
      </c>
      <c r="HC120" s="9" t="n">
        <f aca="false">(GX120/GS120)</f>
        <v>0</v>
      </c>
      <c r="HD120" s="9" t="n">
        <f aca="false">(GY120/GT120)</f>
        <v>0</v>
      </c>
      <c r="HE120" s="9" t="n">
        <f aca="false">(GZ120/GU120)/4</f>
        <v>0</v>
      </c>
      <c r="HF120" s="9" t="n">
        <f aca="false">(HB120+HC120+HD120+HE120)/4</f>
        <v>0</v>
      </c>
      <c r="HG120" s="9" t="n">
        <f aca="false">(100*HF120)</f>
        <v>0</v>
      </c>
      <c r="HH120" s="18" t="n">
        <v>0</v>
      </c>
      <c r="HI120" s="9" t="n">
        <v>7</v>
      </c>
      <c r="HJ120" s="9" t="n">
        <v>1</v>
      </c>
      <c r="HK120" s="9" t="n">
        <v>3</v>
      </c>
      <c r="HL120" s="19" t="n">
        <v>2</v>
      </c>
      <c r="HM120" s="9" t="n">
        <f aca="false">(HI120+HJ120+HK120+HL120)/4</f>
        <v>3.25</v>
      </c>
      <c r="HN120" s="9" t="n">
        <f aca="false">(HI120/GR120)</f>
        <v>0.5</v>
      </c>
      <c r="HO120" s="9" t="n">
        <f aca="false">(HJ120/GS120)</f>
        <v>0.125</v>
      </c>
      <c r="HP120" s="9" t="n">
        <f aca="false">(HK120/GT120)</f>
        <v>0.3</v>
      </c>
      <c r="HQ120" s="9" t="n">
        <f aca="false">(HL120/GU120)</f>
        <v>0.2</v>
      </c>
      <c r="HR120" s="9" t="n">
        <f aca="false">(HM120/GV120)</f>
        <v>0.30952380952381</v>
      </c>
      <c r="HS120" s="9" t="n">
        <f aca="false">(100*HR120)</f>
        <v>30.952380952381</v>
      </c>
      <c r="HT120" s="18" t="n">
        <v>3</v>
      </c>
      <c r="HU120" s="9" t="n">
        <v>0</v>
      </c>
      <c r="HV120" s="9" t="n">
        <v>0</v>
      </c>
      <c r="HW120" s="9" t="n">
        <v>0</v>
      </c>
      <c r="HX120" s="19" t="n">
        <v>0</v>
      </c>
      <c r="HY120" s="9" t="n">
        <f aca="false">(HU120+HV120+HW120+HX120)/4</f>
        <v>0</v>
      </c>
      <c r="HZ120" s="9" t="n">
        <f aca="false">(HU120/GR120)</f>
        <v>0</v>
      </c>
      <c r="IA120" s="9" t="n">
        <f aca="false">HV120/GS120</f>
        <v>0</v>
      </c>
      <c r="IB120" s="9" t="n">
        <f aca="false">(HW120/GT120)</f>
        <v>0</v>
      </c>
      <c r="IC120" s="9" t="n">
        <f aca="false">(HX120/GU120)</f>
        <v>0</v>
      </c>
      <c r="ID120" s="9" t="n">
        <f aca="false">(HY120/GV120)</f>
        <v>0</v>
      </c>
      <c r="IE120" s="9" t="n">
        <f aca="false">(100*ID120)</f>
        <v>0</v>
      </c>
      <c r="IF120" s="18" t="n">
        <v>0</v>
      </c>
      <c r="IG120" s="9" t="n">
        <v>0</v>
      </c>
      <c r="IH120" s="9" t="n">
        <v>0</v>
      </c>
      <c r="II120" s="19" t="n">
        <v>0</v>
      </c>
      <c r="IJ120" s="9" t="n">
        <v>0</v>
      </c>
      <c r="IK120" s="9" t="n">
        <f aca="false">(IG120+IH120+II120+IJ120)/4</f>
        <v>0</v>
      </c>
      <c r="IL120" s="9" t="e">
        <f aca="false">(IG120/GM120)</f>
        <v>#DIV/0!</v>
      </c>
      <c r="IM120" s="9" t="e">
        <f aca="false">(IH120/GN120)</f>
        <v>#DIV/0!</v>
      </c>
      <c r="IN120" s="9" t="e">
        <f aca="false">(II120/GO120)</f>
        <v>#DIV/0!</v>
      </c>
      <c r="IO120" s="9" t="e">
        <f aca="false">(IJ120/GP120)</f>
        <v>#DIV/0!</v>
      </c>
      <c r="IP120" s="9" t="e">
        <f aca="false">(IK120/GQ120)</f>
        <v>#DIV/0!</v>
      </c>
      <c r="IQ120" s="9" t="e">
        <f aca="false">(100*IP120)</f>
        <v>#DIV/0!</v>
      </c>
      <c r="IR120" s="18"/>
      <c r="IS120" s="9" t="n">
        <v>65</v>
      </c>
      <c r="IT120" s="9" t="n">
        <v>63.4</v>
      </c>
      <c r="IU120" s="19" t="n">
        <v>54.3</v>
      </c>
      <c r="IV120" s="9" t="n">
        <v>66.1</v>
      </c>
      <c r="IW120" s="9" t="n">
        <f aca="false">(IS120+IT120+IU120+IV120)/4</f>
        <v>62.2</v>
      </c>
      <c r="IX120" s="16" t="n">
        <v>45210</v>
      </c>
      <c r="IY120" s="10" t="s">
        <v>268</v>
      </c>
    </row>
    <row r="121" customFormat="false" ht="15.75" hidden="false" customHeight="true" outlineLevel="0" collapsed="false">
      <c r="A121" s="9" t="s">
        <v>259</v>
      </c>
      <c r="B121" s="10" t="s">
        <v>541</v>
      </c>
      <c r="C121" s="10" t="s">
        <v>514</v>
      </c>
      <c r="D121" s="9" t="n">
        <v>5</v>
      </c>
      <c r="E121" s="9" t="n">
        <v>40</v>
      </c>
      <c r="F121" s="10" t="s">
        <v>547</v>
      </c>
      <c r="G121" s="10" t="s">
        <v>275</v>
      </c>
      <c r="H121" s="9" t="n">
        <v>20</v>
      </c>
      <c r="I121" s="9" t="n">
        <v>20</v>
      </c>
      <c r="J121" s="10" t="s">
        <v>272</v>
      </c>
      <c r="K121" s="20"/>
      <c r="L121" s="20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 t="n">
        <v>0</v>
      </c>
      <c r="Y121" s="9" t="n">
        <v>0</v>
      </c>
      <c r="Z121" s="9" t="n">
        <v>0</v>
      </c>
      <c r="AA121" s="9" t="n">
        <v>1</v>
      </c>
      <c r="AB121" s="11" t="n">
        <f aca="false">(X121+Y121+Z121+AA121)/4</f>
        <v>0.25</v>
      </c>
      <c r="AC121" s="9" t="n">
        <v>1</v>
      </c>
      <c r="AD121" s="9" t="n">
        <v>1</v>
      </c>
      <c r="AE121" s="9" t="n">
        <v>1</v>
      </c>
      <c r="AF121" s="9" t="n">
        <v>1</v>
      </c>
      <c r="AG121" s="11" t="n">
        <f aca="false">(AC121+AD121+AE121+AF121)/4</f>
        <v>1</v>
      </c>
      <c r="AH121" s="9" t="n">
        <v>1</v>
      </c>
      <c r="AI121" s="9" t="n">
        <v>1</v>
      </c>
      <c r="AJ121" s="9" t="n">
        <v>1</v>
      </c>
      <c r="AK121" s="9" t="n">
        <v>0</v>
      </c>
      <c r="AL121" s="11" t="n">
        <f aca="false">(AH121+AI121+AJ121+AK121)/4</f>
        <v>0.75</v>
      </c>
      <c r="AM121" s="9" t="n">
        <v>36</v>
      </c>
      <c r="AN121" s="9" t="n">
        <v>35</v>
      </c>
      <c r="AO121" s="9" t="n">
        <v>33</v>
      </c>
      <c r="AP121" s="9" t="n">
        <v>22</v>
      </c>
      <c r="AQ121" s="11" t="n">
        <f aca="false">(AM121+AN121+AO121+AP121)/4</f>
        <v>31.5</v>
      </c>
      <c r="AR121" s="9" t="n">
        <v>16</v>
      </c>
      <c r="AS121" s="9" t="n">
        <v>12</v>
      </c>
      <c r="AT121" s="9" t="n">
        <v>8</v>
      </c>
      <c r="AU121" s="9" t="n">
        <v>17</v>
      </c>
      <c r="AV121" s="11" t="n">
        <f aca="false">(AR121+AS121+AT121+AU121)/4</f>
        <v>13.25</v>
      </c>
      <c r="AW121" s="9" t="n">
        <v>0</v>
      </c>
      <c r="AX121" s="9" t="n">
        <v>0</v>
      </c>
      <c r="AY121" s="9" t="n">
        <v>0</v>
      </c>
      <c r="AZ121" s="9" t="n">
        <v>1</v>
      </c>
      <c r="BA121" s="11" t="n">
        <f aca="false">(AW121+AX121+AY121+AZ121)/4</f>
        <v>0.25</v>
      </c>
      <c r="BB121" s="11" t="n">
        <f aca="false">(AW121/AR121)</f>
        <v>0</v>
      </c>
      <c r="BC121" s="11" t="n">
        <f aca="false">(AX121/AS121)</f>
        <v>0</v>
      </c>
      <c r="BD121" s="11" t="n">
        <f aca="false">(AY121/AT121)</f>
        <v>0</v>
      </c>
      <c r="BE121" s="11" t="n">
        <f aca="false">(AZ121/AU121)</f>
        <v>0.0588235294117647</v>
      </c>
      <c r="BF121" s="11" t="n">
        <f aca="false">(BA121/AV121)</f>
        <v>0.0188679245283019</v>
      </c>
      <c r="BG121" s="11" t="n">
        <f aca="false">(BF121*100)</f>
        <v>1.88679245283019</v>
      </c>
      <c r="BH121" s="9" t="n">
        <v>1</v>
      </c>
      <c r="BI121" s="9" t="n">
        <v>4</v>
      </c>
      <c r="BJ121" s="9" t="n">
        <v>3</v>
      </c>
      <c r="BK121" s="9" t="n">
        <v>3</v>
      </c>
      <c r="BL121" s="9" t="n">
        <v>6</v>
      </c>
      <c r="BM121" s="11" t="n">
        <f aca="false">(BI121+BJ121+BK121+BL121)/4</f>
        <v>4</v>
      </c>
      <c r="BN121" s="11" t="n">
        <f aca="false">(BI121/AR121)</f>
        <v>0.25</v>
      </c>
      <c r="BO121" s="11" t="n">
        <f aca="false">(BJ121/AS121)</f>
        <v>0.25</v>
      </c>
      <c r="BP121" s="11" t="n">
        <f aca="false">(BK121/AT121)</f>
        <v>0.375</v>
      </c>
      <c r="BQ121" s="11" t="n">
        <f aca="false">(BL121/AU121)</f>
        <v>0.352941176470588</v>
      </c>
      <c r="BR121" s="11" t="n">
        <f aca="false">(BM121/AV121)</f>
        <v>0.30188679245283</v>
      </c>
      <c r="BS121" s="11" t="n">
        <f aca="false">(100*BR121)</f>
        <v>30.188679245283</v>
      </c>
      <c r="BT121" s="9" t="n">
        <v>3</v>
      </c>
      <c r="BU121" s="9" t="n">
        <v>0</v>
      </c>
      <c r="BV121" s="9" t="n">
        <v>0</v>
      </c>
      <c r="BW121" s="9" t="n">
        <v>0</v>
      </c>
      <c r="BX121" s="9" t="n">
        <v>0</v>
      </c>
      <c r="BY121" s="11" t="n">
        <f aca="false">(BU121+BV121+BW121+BX121)/4</f>
        <v>0</v>
      </c>
      <c r="BZ121" s="11" t="n">
        <f aca="false">(BU121/AR121)</f>
        <v>0</v>
      </c>
      <c r="CA121" s="11" t="n">
        <f aca="false">(BV121/AS121)</f>
        <v>0</v>
      </c>
      <c r="CB121" s="11" t="n">
        <f aca="false">(BW121/AT121)</f>
        <v>0</v>
      </c>
      <c r="CC121" s="11" t="n">
        <f aca="false">(BX121/AU121)</f>
        <v>0</v>
      </c>
      <c r="CD121" s="11" t="n">
        <f aca="false">(BY121/AV121)</f>
        <v>0</v>
      </c>
      <c r="CE121" s="11" t="n">
        <f aca="false">(100*CD121)</f>
        <v>0</v>
      </c>
      <c r="CF121" s="9" t="n">
        <v>0</v>
      </c>
      <c r="CG121" s="9" t="n">
        <v>15</v>
      </c>
      <c r="CH121" s="9" t="n">
        <v>20</v>
      </c>
      <c r="CI121" s="9" t="n">
        <v>12</v>
      </c>
      <c r="CJ121" s="9" t="n">
        <v>0</v>
      </c>
      <c r="CK121" s="11" t="n">
        <f aca="false">(CG121+CH121+CI121+CJ121)/4</f>
        <v>11.75</v>
      </c>
      <c r="CL121" s="11" t="n">
        <f aca="false">(CG121/AM121)</f>
        <v>0.416666666666667</v>
      </c>
      <c r="CM121" s="11" t="n">
        <f aca="false">(CH121/AN121)</f>
        <v>0.571428571428571</v>
      </c>
      <c r="CN121" s="11" t="n">
        <f aca="false">(CI121/AO121)</f>
        <v>0.363636363636364</v>
      </c>
      <c r="CO121" s="9" t="n">
        <f aca="false">(CJ121/AP121)</f>
        <v>0</v>
      </c>
      <c r="CP121" s="9" t="n">
        <f aca="false">(CK121/AQ121)</f>
        <v>0.373015873015873</v>
      </c>
      <c r="CQ121" s="9" t="n">
        <f aca="false">(100*CP121)</f>
        <v>37.3015873015873</v>
      </c>
      <c r="CR121" s="18" t="n">
        <v>3</v>
      </c>
      <c r="CS121" s="9" t="n">
        <v>57.5</v>
      </c>
      <c r="CT121" s="9" t="n">
        <v>71.9</v>
      </c>
      <c r="CU121" s="9" t="n">
        <v>57.2</v>
      </c>
      <c r="CV121" s="9" t="n">
        <v>46</v>
      </c>
      <c r="CW121" s="11" t="n">
        <f aca="false">(CS121+CT121+CU121+CV121)/4</f>
        <v>58.15</v>
      </c>
      <c r="CX121" s="9" t="n">
        <v>0</v>
      </c>
      <c r="CY121" s="9" t="n">
        <v>0</v>
      </c>
      <c r="CZ121" s="9" t="n">
        <v>1</v>
      </c>
      <c r="DA121" s="9" t="n">
        <v>0</v>
      </c>
      <c r="DB121" s="11" t="n">
        <f aca="false">(CX121+CY121+CZ121+DA121)/4</f>
        <v>0.25</v>
      </c>
      <c r="DC121" s="9" t="n">
        <v>1</v>
      </c>
      <c r="DD121" s="9" t="n">
        <v>1</v>
      </c>
      <c r="DE121" s="9" t="n">
        <v>1</v>
      </c>
      <c r="DF121" s="9" t="n">
        <v>1</v>
      </c>
      <c r="DG121" s="11" t="n">
        <f aca="false">(DC121+DD121+DE121+DF121)/4</f>
        <v>1</v>
      </c>
      <c r="DH121" s="9" t="n">
        <v>1</v>
      </c>
      <c r="DI121" s="9" t="n">
        <v>1</v>
      </c>
      <c r="DJ121" s="9" t="n">
        <v>0</v>
      </c>
      <c r="DK121" s="9" t="n">
        <v>1</v>
      </c>
      <c r="DL121" s="11" t="n">
        <f aca="false">(DH121+DI121+DJ121+DK121)/4</f>
        <v>0.75</v>
      </c>
      <c r="DM121" s="9" t="n">
        <v>80</v>
      </c>
      <c r="DN121" s="9" t="n">
        <v>33</v>
      </c>
      <c r="DO121" s="9" t="n">
        <v>8</v>
      </c>
      <c r="DP121" s="9" t="n">
        <v>98</v>
      </c>
      <c r="DQ121" s="11" t="n">
        <f aca="false">(DM121+DN121+DO121+DP121)/4</f>
        <v>54.75</v>
      </c>
      <c r="DR121" s="9" t="n">
        <v>19</v>
      </c>
      <c r="DS121" s="9" t="n">
        <v>12</v>
      </c>
      <c r="DT121" s="9" t="n">
        <v>6</v>
      </c>
      <c r="DU121" s="9" t="n">
        <v>24</v>
      </c>
      <c r="DV121" s="11" t="n">
        <f aca="false">(DR121+DS121+DT121+DU121)/4</f>
        <v>15.25</v>
      </c>
      <c r="DW121" s="9" t="n">
        <v>0</v>
      </c>
      <c r="DX121" s="9" t="n">
        <v>0</v>
      </c>
      <c r="DY121" s="9" t="n">
        <v>3</v>
      </c>
      <c r="DZ121" s="9" t="n">
        <v>0</v>
      </c>
      <c r="EA121" s="11" t="n">
        <f aca="false">(DW121+DX121+DY121+DZ121)/4</f>
        <v>0.75</v>
      </c>
      <c r="EB121" s="11" t="n">
        <f aca="false">(DW121/DR121)</f>
        <v>0</v>
      </c>
      <c r="EC121" s="11" t="n">
        <f aca="false">(DX121/DS121)</f>
        <v>0</v>
      </c>
      <c r="ED121" s="11" t="n">
        <f aca="false">(DY121/DT121)</f>
        <v>0.5</v>
      </c>
      <c r="EE121" s="11" t="n">
        <f aca="false">(DZ121/DU121)</f>
        <v>0</v>
      </c>
      <c r="EF121" s="11" t="n">
        <f aca="false">(EA121/DV121)</f>
        <v>0.0491803278688525</v>
      </c>
      <c r="EG121" s="11" t="n">
        <f aca="false">(100*EF121)</f>
        <v>4.91803278688525</v>
      </c>
      <c r="EH121" s="9" t="n">
        <v>1</v>
      </c>
      <c r="EI121" s="9" t="n">
        <v>5</v>
      </c>
      <c r="EJ121" s="9" t="n">
        <v>3</v>
      </c>
      <c r="EK121" s="19" t="n">
        <v>2</v>
      </c>
      <c r="EL121" s="9" t="n">
        <v>2</v>
      </c>
      <c r="EM121" s="9" t="n">
        <f aca="false">(EI121+EJ121+EK121+EL121)/4</f>
        <v>3</v>
      </c>
      <c r="EN121" s="9" t="n">
        <f aca="false">(EI121/DR121)</f>
        <v>0.263157894736842</v>
      </c>
      <c r="EO121" s="9" t="n">
        <f aca="false">(EJ121/DS121)</f>
        <v>0.25</v>
      </c>
      <c r="EP121" s="9" t="n">
        <f aca="false">(EK121/DT121)</f>
        <v>0.333333333333333</v>
      </c>
      <c r="EQ121" s="9" t="n">
        <f aca="false">(EL121/DU121)</f>
        <v>0.0833333333333333</v>
      </c>
      <c r="ER121" s="9" t="n">
        <f aca="false">EM121/DV121</f>
        <v>0.19672131147541</v>
      </c>
      <c r="ES121" s="9" t="n">
        <f aca="false">(100*ER121)</f>
        <v>19.672131147541</v>
      </c>
      <c r="ET121" s="9" t="n">
        <v>2</v>
      </c>
      <c r="EU121" s="18" t="n">
        <v>0</v>
      </c>
      <c r="EV121" s="9" t="n">
        <v>0</v>
      </c>
      <c r="EW121" s="9" t="n">
        <v>0</v>
      </c>
      <c r="EX121" s="9" t="n">
        <v>0</v>
      </c>
      <c r="EY121" s="11" t="n">
        <f aca="false">(EU121+EV121+EW121+EX121)/4</f>
        <v>0</v>
      </c>
      <c r="EZ121" s="11" t="n">
        <f aca="false">(EU121/DR121)</f>
        <v>0</v>
      </c>
      <c r="FA121" s="11" t="n">
        <f aca="false">(EV121/DS121)</f>
        <v>0</v>
      </c>
      <c r="FB121" s="11" t="n">
        <f aca="false">(EW121/DT121)</f>
        <v>0</v>
      </c>
      <c r="FC121" s="11" t="n">
        <f aca="false">(EX121/DU121)</f>
        <v>0</v>
      </c>
      <c r="FD121" s="11" t="n">
        <f aca="false">(EY121/DV121)</f>
        <v>0</v>
      </c>
      <c r="FE121" s="11" t="n">
        <f aca="false">(100*FD121)</f>
        <v>0</v>
      </c>
      <c r="FF121" s="9" t="n">
        <v>0</v>
      </c>
      <c r="FG121" s="9" t="n">
        <v>3</v>
      </c>
      <c r="FH121" s="9" t="n">
        <v>5</v>
      </c>
      <c r="FI121" s="9" t="n">
        <v>0</v>
      </c>
      <c r="FJ121" s="9" t="n">
        <v>4</v>
      </c>
      <c r="FK121" s="11" t="n">
        <f aca="false">(FG121+FH121+FI121+FJ121)/4</f>
        <v>3</v>
      </c>
      <c r="FL121" s="11" t="n">
        <f aca="false">(FG121/DR121)</f>
        <v>0.157894736842105</v>
      </c>
      <c r="FM121" s="11" t="n">
        <f aca="false">(FH121/DS121)</f>
        <v>0.416666666666667</v>
      </c>
      <c r="FN121" s="11" t="n">
        <f aca="false">(FI121/DT121)</f>
        <v>0</v>
      </c>
      <c r="FO121" s="11" t="n">
        <f aca="false">(FJ121/DU121)</f>
        <v>0.166666666666667</v>
      </c>
      <c r="FP121" s="11" t="n">
        <f aca="false">(FK121/DV121)</f>
        <v>0.19672131147541</v>
      </c>
      <c r="FQ121" s="11" t="n">
        <f aca="false">(100*FP121)</f>
        <v>19.672131147541</v>
      </c>
      <c r="FR121" s="9" t="n">
        <v>2</v>
      </c>
      <c r="FS121" s="9" t="n">
        <v>69.6</v>
      </c>
      <c r="FT121" s="9" t="n">
        <v>76.4</v>
      </c>
      <c r="FU121" s="9" t="n">
        <v>51.5</v>
      </c>
      <c r="FV121" s="9" t="n">
        <v>43.7</v>
      </c>
      <c r="FW121" s="11" t="n">
        <f aca="false">(FS121+FT121+FU121+FV121)/4</f>
        <v>60.3</v>
      </c>
      <c r="FX121" s="9" t="n">
        <v>0</v>
      </c>
      <c r="FY121" s="9" t="n">
        <v>0</v>
      </c>
      <c r="FZ121" s="9" t="n">
        <v>0</v>
      </c>
      <c r="GA121" s="9" t="n">
        <v>0</v>
      </c>
      <c r="GB121" s="11" t="n">
        <f aca="false">(FX121+FY121+FZ121+GA121)/4</f>
        <v>0</v>
      </c>
      <c r="GC121" s="9" t="n">
        <v>1</v>
      </c>
      <c r="GD121" s="9" t="n">
        <v>0</v>
      </c>
      <c r="GE121" s="9" t="n">
        <v>1</v>
      </c>
      <c r="GF121" s="9" t="n">
        <v>1</v>
      </c>
      <c r="GG121" s="11" t="n">
        <f aca="false">(GC121+GD121+GE121+GF121)/4</f>
        <v>0.75</v>
      </c>
      <c r="GH121" s="9" t="n">
        <v>1</v>
      </c>
      <c r="GI121" s="9" t="n">
        <v>0</v>
      </c>
      <c r="GJ121" s="9" t="n">
        <v>1</v>
      </c>
      <c r="GK121" s="9" t="n">
        <v>1</v>
      </c>
      <c r="GL121" s="11" t="n">
        <f aca="false">(GH121+GI121+GJ121+GK121)/4</f>
        <v>0.75</v>
      </c>
      <c r="GM121" s="9" t="n">
        <v>53</v>
      </c>
      <c r="GN121" s="9" t="n">
        <v>74</v>
      </c>
      <c r="GO121" s="9" t="n">
        <v>66</v>
      </c>
      <c r="GP121" s="9" t="n">
        <v>30</v>
      </c>
      <c r="GQ121" s="11" t="n">
        <f aca="false">(GM121+GN121+GO121+GP121)/4</f>
        <v>55.75</v>
      </c>
      <c r="GR121" s="9" t="n">
        <v>9</v>
      </c>
      <c r="GS121" s="9" t="n">
        <v>15</v>
      </c>
      <c r="GT121" s="9" t="n">
        <v>15</v>
      </c>
      <c r="GU121" s="9" t="n">
        <v>18</v>
      </c>
      <c r="GV121" s="11" t="n">
        <f aca="false">(GR121+GS121+GT121+GU121)/4</f>
        <v>14.25</v>
      </c>
      <c r="GW121" s="9" t="n">
        <v>0</v>
      </c>
      <c r="GX121" s="9" t="n">
        <v>0</v>
      </c>
      <c r="GY121" s="9" t="n">
        <v>0</v>
      </c>
      <c r="GZ121" s="9" t="n">
        <v>0</v>
      </c>
      <c r="HA121" s="11" t="n">
        <f aca="false">(GW121+GX121+GY121+GZ121)/4</f>
        <v>0</v>
      </c>
      <c r="HB121" s="9" t="n">
        <f aca="false">(GW121/GR121)</f>
        <v>0</v>
      </c>
      <c r="HC121" s="9" t="n">
        <f aca="false">(GX121/GS121)</f>
        <v>0</v>
      </c>
      <c r="HD121" s="9" t="n">
        <f aca="false">(GY121/GT121)</f>
        <v>0</v>
      </c>
      <c r="HE121" s="9" t="n">
        <f aca="false">(GZ121/GU121)/4</f>
        <v>0</v>
      </c>
      <c r="HF121" s="9" t="n">
        <f aca="false">(HB121+HC121+HD121+HE121)/4</f>
        <v>0</v>
      </c>
      <c r="HG121" s="9" t="n">
        <f aca="false">(100*HF121)</f>
        <v>0</v>
      </c>
      <c r="HH121" s="18" t="n">
        <v>0</v>
      </c>
      <c r="HI121" s="9" t="n">
        <v>5</v>
      </c>
      <c r="HJ121" s="9" t="n">
        <v>0</v>
      </c>
      <c r="HK121" s="9" t="n">
        <v>4</v>
      </c>
      <c r="HL121" s="19" t="n">
        <v>4</v>
      </c>
      <c r="HM121" s="9" t="n">
        <f aca="false">(HI121+HJ121+HK121+HL121)/4</f>
        <v>3.25</v>
      </c>
      <c r="HN121" s="9" t="n">
        <f aca="false">(HI121/GR121)</f>
        <v>0.555555555555556</v>
      </c>
      <c r="HO121" s="9" t="n">
        <f aca="false">(HJ121/GS121)</f>
        <v>0</v>
      </c>
      <c r="HP121" s="9" t="n">
        <f aca="false">(HK121/GT121)</f>
        <v>0.266666666666667</v>
      </c>
      <c r="HQ121" s="9" t="n">
        <f aca="false">(HL121/GU121)</f>
        <v>0.222222222222222</v>
      </c>
      <c r="HR121" s="9" t="n">
        <f aca="false">(HM121/GV121)</f>
        <v>0.228070175438596</v>
      </c>
      <c r="HS121" s="9" t="n">
        <f aca="false">(100*HR121)</f>
        <v>22.8070175438596</v>
      </c>
      <c r="HT121" s="18" t="n">
        <v>2</v>
      </c>
      <c r="HU121" s="9" t="n">
        <v>0</v>
      </c>
      <c r="HV121" s="9" t="n">
        <v>0</v>
      </c>
      <c r="HW121" s="9" t="n">
        <v>0</v>
      </c>
      <c r="HX121" s="19" t="n">
        <v>0</v>
      </c>
      <c r="HY121" s="9" t="n">
        <f aca="false">(HU121+HV121+HW121+HX121)/4</f>
        <v>0</v>
      </c>
      <c r="HZ121" s="9" t="n">
        <f aca="false">(HU121/GR121)</f>
        <v>0</v>
      </c>
      <c r="IA121" s="9" t="n">
        <f aca="false">HV121/GS121</f>
        <v>0</v>
      </c>
      <c r="IB121" s="9" t="n">
        <f aca="false">(HW121/GT121)</f>
        <v>0</v>
      </c>
      <c r="IC121" s="9" t="n">
        <f aca="false">(HX121/GU121)</f>
        <v>0</v>
      </c>
      <c r="ID121" s="9" t="n">
        <f aca="false">(HY121/GV121)</f>
        <v>0</v>
      </c>
      <c r="IE121" s="9" t="n">
        <f aca="false">(100*ID121)</f>
        <v>0</v>
      </c>
      <c r="IF121" s="18" t="n">
        <v>0</v>
      </c>
      <c r="IG121" s="9" t="n">
        <v>24</v>
      </c>
      <c r="IH121" s="9" t="n">
        <v>0</v>
      </c>
      <c r="II121" s="19" t="n">
        <v>5</v>
      </c>
      <c r="IJ121" s="9" t="n">
        <v>5</v>
      </c>
      <c r="IK121" s="9" t="n">
        <f aca="false">(IG121+IH121+II121+IJ121)/4</f>
        <v>8.5</v>
      </c>
      <c r="IL121" s="9" t="n">
        <f aca="false">(IG121/GM121)</f>
        <v>0.452830188679245</v>
      </c>
      <c r="IM121" s="9" t="n">
        <f aca="false">(IH121/GN121)</f>
        <v>0</v>
      </c>
      <c r="IN121" s="9" t="n">
        <f aca="false">(II121/GO121)</f>
        <v>0.0757575757575758</v>
      </c>
      <c r="IO121" s="9" t="n">
        <f aca="false">(IJ121/GP121)</f>
        <v>0.166666666666667</v>
      </c>
      <c r="IP121" s="9" t="n">
        <f aca="false">(IK121/GQ121)</f>
        <v>0.152466367713004</v>
      </c>
      <c r="IQ121" s="9" t="n">
        <f aca="false">(100*IP121)</f>
        <v>15.2466367713004</v>
      </c>
      <c r="IR121" s="18" t="n">
        <v>2</v>
      </c>
      <c r="IS121" s="9" t="n">
        <v>64.7</v>
      </c>
      <c r="IT121" s="9" t="n">
        <v>61</v>
      </c>
      <c r="IU121" s="19" t="n">
        <v>66.3</v>
      </c>
      <c r="IV121" s="9" t="n">
        <v>66.2</v>
      </c>
      <c r="IW121" s="9" t="n">
        <f aca="false">(IS121+IT121+IU121+IV121)/4</f>
        <v>64.55</v>
      </c>
      <c r="IX121" s="16" t="n">
        <v>45210</v>
      </c>
      <c r="IY121" s="10" t="s">
        <v>268</v>
      </c>
    </row>
    <row r="122" customFormat="false" ht="15.75" hidden="false" customHeight="true" outlineLevel="0" collapsed="false">
      <c r="A122" s="9" t="s">
        <v>299</v>
      </c>
      <c r="B122" s="10" t="s">
        <v>548</v>
      </c>
      <c r="C122" s="10" t="s">
        <v>514</v>
      </c>
      <c r="D122" s="9" t="n">
        <v>1</v>
      </c>
      <c r="E122" s="9" t="n">
        <v>41</v>
      </c>
      <c r="F122" s="10" t="s">
        <v>549</v>
      </c>
      <c r="G122" s="11" t="s">
        <v>263</v>
      </c>
      <c r="H122" s="9" t="n">
        <v>20</v>
      </c>
      <c r="I122" s="9" t="n">
        <v>5</v>
      </c>
      <c r="J122" s="12" t="s">
        <v>264</v>
      </c>
      <c r="K122" s="13" t="s">
        <v>550</v>
      </c>
      <c r="L122" s="13" t="s">
        <v>551</v>
      </c>
      <c r="M122" s="14" t="n">
        <v>1301</v>
      </c>
      <c r="N122" s="15" t="n">
        <v>45135</v>
      </c>
      <c r="O122" s="10" t="s">
        <v>267</v>
      </c>
      <c r="P122" s="9"/>
      <c r="Q122" s="9" t="n">
        <v>0.08</v>
      </c>
      <c r="R122" s="9" t="n">
        <v>20</v>
      </c>
      <c r="S122" s="9" t="n">
        <v>-11</v>
      </c>
      <c r="T122" s="9" t="n">
        <v>100</v>
      </c>
      <c r="U122" s="9"/>
      <c r="V122" s="9" t="n">
        <v>3.1</v>
      </c>
      <c r="W122" s="9"/>
      <c r="X122" s="9" t="n">
        <v>0</v>
      </c>
      <c r="Y122" s="9" t="n">
        <v>0</v>
      </c>
      <c r="Z122" s="9" t="n">
        <v>0</v>
      </c>
      <c r="AA122" s="9" t="n">
        <v>0</v>
      </c>
      <c r="AB122" s="11" t="n">
        <f aca="false">(X122+Y122+Z122+AA122)/4</f>
        <v>0</v>
      </c>
      <c r="AC122" s="9" t="n">
        <v>1</v>
      </c>
      <c r="AD122" s="9" t="n">
        <v>1</v>
      </c>
      <c r="AE122" s="9" t="n">
        <v>1</v>
      </c>
      <c r="AF122" s="9" t="n">
        <v>1</v>
      </c>
      <c r="AG122" s="11" t="n">
        <f aca="false">(AC122+AD122+AE122+AF122)/4</f>
        <v>1</v>
      </c>
      <c r="AH122" s="9" t="n">
        <v>1</v>
      </c>
      <c r="AI122" s="9" t="n">
        <v>1</v>
      </c>
      <c r="AJ122" s="9" t="n">
        <v>1</v>
      </c>
      <c r="AK122" s="9" t="n">
        <v>1</v>
      </c>
      <c r="AL122" s="11" t="n">
        <f aca="false">(AH122+AI122+AJ122+AK122)/4</f>
        <v>1</v>
      </c>
      <c r="AM122" s="9" t="n">
        <v>30</v>
      </c>
      <c r="AN122" s="9" t="n">
        <v>36</v>
      </c>
      <c r="AO122" s="9" t="n">
        <v>34</v>
      </c>
      <c r="AP122" s="9" t="n">
        <v>38</v>
      </c>
      <c r="AQ122" s="11" t="n">
        <f aca="false">(AM122+AN122+AO122+AP122)/4</f>
        <v>34.5</v>
      </c>
      <c r="AR122" s="9" t="n">
        <v>60</v>
      </c>
      <c r="AS122" s="9" t="n">
        <v>8</v>
      </c>
      <c r="AT122" s="9" t="n">
        <v>5</v>
      </c>
      <c r="AU122" s="9" t="n">
        <v>8</v>
      </c>
      <c r="AV122" s="11" t="n">
        <f aca="false">(AR122+AS122+AT122+AU122)/4</f>
        <v>20.25</v>
      </c>
      <c r="AW122" s="9" t="n">
        <v>0</v>
      </c>
      <c r="AX122" s="9" t="n">
        <v>0</v>
      </c>
      <c r="AY122" s="9" t="n">
        <v>0</v>
      </c>
      <c r="AZ122" s="9" t="n">
        <v>0</v>
      </c>
      <c r="BA122" s="11" t="n">
        <f aca="false">(AW122+AX122+AY122+AZ122)/4</f>
        <v>0</v>
      </c>
      <c r="BB122" s="11" t="n">
        <f aca="false">(AW122/AR122)</f>
        <v>0</v>
      </c>
      <c r="BC122" s="11" t="n">
        <f aca="false">(AX122/AS122)</f>
        <v>0</v>
      </c>
      <c r="BD122" s="11" t="n">
        <f aca="false">(AY122/AT122)</f>
        <v>0</v>
      </c>
      <c r="BE122" s="11" t="n">
        <f aca="false">(AZ122/AU122)</f>
        <v>0</v>
      </c>
      <c r="BF122" s="11" t="n">
        <f aca="false">(BA122/AV122)</f>
        <v>0</v>
      </c>
      <c r="BG122" s="11" t="n">
        <f aca="false">(BF122*100)</f>
        <v>0</v>
      </c>
      <c r="BH122" s="9" t="n">
        <v>0</v>
      </c>
      <c r="BI122" s="9" t="n">
        <v>4</v>
      </c>
      <c r="BJ122" s="9" t="n">
        <v>2</v>
      </c>
      <c r="BK122" s="9" t="n">
        <v>4</v>
      </c>
      <c r="BL122" s="9" t="n">
        <v>3</v>
      </c>
      <c r="BM122" s="11" t="n">
        <f aca="false">(BI122+BJ122+BK122+BL122)/4</f>
        <v>3.25</v>
      </c>
      <c r="BN122" s="11" t="n">
        <f aca="false">(BI122/AR122)</f>
        <v>0.0666666666666667</v>
      </c>
      <c r="BO122" s="11" t="n">
        <f aca="false">(BJ122/AS122)</f>
        <v>0.25</v>
      </c>
      <c r="BP122" s="11" t="n">
        <f aca="false">(BK122/AT122)</f>
        <v>0.8</v>
      </c>
      <c r="BQ122" s="11" t="n">
        <f aca="false">(BL122/AU122)</f>
        <v>0.375</v>
      </c>
      <c r="BR122" s="11" t="n">
        <f aca="false">(BM122/AV122)</f>
        <v>0.160493827160494</v>
      </c>
      <c r="BS122" s="11" t="n">
        <f aca="false">(100*BR122)</f>
        <v>16.0493827160494</v>
      </c>
      <c r="BT122" s="9" t="n">
        <v>2</v>
      </c>
      <c r="BU122" s="9" t="n">
        <v>5</v>
      </c>
      <c r="BV122" s="9" t="n">
        <v>1</v>
      </c>
      <c r="BW122" s="9" t="n">
        <v>1</v>
      </c>
      <c r="BX122" s="9" t="n">
        <v>0</v>
      </c>
      <c r="BY122" s="11" t="n">
        <f aca="false">(BU122+BV122+BW122+BX122)/4</f>
        <v>1.75</v>
      </c>
      <c r="BZ122" s="11" t="n">
        <f aca="false">(BU122/AR122)</f>
        <v>0.0833333333333333</v>
      </c>
      <c r="CA122" s="11" t="n">
        <f aca="false">(BV122/AS122)</f>
        <v>0.125</v>
      </c>
      <c r="CB122" s="11" t="n">
        <f aca="false">(BW122/AT122)</f>
        <v>0.2</v>
      </c>
      <c r="CC122" s="11" t="n">
        <f aca="false">(BX122/AU122)</f>
        <v>0</v>
      </c>
      <c r="CD122" s="11" t="n">
        <f aca="false">(BY122/AV122)</f>
        <v>0.0864197530864198</v>
      </c>
      <c r="CE122" s="11" t="n">
        <f aca="false">(100*CD122)</f>
        <v>8.64197530864198</v>
      </c>
      <c r="CF122" s="9" t="n">
        <v>1</v>
      </c>
      <c r="CG122" s="9" t="n">
        <v>5</v>
      </c>
      <c r="CH122" s="9" t="n">
        <v>2</v>
      </c>
      <c r="CI122" s="9" t="n">
        <v>2</v>
      </c>
      <c r="CJ122" s="9" t="n">
        <v>3</v>
      </c>
      <c r="CK122" s="11" t="n">
        <f aca="false">(CG122+CH122+CI122+CJ122)/4</f>
        <v>3</v>
      </c>
      <c r="CL122" s="11" t="n">
        <f aca="false">(CG122/AM122)</f>
        <v>0.166666666666667</v>
      </c>
      <c r="CM122" s="11" t="n">
        <f aca="false">(CH122/AN122)</f>
        <v>0.0555555555555556</v>
      </c>
      <c r="CN122" s="11" t="n">
        <f aca="false">(CI122/AO122)</f>
        <v>0.0588235294117647</v>
      </c>
      <c r="CO122" s="9" t="n">
        <f aca="false">(CJ122/AP122)</f>
        <v>0.0789473684210526</v>
      </c>
      <c r="CP122" s="9" t="n">
        <f aca="false">(CK122/AQ122)</f>
        <v>0.0869565217391304</v>
      </c>
      <c r="CQ122" s="9" t="n">
        <f aca="false">(100*CP122)</f>
        <v>8.69565217391304</v>
      </c>
      <c r="CR122" s="18" t="n">
        <v>1</v>
      </c>
      <c r="CS122" s="9" t="n">
        <v>46.5</v>
      </c>
      <c r="CT122" s="9" t="n">
        <v>54.7</v>
      </c>
      <c r="CU122" s="9" t="n">
        <v>42.3</v>
      </c>
      <c r="CV122" s="9" t="n">
        <v>63.2</v>
      </c>
      <c r="CW122" s="11" t="n">
        <f aca="false">(CS122+CT122+CU122+CV122)/4</f>
        <v>51.675</v>
      </c>
      <c r="CX122" s="9" t="n">
        <v>0</v>
      </c>
      <c r="CY122" s="9" t="n">
        <v>0</v>
      </c>
      <c r="CZ122" s="9" t="n">
        <v>0</v>
      </c>
      <c r="DA122" s="9" t="n">
        <v>0</v>
      </c>
      <c r="DB122" s="11" t="n">
        <f aca="false">(CX122+CY122+CZ122+DA122)/4</f>
        <v>0</v>
      </c>
      <c r="DC122" s="9" t="n">
        <v>1</v>
      </c>
      <c r="DD122" s="9" t="n">
        <v>1</v>
      </c>
      <c r="DE122" s="9" t="n">
        <v>1</v>
      </c>
      <c r="DF122" s="9" t="n">
        <v>1</v>
      </c>
      <c r="DG122" s="11" t="n">
        <f aca="false">(DC122+DD122+DE122+DF122)/4</f>
        <v>1</v>
      </c>
      <c r="DH122" s="9" t="n">
        <v>1</v>
      </c>
      <c r="DI122" s="9" t="n">
        <v>1</v>
      </c>
      <c r="DJ122" s="9" t="n">
        <v>1</v>
      </c>
      <c r="DK122" s="9" t="n">
        <v>1</v>
      </c>
      <c r="DL122" s="11" t="n">
        <f aca="false">(DH122+DI122+DJ122+DK122)/4</f>
        <v>1</v>
      </c>
      <c r="DM122" s="9" t="n">
        <v>60</v>
      </c>
      <c r="DN122" s="9" t="n">
        <v>72</v>
      </c>
      <c r="DO122" s="9" t="n">
        <v>47</v>
      </c>
      <c r="DP122" s="9" t="n">
        <v>30</v>
      </c>
      <c r="DQ122" s="11" t="n">
        <f aca="false">(DM122+DN122+DO122+DP122)/4</f>
        <v>52.25</v>
      </c>
      <c r="DR122" s="9" t="n">
        <v>7</v>
      </c>
      <c r="DS122" s="9" t="n">
        <v>10</v>
      </c>
      <c r="DT122" s="9" t="n">
        <v>10</v>
      </c>
      <c r="DU122" s="9" t="n">
        <v>4</v>
      </c>
      <c r="DV122" s="11" t="n">
        <f aca="false">(DR122+DS122+DT122+DU122)/4</f>
        <v>7.75</v>
      </c>
      <c r="DW122" s="9" t="n">
        <v>0</v>
      </c>
      <c r="DX122" s="9" t="n">
        <v>0</v>
      </c>
      <c r="DY122" s="9" t="n">
        <v>0</v>
      </c>
      <c r="DZ122" s="9" t="n">
        <v>0</v>
      </c>
      <c r="EA122" s="11" t="n">
        <f aca="false">(DW122+DX122+DY122+DZ122)/4</f>
        <v>0</v>
      </c>
      <c r="EB122" s="11" t="n">
        <f aca="false">(DW122/DR122)</f>
        <v>0</v>
      </c>
      <c r="EC122" s="11" t="n">
        <f aca="false">(DX122/DS122)</f>
        <v>0</v>
      </c>
      <c r="ED122" s="11" t="n">
        <f aca="false">(DY122/DT122)</f>
        <v>0</v>
      </c>
      <c r="EE122" s="11" t="n">
        <f aca="false">(DZ122/DU122)</f>
        <v>0</v>
      </c>
      <c r="EF122" s="11" t="n">
        <f aca="false">(EA122/DV122)</f>
        <v>0</v>
      </c>
      <c r="EG122" s="11" t="n">
        <f aca="false">(100*EF122)</f>
        <v>0</v>
      </c>
      <c r="EH122" s="9" t="n">
        <v>0</v>
      </c>
      <c r="EI122" s="9" t="n">
        <v>1</v>
      </c>
      <c r="EJ122" s="9" t="n">
        <v>1</v>
      </c>
      <c r="EK122" s="19" t="n">
        <v>1</v>
      </c>
      <c r="EL122" s="9" t="n">
        <v>1</v>
      </c>
      <c r="EM122" s="9" t="n">
        <f aca="false">(EI122+EJ122+EK122+EL122)/4</f>
        <v>1</v>
      </c>
      <c r="EN122" s="9" t="n">
        <f aca="false">(EI122/DR122)</f>
        <v>0.142857142857143</v>
      </c>
      <c r="EO122" s="9" t="n">
        <f aca="false">(EJ122/DS122)</f>
        <v>0.1</v>
      </c>
      <c r="EP122" s="9" t="n">
        <f aca="false">(EK122/DT122)</f>
        <v>0.1</v>
      </c>
      <c r="EQ122" s="9" t="n">
        <f aca="false">(EL122/DU122)</f>
        <v>0.25</v>
      </c>
      <c r="ER122" s="9" t="n">
        <f aca="false">EM122/DV122</f>
        <v>0.129032258064516</v>
      </c>
      <c r="ES122" s="9" t="n">
        <f aca="false">(100*ER122)</f>
        <v>12.9032258064516</v>
      </c>
      <c r="ET122" s="9" t="n">
        <v>2</v>
      </c>
      <c r="EU122" s="18" t="n">
        <v>5</v>
      </c>
      <c r="EV122" s="9" t="n">
        <v>1</v>
      </c>
      <c r="EW122" s="9" t="n">
        <v>1</v>
      </c>
      <c r="EX122" s="9" t="n">
        <v>0</v>
      </c>
      <c r="EY122" s="11" t="n">
        <f aca="false">(EU122+EV122+EW122+EX122)/4</f>
        <v>1.75</v>
      </c>
      <c r="EZ122" s="11" t="n">
        <f aca="false">(EU122/DR122)</f>
        <v>0.714285714285714</v>
      </c>
      <c r="FA122" s="11" t="n">
        <f aca="false">(EV122/DS122)</f>
        <v>0.1</v>
      </c>
      <c r="FB122" s="11" t="n">
        <f aca="false">(EW122/DT122)</f>
        <v>0.1</v>
      </c>
      <c r="FC122" s="11" t="n">
        <f aca="false">(EX122/DU122)</f>
        <v>0</v>
      </c>
      <c r="FD122" s="11" t="n">
        <f aca="false">(EY122/DV122)</f>
        <v>0.225806451612903</v>
      </c>
      <c r="FE122" s="11" t="n">
        <f aca="false">(100*FD122)</f>
        <v>22.5806451612903</v>
      </c>
      <c r="FF122" s="9" t="n">
        <v>2</v>
      </c>
      <c r="FG122" s="9" t="n">
        <v>5</v>
      </c>
      <c r="FH122" s="9" t="n">
        <v>2</v>
      </c>
      <c r="FI122" s="9" t="n">
        <v>2</v>
      </c>
      <c r="FJ122" s="9" t="n">
        <v>3</v>
      </c>
      <c r="FK122" s="11" t="n">
        <f aca="false">(FG122+FH122+FI122+FJ122)/4</f>
        <v>3</v>
      </c>
      <c r="FL122" s="11" t="n">
        <f aca="false">(FG122/DR122)</f>
        <v>0.714285714285714</v>
      </c>
      <c r="FM122" s="11" t="n">
        <f aca="false">(FH122/DS122)</f>
        <v>0.2</v>
      </c>
      <c r="FN122" s="11" t="n">
        <f aca="false">(FI122/DT122)</f>
        <v>0.2</v>
      </c>
      <c r="FO122" s="11" t="n">
        <f aca="false">(FJ122/DU122)</f>
        <v>0.75</v>
      </c>
      <c r="FP122" s="11" t="n">
        <f aca="false">(FK122/DV122)</f>
        <v>0.387096774193548</v>
      </c>
      <c r="FQ122" s="11" t="n">
        <f aca="false">(100*FP122)</f>
        <v>38.7096774193548</v>
      </c>
      <c r="FR122" s="9" t="n">
        <v>3</v>
      </c>
      <c r="FS122" s="9" t="n">
        <v>50.5</v>
      </c>
      <c r="FT122" s="9" t="n">
        <v>52.4</v>
      </c>
      <c r="FU122" s="9" t="n">
        <v>53.7</v>
      </c>
      <c r="FV122" s="9" t="n">
        <v>69.8</v>
      </c>
      <c r="FW122" s="11" t="n">
        <f aca="false">(FS122+FT122+FU122+FV122)/4</f>
        <v>56.6</v>
      </c>
      <c r="FX122" s="9" t="n">
        <v>1</v>
      </c>
      <c r="FY122" s="9" t="n">
        <v>0</v>
      </c>
      <c r="FZ122" s="9" t="n">
        <v>0</v>
      </c>
      <c r="GA122" s="9" t="n">
        <v>0</v>
      </c>
      <c r="GB122" s="11" t="n">
        <f aca="false">(FX122+FY122+FZ122+GA122)/4</f>
        <v>0.25</v>
      </c>
      <c r="GC122" s="9" t="n">
        <v>1</v>
      </c>
      <c r="GD122" s="9" t="n">
        <v>1</v>
      </c>
      <c r="GE122" s="9" t="n">
        <v>1</v>
      </c>
      <c r="GF122" s="9" t="n">
        <v>1</v>
      </c>
      <c r="GG122" s="11" t="n">
        <f aca="false">(GC122+GD122+GE122+GF122)/4</f>
        <v>1</v>
      </c>
      <c r="GH122" s="9" t="n">
        <v>1</v>
      </c>
      <c r="GI122" s="9" t="n">
        <v>1</v>
      </c>
      <c r="GJ122" s="9" t="n">
        <v>1</v>
      </c>
      <c r="GK122" s="9" t="n">
        <v>1</v>
      </c>
      <c r="GL122" s="11" t="n">
        <f aca="false">(GH122+GI122+GJ122+GK122)/4</f>
        <v>1</v>
      </c>
      <c r="GM122" s="9" t="n">
        <v>15</v>
      </c>
      <c r="GN122" s="9" t="n">
        <v>111</v>
      </c>
      <c r="GO122" s="9" t="n">
        <v>64</v>
      </c>
      <c r="GP122" s="9" t="n">
        <v>72</v>
      </c>
      <c r="GQ122" s="11" t="n">
        <f aca="false">(GM122+GN122+GO122+GP122)/4</f>
        <v>65.5</v>
      </c>
      <c r="GR122" s="9" t="n">
        <v>4</v>
      </c>
      <c r="GS122" s="9" t="n">
        <v>13</v>
      </c>
      <c r="GT122" s="9" t="n">
        <v>9</v>
      </c>
      <c r="GU122" s="9" t="n">
        <v>16</v>
      </c>
      <c r="GV122" s="11" t="n">
        <f aca="false">(GR122+GS122+GT122+GU122)/4</f>
        <v>10.5</v>
      </c>
      <c r="GW122" s="9" t="n">
        <v>1</v>
      </c>
      <c r="GX122" s="9" t="n">
        <v>0</v>
      </c>
      <c r="GY122" s="9" t="n">
        <v>0</v>
      </c>
      <c r="GZ122" s="9" t="n">
        <v>0</v>
      </c>
      <c r="HA122" s="11" t="n">
        <f aca="false">(GW122+GX122+GY122+GZ122)/4</f>
        <v>0.25</v>
      </c>
      <c r="HB122" s="9" t="n">
        <f aca="false">(GW122/GR122)</f>
        <v>0.25</v>
      </c>
      <c r="HC122" s="9" t="n">
        <f aca="false">(GX122/GS122)</f>
        <v>0</v>
      </c>
      <c r="HD122" s="9" t="n">
        <f aca="false">(GY122/GT122)</f>
        <v>0</v>
      </c>
      <c r="HE122" s="9" t="n">
        <f aca="false">(GZ122/GU122)/4</f>
        <v>0</v>
      </c>
      <c r="HF122" s="9" t="n">
        <f aca="false">(HB122+HC122+HD122+HE122)/4</f>
        <v>0.0625</v>
      </c>
      <c r="HG122" s="9" t="n">
        <f aca="false">(100*HF122)</f>
        <v>6.25</v>
      </c>
      <c r="HH122" s="18" t="n">
        <v>1</v>
      </c>
      <c r="HI122" s="9" t="n">
        <v>2</v>
      </c>
      <c r="HJ122" s="9" t="n">
        <v>6</v>
      </c>
      <c r="HK122" s="9" t="n">
        <v>2</v>
      </c>
      <c r="HL122" s="19" t="n">
        <v>3</v>
      </c>
      <c r="HM122" s="9" t="n">
        <f aca="false">(HI122+HJ122+HK122+HL122)/4</f>
        <v>3.25</v>
      </c>
      <c r="HN122" s="9" t="n">
        <f aca="false">(HI122/GR122)</f>
        <v>0.5</v>
      </c>
      <c r="HO122" s="9" t="n">
        <f aca="false">(HJ122/GS122)</f>
        <v>0.461538461538462</v>
      </c>
      <c r="HP122" s="9" t="n">
        <f aca="false">(HK122/GT122)</f>
        <v>0.222222222222222</v>
      </c>
      <c r="HQ122" s="9" t="n">
        <f aca="false">(HL122/GU122)</f>
        <v>0.1875</v>
      </c>
      <c r="HR122" s="9" t="n">
        <f aca="false">(HM122/GV122)</f>
        <v>0.30952380952381</v>
      </c>
      <c r="HS122" s="9" t="n">
        <f aca="false">(100*HR122)</f>
        <v>30.952380952381</v>
      </c>
      <c r="HT122" s="18" t="n">
        <v>3</v>
      </c>
      <c r="HU122" s="9" t="n">
        <v>0</v>
      </c>
      <c r="HV122" s="9" t="n">
        <v>2</v>
      </c>
      <c r="HW122" s="9" t="n">
        <v>1</v>
      </c>
      <c r="HX122" s="19" t="n">
        <v>2</v>
      </c>
      <c r="HY122" s="9" t="n">
        <f aca="false">(HU122+HV122+HW122+HX122)/4</f>
        <v>1.25</v>
      </c>
      <c r="HZ122" s="9" t="n">
        <f aca="false">(HU122/GR122)</f>
        <v>0</v>
      </c>
      <c r="IA122" s="9" t="n">
        <f aca="false">HV122/GS122</f>
        <v>0.153846153846154</v>
      </c>
      <c r="IB122" s="9" t="n">
        <f aca="false">(HW122/GT122)</f>
        <v>0.111111111111111</v>
      </c>
      <c r="IC122" s="9" t="n">
        <f aca="false">(HX122/GU122)</f>
        <v>0.125</v>
      </c>
      <c r="ID122" s="9" t="n">
        <f aca="false">(HY122/GV122)</f>
        <v>0.119047619047619</v>
      </c>
      <c r="IE122" s="9" t="n">
        <f aca="false">(100*ID122)</f>
        <v>11.9047619047619</v>
      </c>
      <c r="IF122" s="18" t="n">
        <v>2</v>
      </c>
      <c r="IG122" s="9" t="n">
        <v>6</v>
      </c>
      <c r="IH122" s="9" t="n">
        <v>37</v>
      </c>
      <c r="II122" s="19" t="n">
        <v>2</v>
      </c>
      <c r="IJ122" s="9" t="n">
        <v>5</v>
      </c>
      <c r="IK122" s="9" t="n">
        <f aca="false">(IG122+IH122+II122+IJ122)/4</f>
        <v>12.5</v>
      </c>
      <c r="IL122" s="9" t="n">
        <f aca="false">(IG122/GM122)</f>
        <v>0.4</v>
      </c>
      <c r="IM122" s="9" t="n">
        <f aca="false">(IH122/GN122)</f>
        <v>0.333333333333333</v>
      </c>
      <c r="IN122" s="9" t="n">
        <f aca="false">(II122/GO122)</f>
        <v>0.03125</v>
      </c>
      <c r="IO122" s="9" t="n">
        <f aca="false">(IJ122/GP122)</f>
        <v>0.0694444444444445</v>
      </c>
      <c r="IP122" s="9" t="n">
        <f aca="false">(IK122/GQ122)</f>
        <v>0.190839694656489</v>
      </c>
      <c r="IQ122" s="9" t="n">
        <f aca="false">(100*IP122)</f>
        <v>19.0839694656489</v>
      </c>
      <c r="IR122" s="18" t="n">
        <v>2</v>
      </c>
      <c r="IS122" s="9" t="n">
        <v>58.3</v>
      </c>
      <c r="IT122" s="9" t="n">
        <v>42.1</v>
      </c>
      <c r="IU122" s="19" t="n">
        <v>72.7</v>
      </c>
      <c r="IV122" s="9" t="n">
        <v>42.1</v>
      </c>
      <c r="IW122" s="9" t="n">
        <f aca="false">(IS122+IT122+IU122+IV122)/4</f>
        <v>53.8</v>
      </c>
      <c r="IX122" s="16" t="n">
        <v>45241</v>
      </c>
      <c r="IY122" s="10" t="s">
        <v>268</v>
      </c>
    </row>
    <row r="123" customFormat="false" ht="15.75" hidden="false" customHeight="true" outlineLevel="0" collapsed="false">
      <c r="A123" s="9" t="s">
        <v>299</v>
      </c>
      <c r="B123" s="10" t="s">
        <v>548</v>
      </c>
      <c r="C123" s="10" t="s">
        <v>514</v>
      </c>
      <c r="D123" s="9" t="n">
        <v>1</v>
      </c>
      <c r="E123" s="9" t="n">
        <v>41</v>
      </c>
      <c r="F123" s="10" t="s">
        <v>552</v>
      </c>
      <c r="G123" s="11" t="s">
        <v>263</v>
      </c>
      <c r="H123" s="9" t="n">
        <v>20</v>
      </c>
      <c r="I123" s="9" t="n">
        <v>10</v>
      </c>
      <c r="J123" s="12" t="s">
        <v>270</v>
      </c>
      <c r="K123" s="20"/>
      <c r="L123" s="20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 t="n">
        <v>0</v>
      </c>
      <c r="Y123" s="9" t="n">
        <v>0</v>
      </c>
      <c r="Z123" s="9" t="n">
        <v>0</v>
      </c>
      <c r="AA123" s="9" t="n">
        <v>0</v>
      </c>
      <c r="AB123" s="11" t="n">
        <f aca="false">(X123+Y123+Z123+AA123)/4</f>
        <v>0</v>
      </c>
      <c r="AC123" s="9" t="n">
        <v>1</v>
      </c>
      <c r="AD123" s="9" t="n">
        <v>1</v>
      </c>
      <c r="AE123" s="9" t="n">
        <v>0</v>
      </c>
      <c r="AF123" s="9" t="n">
        <v>1</v>
      </c>
      <c r="AG123" s="11" t="n">
        <f aca="false">(AC123+AD123+AE123+AF123)/4</f>
        <v>0.75</v>
      </c>
      <c r="AH123" s="9" t="n">
        <v>1</v>
      </c>
      <c r="AI123" s="9" t="n">
        <v>1</v>
      </c>
      <c r="AJ123" s="9" t="n">
        <v>1</v>
      </c>
      <c r="AK123" s="9" t="n">
        <v>1</v>
      </c>
      <c r="AL123" s="11" t="n">
        <f aca="false">(AH123+AI123+AJ123+AK123)/4</f>
        <v>1</v>
      </c>
      <c r="AM123" s="9" t="n">
        <v>18</v>
      </c>
      <c r="AN123" s="9" t="n">
        <v>75</v>
      </c>
      <c r="AO123" s="9" t="n">
        <v>104</v>
      </c>
      <c r="AP123" s="9" t="n">
        <v>98</v>
      </c>
      <c r="AQ123" s="11" t="n">
        <f aca="false">(AM123+AN123+AO123+AP123)/4</f>
        <v>73.75</v>
      </c>
      <c r="AR123" s="9" t="n">
        <v>13</v>
      </c>
      <c r="AS123" s="9" t="n">
        <v>21</v>
      </c>
      <c r="AT123" s="9" t="n">
        <v>39</v>
      </c>
      <c r="AU123" s="9" t="n">
        <v>8</v>
      </c>
      <c r="AV123" s="11" t="n">
        <f aca="false">(AR123+AS123+AT123+AU123)/4</f>
        <v>20.25</v>
      </c>
      <c r="AW123" s="9" t="n">
        <v>0</v>
      </c>
      <c r="AX123" s="9" t="n">
        <v>0</v>
      </c>
      <c r="AY123" s="9" t="n">
        <v>0</v>
      </c>
      <c r="AZ123" s="9" t="n">
        <v>0</v>
      </c>
      <c r="BA123" s="11" t="n">
        <f aca="false">(AW123+AX123+AY123+AZ123)/4</f>
        <v>0</v>
      </c>
      <c r="BB123" s="11" t="n">
        <f aca="false">(AW123/AR123)</f>
        <v>0</v>
      </c>
      <c r="BC123" s="11" t="n">
        <f aca="false">(AX123/AS123)</f>
        <v>0</v>
      </c>
      <c r="BD123" s="11" t="n">
        <f aca="false">(AY123/AT123)</f>
        <v>0</v>
      </c>
      <c r="BE123" s="11" t="n">
        <f aca="false">(AZ123/AU123)</f>
        <v>0</v>
      </c>
      <c r="BF123" s="11" t="n">
        <f aca="false">(BA123/AV123)</f>
        <v>0</v>
      </c>
      <c r="BG123" s="11" t="n">
        <f aca="false">(BF123*100)</f>
        <v>0</v>
      </c>
      <c r="BH123" s="9" t="n">
        <v>0</v>
      </c>
      <c r="BI123" s="9" t="n">
        <v>6</v>
      </c>
      <c r="BJ123" s="9" t="n">
        <v>4</v>
      </c>
      <c r="BK123" s="9" t="n">
        <v>0</v>
      </c>
      <c r="BL123" s="9" t="n">
        <v>2</v>
      </c>
      <c r="BM123" s="11" t="n">
        <f aca="false">(BI123+BJ123+BK123+BL123)/4</f>
        <v>3</v>
      </c>
      <c r="BN123" s="11" t="n">
        <f aca="false">(BI123/AR123)</f>
        <v>0.461538461538462</v>
      </c>
      <c r="BO123" s="11" t="n">
        <f aca="false">(BJ123/AS123)</f>
        <v>0.19047619047619</v>
      </c>
      <c r="BP123" s="11" t="n">
        <f aca="false">(BK123/AT123)</f>
        <v>0</v>
      </c>
      <c r="BQ123" s="11" t="n">
        <f aca="false">(BL123/AU123)</f>
        <v>0.25</v>
      </c>
      <c r="BR123" s="11" t="n">
        <f aca="false">(BM123/AV123)</f>
        <v>0.148148148148148</v>
      </c>
      <c r="BS123" s="11" t="n">
        <f aca="false">(100*BR123)</f>
        <v>14.8148148148148</v>
      </c>
      <c r="BT123" s="9" t="n">
        <v>2</v>
      </c>
      <c r="BU123" s="9" t="n">
        <v>8</v>
      </c>
      <c r="BV123" s="9" t="n">
        <v>12</v>
      </c>
      <c r="BW123" s="9" t="n">
        <v>0</v>
      </c>
      <c r="BX123" s="9" t="n">
        <v>0</v>
      </c>
      <c r="BY123" s="11" t="n">
        <f aca="false">(BU123+BV123+BW123+BX123)/4</f>
        <v>5</v>
      </c>
      <c r="BZ123" s="11" t="n">
        <f aca="false">(BU123/AR123)</f>
        <v>0.615384615384615</v>
      </c>
      <c r="CA123" s="11" t="n">
        <f aca="false">(BV123/AS123)</f>
        <v>0.571428571428571</v>
      </c>
      <c r="CB123" s="11" t="n">
        <f aca="false">(BW123/AT123)</f>
        <v>0</v>
      </c>
      <c r="CC123" s="11" t="n">
        <f aca="false">(BX123/AU123)</f>
        <v>0</v>
      </c>
      <c r="CD123" s="11" t="n">
        <f aca="false">(BY123/AV123)</f>
        <v>0.246913580246914</v>
      </c>
      <c r="CE123" s="11" t="n">
        <f aca="false">(100*CD123)</f>
        <v>24.6913580246914</v>
      </c>
      <c r="CF123" s="9" t="n">
        <v>3</v>
      </c>
      <c r="CG123" s="9" t="n">
        <v>0</v>
      </c>
      <c r="CH123" s="9" t="n">
        <v>6</v>
      </c>
      <c r="CI123" s="9" t="n">
        <v>5</v>
      </c>
      <c r="CJ123" s="9" t="n">
        <v>11</v>
      </c>
      <c r="CK123" s="11" t="n">
        <f aca="false">(CG123+CH123+CI123+CJ123)/4</f>
        <v>5.5</v>
      </c>
      <c r="CL123" s="11" t="n">
        <f aca="false">(CG123/AM123)</f>
        <v>0</v>
      </c>
      <c r="CM123" s="11" t="n">
        <f aca="false">(CH123/AN123)</f>
        <v>0.08</v>
      </c>
      <c r="CN123" s="11" t="n">
        <f aca="false">(CI123/AO123)</f>
        <v>0.0480769230769231</v>
      </c>
      <c r="CO123" s="9" t="n">
        <f aca="false">(CJ123/AP123)</f>
        <v>0.112244897959184</v>
      </c>
      <c r="CP123" s="9" t="n">
        <f aca="false">(CK123/AQ123)</f>
        <v>0.0745762711864407</v>
      </c>
      <c r="CQ123" s="9" t="n">
        <f aca="false">(100*CP123)</f>
        <v>7.45762711864407</v>
      </c>
      <c r="CR123" s="18" t="n">
        <v>1</v>
      </c>
      <c r="CS123" s="9" t="n">
        <v>61.4</v>
      </c>
      <c r="CT123" s="9" t="n">
        <v>66.2</v>
      </c>
      <c r="CU123" s="9" t="n">
        <v>55.3</v>
      </c>
      <c r="CV123" s="9" t="n">
        <v>56.2</v>
      </c>
      <c r="CW123" s="11" t="n">
        <f aca="false">(CS123+CT123+CU123+CV123)/4</f>
        <v>59.775</v>
      </c>
      <c r="CX123" s="9" t="n">
        <v>0</v>
      </c>
      <c r="CY123" s="9" t="n">
        <v>0</v>
      </c>
      <c r="CZ123" s="9" t="n">
        <v>0</v>
      </c>
      <c r="DA123" s="9" t="n">
        <v>0</v>
      </c>
      <c r="DB123" s="11" t="n">
        <f aca="false">(CX123+CY123+CZ123+DA123)/4</f>
        <v>0</v>
      </c>
      <c r="DC123" s="9" t="n">
        <v>1</v>
      </c>
      <c r="DD123" s="9" t="n">
        <v>0</v>
      </c>
      <c r="DE123" s="9" t="n">
        <v>1</v>
      </c>
      <c r="DF123" s="9" t="n">
        <v>1</v>
      </c>
      <c r="DG123" s="11" t="n">
        <f aca="false">(DC123+DD123+DE123+DF123)/4</f>
        <v>0.75</v>
      </c>
      <c r="DH123" s="9" t="n">
        <v>1</v>
      </c>
      <c r="DI123" s="9" t="n">
        <v>1</v>
      </c>
      <c r="DJ123" s="9" t="n">
        <v>1</v>
      </c>
      <c r="DK123" s="9" t="n">
        <v>1</v>
      </c>
      <c r="DL123" s="11" t="n">
        <f aca="false">(DH123+DI123+DJ123+DK123)/4</f>
        <v>1</v>
      </c>
      <c r="DM123" s="9" t="n">
        <v>105</v>
      </c>
      <c r="DN123" s="9" t="n">
        <v>102</v>
      </c>
      <c r="DO123" s="9" t="n">
        <v>12</v>
      </c>
      <c r="DP123" s="9" t="n">
        <v>16</v>
      </c>
      <c r="DQ123" s="11" t="n">
        <f aca="false">(DM123+DN123+DO123+DP123)/4</f>
        <v>58.75</v>
      </c>
      <c r="DR123" s="9" t="n">
        <v>16</v>
      </c>
      <c r="DS123" s="9" t="n">
        <v>12</v>
      </c>
      <c r="DT123" s="9" t="n">
        <v>12</v>
      </c>
      <c r="DU123" s="9" t="n">
        <v>14</v>
      </c>
      <c r="DV123" s="11" t="n">
        <f aca="false">(DR123+DS123+DT123+DU123)/4</f>
        <v>13.5</v>
      </c>
      <c r="DW123" s="9" t="n">
        <v>0</v>
      </c>
      <c r="DX123" s="9" t="n">
        <v>0</v>
      </c>
      <c r="DY123" s="9" t="n">
        <v>0</v>
      </c>
      <c r="DZ123" s="9" t="n">
        <v>0</v>
      </c>
      <c r="EA123" s="11" t="n">
        <f aca="false">(DW123+DX123+DY123+DZ123)/4</f>
        <v>0</v>
      </c>
      <c r="EB123" s="11" t="n">
        <f aca="false">(DW123/DR123)</f>
        <v>0</v>
      </c>
      <c r="EC123" s="11" t="n">
        <f aca="false">(DX123/DS123)</f>
        <v>0</v>
      </c>
      <c r="ED123" s="11" t="n">
        <f aca="false">(DY123/DT123)</f>
        <v>0</v>
      </c>
      <c r="EE123" s="11" t="n">
        <f aca="false">(DZ123/DU123)</f>
        <v>0</v>
      </c>
      <c r="EF123" s="11" t="n">
        <f aca="false">(EA123/DV123)</f>
        <v>0</v>
      </c>
      <c r="EG123" s="11" t="n">
        <f aca="false">(100*EF123)</f>
        <v>0</v>
      </c>
      <c r="EH123" s="9" t="n">
        <v>0</v>
      </c>
      <c r="EI123" s="9" t="n">
        <v>4</v>
      </c>
      <c r="EJ123" s="9" t="n">
        <v>0</v>
      </c>
      <c r="EK123" s="19" t="n">
        <v>5</v>
      </c>
      <c r="EL123" s="9" t="n">
        <v>1</v>
      </c>
      <c r="EM123" s="9" t="n">
        <f aca="false">(EI123+EJ123+EK123+EL123)/4</f>
        <v>2.5</v>
      </c>
      <c r="EN123" s="9" t="n">
        <f aca="false">(EI123/DR123)</f>
        <v>0.25</v>
      </c>
      <c r="EO123" s="9" t="n">
        <f aca="false">(EJ123/DS123)</f>
        <v>0</v>
      </c>
      <c r="EP123" s="9" t="n">
        <f aca="false">(EK123/DT123)</f>
        <v>0.416666666666667</v>
      </c>
      <c r="EQ123" s="9" t="n">
        <f aca="false">(EL123/DU123)</f>
        <v>0.0714285714285714</v>
      </c>
      <c r="ER123" s="9" t="n">
        <f aca="false">EM123/DV123</f>
        <v>0.185185185185185</v>
      </c>
      <c r="ES123" s="9" t="n">
        <f aca="false">(100*ER123)</f>
        <v>18.5185185185185</v>
      </c>
      <c r="ET123" s="9" t="n">
        <v>3</v>
      </c>
      <c r="EU123" s="18" t="n">
        <v>0</v>
      </c>
      <c r="EV123" s="9" t="n">
        <v>0</v>
      </c>
      <c r="EW123" s="9" t="n">
        <v>5</v>
      </c>
      <c r="EX123" s="9" t="n">
        <v>12</v>
      </c>
      <c r="EY123" s="11" t="n">
        <f aca="false">(EU123+EV123+EW123+EX123)/4</f>
        <v>4.25</v>
      </c>
      <c r="EZ123" s="11" t="n">
        <f aca="false">(EU123/DR123)</f>
        <v>0</v>
      </c>
      <c r="FA123" s="11" t="n">
        <f aca="false">(EV123/DS123)</f>
        <v>0</v>
      </c>
      <c r="FB123" s="11" t="n">
        <f aca="false">(EW123/DT123)</f>
        <v>0.416666666666667</v>
      </c>
      <c r="FC123" s="11" t="n">
        <f aca="false">(EX123/DU123)</f>
        <v>0.857142857142857</v>
      </c>
      <c r="FD123" s="11" t="n">
        <f aca="false">(EY123/DV123)</f>
        <v>0.314814814814815</v>
      </c>
      <c r="FE123" s="11" t="n">
        <f aca="false">(100*FD123)</f>
        <v>31.4814814814815</v>
      </c>
      <c r="FF123" s="9" t="n">
        <v>3</v>
      </c>
      <c r="FG123" s="9" t="n">
        <v>27</v>
      </c>
      <c r="FH123" s="9" t="n">
        <v>2</v>
      </c>
      <c r="FI123" s="9" t="n">
        <v>0</v>
      </c>
      <c r="FJ123" s="9" t="n">
        <v>0</v>
      </c>
      <c r="FK123" s="11" t="n">
        <f aca="false">(FG123+FH123+FI123+FJ123)/4</f>
        <v>7.25</v>
      </c>
      <c r="FL123" s="11" t="n">
        <f aca="false">(FG123/DR123)</f>
        <v>1.6875</v>
      </c>
      <c r="FM123" s="11" t="n">
        <f aca="false">(FH123/DS123)</f>
        <v>0.166666666666667</v>
      </c>
      <c r="FN123" s="11" t="n">
        <f aca="false">(FI123/DT123)</f>
        <v>0</v>
      </c>
      <c r="FO123" s="11" t="n">
        <f aca="false">(FJ123/DU123)</f>
        <v>0</v>
      </c>
      <c r="FP123" s="11" t="n">
        <f aca="false">(FK123/DV123)</f>
        <v>0.537037037037037</v>
      </c>
      <c r="FQ123" s="11" t="n">
        <f aca="false">(100*FP123)</f>
        <v>53.7037037037037</v>
      </c>
      <c r="FR123" s="9" t="n">
        <v>3</v>
      </c>
      <c r="FS123" s="9" t="n">
        <v>55.4</v>
      </c>
      <c r="FT123" s="9" t="n">
        <v>56.2</v>
      </c>
      <c r="FU123" s="9" t="n">
        <v>62.9</v>
      </c>
      <c r="FV123" s="9" t="n">
        <v>62.8</v>
      </c>
      <c r="FW123" s="11" t="n">
        <f aca="false">(FS123+FT123+FU123+FV123)/4</f>
        <v>59.325</v>
      </c>
      <c r="FX123" s="9" t="n">
        <v>0</v>
      </c>
      <c r="FY123" s="9" t="n">
        <v>0</v>
      </c>
      <c r="FZ123" s="9" t="n">
        <v>0</v>
      </c>
      <c r="GA123" s="9" t="n">
        <v>0</v>
      </c>
      <c r="GB123" s="11" t="n">
        <f aca="false">(FX123+FY123+FZ123+GA123)/4</f>
        <v>0</v>
      </c>
      <c r="GC123" s="9" t="n">
        <v>1</v>
      </c>
      <c r="GD123" s="9" t="n">
        <v>1</v>
      </c>
      <c r="GE123" s="9" t="n">
        <v>1</v>
      </c>
      <c r="GF123" s="9" t="n">
        <v>1</v>
      </c>
      <c r="GG123" s="11" t="n">
        <f aca="false">(GC123+GD123+GE123+GF123)/4</f>
        <v>1</v>
      </c>
      <c r="GH123" s="9" t="n">
        <v>1</v>
      </c>
      <c r="GI123" s="9" t="n">
        <v>0</v>
      </c>
      <c r="GJ123" s="9" t="n">
        <v>1</v>
      </c>
      <c r="GK123" s="9" t="n">
        <v>1</v>
      </c>
      <c r="GL123" s="11" t="n">
        <f aca="false">(GH123+GI123+GJ123+GK123)/4</f>
        <v>0.75</v>
      </c>
      <c r="GM123" s="9" t="n">
        <v>110</v>
      </c>
      <c r="GN123" s="9" t="n">
        <v>17</v>
      </c>
      <c r="GO123" s="9" t="n">
        <v>170</v>
      </c>
      <c r="GP123" s="9" t="n">
        <v>8</v>
      </c>
      <c r="GQ123" s="11" t="n">
        <f aca="false">(GM123+GN123+GO123+GP123)/4</f>
        <v>76.25</v>
      </c>
      <c r="GR123" s="9" t="n">
        <v>13</v>
      </c>
      <c r="GS123" s="9" t="n">
        <v>18</v>
      </c>
      <c r="GT123" s="9" t="n">
        <v>17</v>
      </c>
      <c r="GU123" s="9" t="n">
        <v>10</v>
      </c>
      <c r="GV123" s="11" t="n">
        <f aca="false">(GR123+GS123+GT123+GU123)/4</f>
        <v>14.5</v>
      </c>
      <c r="GW123" s="9" t="n">
        <v>0</v>
      </c>
      <c r="GX123" s="9" t="n">
        <v>0</v>
      </c>
      <c r="GY123" s="9" t="n">
        <v>0</v>
      </c>
      <c r="GZ123" s="9" t="n">
        <v>0</v>
      </c>
      <c r="HA123" s="11" t="n">
        <f aca="false">(GW123+GX123+GY123+GZ123)/4</f>
        <v>0</v>
      </c>
      <c r="HB123" s="9" t="n">
        <f aca="false">(GW123/GR123)</f>
        <v>0</v>
      </c>
      <c r="HC123" s="9" t="n">
        <f aca="false">(GX123/GS123)</f>
        <v>0</v>
      </c>
      <c r="HD123" s="9" t="n">
        <f aca="false">(GY123/GT123)</f>
        <v>0</v>
      </c>
      <c r="HE123" s="9" t="n">
        <f aca="false">(GZ123/GU123)/4</f>
        <v>0</v>
      </c>
      <c r="HF123" s="9" t="n">
        <f aca="false">(HB123+HC123+HD123+HE123)/4</f>
        <v>0</v>
      </c>
      <c r="HG123" s="9" t="n">
        <f aca="false">(100*HF123)</f>
        <v>0</v>
      </c>
      <c r="HH123" s="18" t="n">
        <v>0</v>
      </c>
      <c r="HI123" s="9" t="n">
        <v>7</v>
      </c>
      <c r="HJ123" s="9" t="n">
        <v>2</v>
      </c>
      <c r="HK123" s="9" t="n">
        <v>5</v>
      </c>
      <c r="HL123" s="19" t="n">
        <v>6</v>
      </c>
      <c r="HM123" s="9" t="n">
        <f aca="false">(HI123+HJ123+HK123+HL123)/4</f>
        <v>5</v>
      </c>
      <c r="HN123" s="9" t="n">
        <f aca="false">(HI123/GR123)</f>
        <v>0.538461538461538</v>
      </c>
      <c r="HO123" s="9" t="n">
        <f aca="false">(HJ123/GS123)</f>
        <v>0.111111111111111</v>
      </c>
      <c r="HP123" s="9" t="n">
        <f aca="false">(HK123/GT123)</f>
        <v>0.294117647058824</v>
      </c>
      <c r="HQ123" s="9" t="n">
        <f aca="false">(HL123/GU123)</f>
        <v>0.6</v>
      </c>
      <c r="HR123" s="9" t="n">
        <f aca="false">(HM123/GV123)</f>
        <v>0.344827586206897</v>
      </c>
      <c r="HS123" s="9" t="n">
        <f aca="false">(100*HR123)</f>
        <v>34.4827586206897</v>
      </c>
      <c r="HT123" s="18" t="n">
        <v>3</v>
      </c>
      <c r="HU123" s="9" t="n">
        <v>0</v>
      </c>
      <c r="HV123" s="9" t="n">
        <v>0</v>
      </c>
      <c r="HW123" s="9" t="n">
        <v>2</v>
      </c>
      <c r="HX123" s="19" t="n">
        <v>2</v>
      </c>
      <c r="HY123" s="9" t="n">
        <f aca="false">(HU123+HV123+HW123+HX123)/4</f>
        <v>1</v>
      </c>
      <c r="HZ123" s="9" t="n">
        <f aca="false">(HU123/GR123)</f>
        <v>0</v>
      </c>
      <c r="IA123" s="9" t="n">
        <f aca="false">HV123/GS123</f>
        <v>0</v>
      </c>
      <c r="IB123" s="9" t="n">
        <f aca="false">(HW123/GT123)</f>
        <v>0.117647058823529</v>
      </c>
      <c r="IC123" s="9" t="n">
        <f aca="false">(HX123/GU123)</f>
        <v>0.2</v>
      </c>
      <c r="ID123" s="9" t="n">
        <f aca="false">(HY123/GV123)</f>
        <v>0.0689655172413793</v>
      </c>
      <c r="IE123" s="9" t="n">
        <f aca="false">(100*ID123)</f>
        <v>6.89655172413793</v>
      </c>
      <c r="IF123" s="18" t="n">
        <v>1</v>
      </c>
      <c r="IG123" s="9" t="n">
        <v>42</v>
      </c>
      <c r="IH123" s="9" t="n">
        <v>0</v>
      </c>
      <c r="II123" s="19" t="n">
        <v>10</v>
      </c>
      <c r="IJ123" s="9" t="n">
        <v>0</v>
      </c>
      <c r="IK123" s="9" t="n">
        <f aca="false">(IG123+IH123+II123+IJ123)/4</f>
        <v>13</v>
      </c>
      <c r="IL123" s="9" t="n">
        <f aca="false">(IG123/GM123)</f>
        <v>0.381818181818182</v>
      </c>
      <c r="IM123" s="9" t="n">
        <f aca="false">(IH123/GN123)</f>
        <v>0</v>
      </c>
      <c r="IN123" s="9" t="n">
        <f aca="false">(II123/GO123)</f>
        <v>0.0588235294117647</v>
      </c>
      <c r="IO123" s="9" t="n">
        <f aca="false">(IJ123/GP123)</f>
        <v>0</v>
      </c>
      <c r="IP123" s="9" t="n">
        <f aca="false">(IK123/GQ123)</f>
        <v>0.170491803278689</v>
      </c>
      <c r="IQ123" s="9" t="n">
        <f aca="false">(100*IP123)</f>
        <v>17.0491803278689</v>
      </c>
      <c r="IR123" s="18" t="n">
        <v>2</v>
      </c>
      <c r="IS123" s="9" t="n">
        <v>67.8</v>
      </c>
      <c r="IT123" s="9" t="n">
        <v>58</v>
      </c>
      <c r="IU123" s="19" t="n">
        <v>63.9</v>
      </c>
      <c r="IV123" s="9" t="n">
        <v>67</v>
      </c>
      <c r="IW123" s="9" t="n">
        <f aca="false">(IS123+IT123+IU123+IV123)/4</f>
        <v>64.175</v>
      </c>
      <c r="IX123" s="16" t="n">
        <v>45241</v>
      </c>
      <c r="IY123" s="10" t="s">
        <v>268</v>
      </c>
    </row>
    <row r="124" customFormat="false" ht="15.75" hidden="false" customHeight="true" outlineLevel="0" collapsed="false">
      <c r="A124" s="9" t="s">
        <v>299</v>
      </c>
      <c r="B124" s="10" t="s">
        <v>548</v>
      </c>
      <c r="C124" s="10" t="s">
        <v>514</v>
      </c>
      <c r="D124" s="9" t="n">
        <v>1</v>
      </c>
      <c r="E124" s="9" t="n">
        <v>41</v>
      </c>
      <c r="F124" s="10" t="s">
        <v>553</v>
      </c>
      <c r="G124" s="11" t="s">
        <v>263</v>
      </c>
      <c r="H124" s="9" t="n">
        <v>20</v>
      </c>
      <c r="I124" s="9" t="n">
        <v>20</v>
      </c>
      <c r="J124" s="10" t="s">
        <v>272</v>
      </c>
      <c r="K124" s="20"/>
      <c r="L124" s="20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 t="n">
        <v>0</v>
      </c>
      <c r="Y124" s="9" t="n">
        <v>0</v>
      </c>
      <c r="Z124" s="9" t="n">
        <v>0</v>
      </c>
      <c r="AA124" s="9" t="n">
        <v>1</v>
      </c>
      <c r="AB124" s="11" t="n">
        <f aca="false">(X124+Y124+Z124+AA124)/4</f>
        <v>0.25</v>
      </c>
      <c r="AC124" s="9" t="n">
        <v>1</v>
      </c>
      <c r="AD124" s="9" t="n">
        <v>1</v>
      </c>
      <c r="AE124" s="9" t="n">
        <v>1</v>
      </c>
      <c r="AF124" s="9" t="n">
        <v>1</v>
      </c>
      <c r="AG124" s="11" t="n">
        <f aca="false">(AC124+AD124+AE124+AF124)/4</f>
        <v>1</v>
      </c>
      <c r="AH124" s="9" t="n">
        <v>1</v>
      </c>
      <c r="AI124" s="9" t="n">
        <v>0</v>
      </c>
      <c r="AJ124" s="9" t="n">
        <v>1</v>
      </c>
      <c r="AK124" s="9" t="n">
        <v>0</v>
      </c>
      <c r="AL124" s="11" t="n">
        <f aca="false">(AH124+AI124+AJ124+AK124)/4</f>
        <v>0.5</v>
      </c>
      <c r="AM124" s="9" t="n">
        <v>28</v>
      </c>
      <c r="AN124" s="9" t="n">
        <v>53</v>
      </c>
      <c r="AO124" s="9" t="n">
        <v>57</v>
      </c>
      <c r="AP124" s="9" t="n">
        <v>36</v>
      </c>
      <c r="AQ124" s="11" t="n">
        <f aca="false">(AM124+AN124+AO124+AP124)/4</f>
        <v>43.5</v>
      </c>
      <c r="AR124" s="9" t="n">
        <v>20</v>
      </c>
      <c r="AS124" s="9" t="n">
        <v>13</v>
      </c>
      <c r="AT124" s="9" t="n">
        <v>13</v>
      </c>
      <c r="AU124" s="9" t="n">
        <v>19</v>
      </c>
      <c r="AV124" s="11" t="n">
        <f aca="false">(AR124+AS124+AT124+AU124)/4</f>
        <v>16.25</v>
      </c>
      <c r="AW124" s="9" t="n">
        <v>0</v>
      </c>
      <c r="AX124" s="9" t="n">
        <v>0</v>
      </c>
      <c r="AY124" s="9" t="n">
        <v>0</v>
      </c>
      <c r="AZ124" s="9" t="n">
        <v>1</v>
      </c>
      <c r="BA124" s="11" t="n">
        <f aca="false">(AW124+AX124+AY124+AZ124)/4</f>
        <v>0.25</v>
      </c>
      <c r="BB124" s="11" t="n">
        <f aca="false">(AW124/AR124)</f>
        <v>0</v>
      </c>
      <c r="BC124" s="11" t="n">
        <f aca="false">(AX124/AS124)</f>
        <v>0</v>
      </c>
      <c r="BD124" s="11" t="n">
        <f aca="false">(AY124/AT124)</f>
        <v>0</v>
      </c>
      <c r="BE124" s="11" t="n">
        <f aca="false">(AZ124/AU124)</f>
        <v>0.0526315789473684</v>
      </c>
      <c r="BF124" s="11" t="n">
        <f aca="false">(BA124/AV124)</f>
        <v>0.0153846153846154</v>
      </c>
      <c r="BG124" s="11" t="n">
        <f aca="false">(BF124*100)</f>
        <v>1.53846153846154</v>
      </c>
      <c r="BH124" s="9" t="n">
        <v>1</v>
      </c>
      <c r="BI124" s="9" t="n">
        <v>4</v>
      </c>
      <c r="BJ124" s="9" t="n">
        <v>4</v>
      </c>
      <c r="BK124" s="9" t="n">
        <v>11</v>
      </c>
      <c r="BL124" s="9" t="n">
        <v>2</v>
      </c>
      <c r="BM124" s="11" t="n">
        <f aca="false">(BI124+BJ124+BK124+BL124)/4</f>
        <v>5.25</v>
      </c>
      <c r="BN124" s="11" t="n">
        <f aca="false">(BI124/AR124)</f>
        <v>0.2</v>
      </c>
      <c r="BO124" s="11" t="n">
        <f aca="false">(BJ124/AS124)</f>
        <v>0.307692307692308</v>
      </c>
      <c r="BP124" s="11" t="n">
        <f aca="false">(BK124/AT124)</f>
        <v>0.846153846153846</v>
      </c>
      <c r="BQ124" s="11" t="n">
        <f aca="false">(BL124/AU124)</f>
        <v>0.105263157894737</v>
      </c>
      <c r="BR124" s="11" t="n">
        <f aca="false">(BM124/AV124)</f>
        <v>0.323076923076923</v>
      </c>
      <c r="BS124" s="11" t="n">
        <f aca="false">(100*BR124)</f>
        <v>32.3076923076923</v>
      </c>
      <c r="BT124" s="9" t="n">
        <v>3</v>
      </c>
      <c r="BU124" s="9" t="n">
        <v>0</v>
      </c>
      <c r="BV124" s="9" t="n">
        <v>0</v>
      </c>
      <c r="BW124" s="9" t="n">
        <v>1</v>
      </c>
      <c r="BX124" s="9" t="n">
        <v>0</v>
      </c>
      <c r="BY124" s="11" t="n">
        <f aca="false">(BU124+BV124+BW124+BX124)/4</f>
        <v>0.25</v>
      </c>
      <c r="BZ124" s="11" t="n">
        <f aca="false">(BU124/AR124)</f>
        <v>0</v>
      </c>
      <c r="CA124" s="11" t="n">
        <f aca="false">(BV124/AS124)</f>
        <v>0</v>
      </c>
      <c r="CB124" s="11" t="n">
        <f aca="false">(BW124/AT124)</f>
        <v>0.0769230769230769</v>
      </c>
      <c r="CC124" s="11" t="n">
        <f aca="false">(BX124/AU124)</f>
        <v>0</v>
      </c>
      <c r="CD124" s="11" t="n">
        <f aca="false">(BY124/AV124)</f>
        <v>0.0153846153846154</v>
      </c>
      <c r="CE124" s="11" t="n">
        <f aca="false">(100*CD124)</f>
        <v>1.53846153846154</v>
      </c>
      <c r="CF124" s="9" t="n">
        <v>1</v>
      </c>
      <c r="CG124" s="9" t="n">
        <v>3</v>
      </c>
      <c r="CH124" s="9" t="n">
        <v>0</v>
      </c>
      <c r="CI124" s="9" t="n">
        <v>2</v>
      </c>
      <c r="CJ124" s="9" t="n">
        <v>0</v>
      </c>
      <c r="CK124" s="11" t="n">
        <f aca="false">(CG124+CH124+CI124+CJ124)/4</f>
        <v>1.25</v>
      </c>
      <c r="CL124" s="11" t="n">
        <f aca="false">(CG124/AM124)</f>
        <v>0.107142857142857</v>
      </c>
      <c r="CM124" s="11" t="n">
        <f aca="false">(CH124/AN124)</f>
        <v>0</v>
      </c>
      <c r="CN124" s="11" t="n">
        <f aca="false">(CI124/AO124)</f>
        <v>0.0350877192982456</v>
      </c>
      <c r="CO124" s="9" t="n">
        <f aca="false">(CJ124/AP124)</f>
        <v>0</v>
      </c>
      <c r="CP124" s="9" t="n">
        <f aca="false">(CK124/AQ124)</f>
        <v>0.028735632183908</v>
      </c>
      <c r="CQ124" s="9" t="n">
        <f aca="false">(100*CP124)</f>
        <v>2.8735632183908</v>
      </c>
      <c r="CR124" s="18" t="n">
        <v>1</v>
      </c>
      <c r="CS124" s="9" t="n">
        <v>65.5</v>
      </c>
      <c r="CT124" s="9" t="n">
        <v>42.1</v>
      </c>
      <c r="CU124" s="9" t="n">
        <v>70.8</v>
      </c>
      <c r="CV124" s="9" t="n">
        <v>56.2</v>
      </c>
      <c r="CW124" s="11" t="n">
        <f aca="false">(CS124+CT124+CU124+CV124)/4</f>
        <v>58.65</v>
      </c>
      <c r="CX124" s="9" t="n">
        <v>0</v>
      </c>
      <c r="CY124" s="9" t="n">
        <v>0</v>
      </c>
      <c r="CZ124" s="9" t="n">
        <v>0</v>
      </c>
      <c r="DA124" s="9" t="n">
        <v>1</v>
      </c>
      <c r="DB124" s="11" t="n">
        <f aca="false">(CX124+CY124+CZ124+DA124)/4</f>
        <v>0.25</v>
      </c>
      <c r="DC124" s="9" t="n">
        <v>1</v>
      </c>
      <c r="DD124" s="9" t="n">
        <v>1</v>
      </c>
      <c r="DE124" s="9" t="n">
        <v>1</v>
      </c>
      <c r="DF124" s="9" t="n">
        <v>1</v>
      </c>
      <c r="DG124" s="11" t="n">
        <f aca="false">(DC124+DD124+DE124+DF124)/4</f>
        <v>1</v>
      </c>
      <c r="DH124" s="9" t="n">
        <v>3</v>
      </c>
      <c r="DI124" s="9" t="n">
        <v>1</v>
      </c>
      <c r="DJ124" s="9" t="n">
        <v>2</v>
      </c>
      <c r="DK124" s="9" t="n">
        <v>2</v>
      </c>
      <c r="DL124" s="11" t="n">
        <f aca="false">(DH124+DI124+DJ124+DK124)/4</f>
        <v>2</v>
      </c>
      <c r="DM124" s="9" t="n">
        <v>14</v>
      </c>
      <c r="DN124" s="9" t="n">
        <v>54</v>
      </c>
      <c r="DO124" s="9" t="n">
        <v>43</v>
      </c>
      <c r="DP124" s="9" t="n">
        <v>55</v>
      </c>
      <c r="DQ124" s="11" t="n">
        <f aca="false">(DM124+DN124+DO124+DP124)/4</f>
        <v>41.5</v>
      </c>
      <c r="DR124" s="9" t="n">
        <v>27</v>
      </c>
      <c r="DS124" s="9" t="n">
        <v>16</v>
      </c>
      <c r="DT124" s="9" t="n">
        <v>24</v>
      </c>
      <c r="DU124" s="9" t="n">
        <v>11</v>
      </c>
      <c r="DV124" s="11" t="n">
        <f aca="false">(DR124+DS124+DT124+DU124)/4</f>
        <v>19.5</v>
      </c>
      <c r="DW124" s="9" t="n">
        <v>0</v>
      </c>
      <c r="DX124" s="9" t="n">
        <v>0</v>
      </c>
      <c r="DY124" s="9" t="n">
        <v>0</v>
      </c>
      <c r="DZ124" s="9" t="n">
        <v>1</v>
      </c>
      <c r="EA124" s="11" t="n">
        <f aca="false">(DW124+DX124+DY124+DZ124)/4</f>
        <v>0.25</v>
      </c>
      <c r="EB124" s="11" t="n">
        <f aca="false">(DW124/DR124)</f>
        <v>0</v>
      </c>
      <c r="EC124" s="11" t="n">
        <f aca="false">(DX124/DS124)</f>
        <v>0</v>
      </c>
      <c r="ED124" s="11" t="n">
        <f aca="false">(DY124/DT124)</f>
        <v>0</v>
      </c>
      <c r="EE124" s="11" t="n">
        <f aca="false">(DZ124/DU124)</f>
        <v>0.0909090909090909</v>
      </c>
      <c r="EF124" s="11" t="n">
        <f aca="false">(EA124/DV124)</f>
        <v>0.0128205128205128</v>
      </c>
      <c r="EG124" s="11" t="n">
        <f aca="false">(100*EF124)</f>
        <v>1.28205128205128</v>
      </c>
      <c r="EH124" s="9" t="n">
        <v>1</v>
      </c>
      <c r="EI124" s="9" t="n">
        <v>11</v>
      </c>
      <c r="EJ124" s="9" t="n">
        <v>2</v>
      </c>
      <c r="EK124" s="19" t="n">
        <v>3</v>
      </c>
      <c r="EL124" s="9" t="n">
        <v>2</v>
      </c>
      <c r="EM124" s="9" t="n">
        <f aca="false">(EI124+EJ124+EK124+EL124)/4</f>
        <v>4.5</v>
      </c>
      <c r="EN124" s="9" t="n">
        <f aca="false">(EI124/DR124)</f>
        <v>0.407407407407407</v>
      </c>
      <c r="EO124" s="9" t="n">
        <f aca="false">(EJ124/DS124)</f>
        <v>0.125</v>
      </c>
      <c r="EP124" s="9" t="n">
        <f aca="false">(EK124/DT124)</f>
        <v>0.125</v>
      </c>
      <c r="EQ124" s="9" t="n">
        <f aca="false">(EL124/DU124)</f>
        <v>0.181818181818182</v>
      </c>
      <c r="ER124" s="9" t="n">
        <f aca="false">EM124/DV124</f>
        <v>0.230769230769231</v>
      </c>
      <c r="ES124" s="9" t="n">
        <f aca="false">(100*ER124)</f>
        <v>23.0769230769231</v>
      </c>
      <c r="ET124" s="9" t="n">
        <v>2</v>
      </c>
      <c r="EU124" s="18" t="n">
        <v>11</v>
      </c>
      <c r="EV124" s="9" t="n">
        <v>4</v>
      </c>
      <c r="EW124" s="9" t="n">
        <v>0</v>
      </c>
      <c r="EX124" s="9" t="n">
        <v>1</v>
      </c>
      <c r="EY124" s="11" t="n">
        <f aca="false">(EU124+EV124+EW124+EX124)/4</f>
        <v>4</v>
      </c>
      <c r="EZ124" s="11" t="n">
        <f aca="false">(EU124/DR124)</f>
        <v>0.407407407407407</v>
      </c>
      <c r="FA124" s="11" t="n">
        <f aca="false">(EV124/DS124)</f>
        <v>0.25</v>
      </c>
      <c r="FB124" s="11" t="n">
        <f aca="false">(EW124/DT124)</f>
        <v>0</v>
      </c>
      <c r="FC124" s="11" t="n">
        <f aca="false">(EX124/DU124)</f>
        <v>0.0909090909090909</v>
      </c>
      <c r="FD124" s="11" t="n">
        <f aca="false">(EY124/DV124)</f>
        <v>0.205128205128205</v>
      </c>
      <c r="FE124" s="11" t="n">
        <f aca="false">(100*FD124)</f>
        <v>20.5128205128205</v>
      </c>
      <c r="FF124" s="9" t="n">
        <v>2</v>
      </c>
      <c r="FG124" s="9" t="n">
        <v>0</v>
      </c>
      <c r="FH124" s="9" t="n">
        <v>0</v>
      </c>
      <c r="FI124" s="9" t="n">
        <v>0</v>
      </c>
      <c r="FJ124" s="9" t="n">
        <v>2</v>
      </c>
      <c r="FK124" s="11" t="n">
        <f aca="false">(FG124+FH124+FI124+FJ124)/4</f>
        <v>0.5</v>
      </c>
      <c r="FL124" s="11" t="n">
        <f aca="false">(FG124/DR124)</f>
        <v>0</v>
      </c>
      <c r="FM124" s="11" t="n">
        <f aca="false">(FH124/DS124)</f>
        <v>0</v>
      </c>
      <c r="FN124" s="11" t="n">
        <f aca="false">(FI124/DT124)</f>
        <v>0</v>
      </c>
      <c r="FO124" s="11" t="n">
        <f aca="false">(FJ124/DU124)</f>
        <v>0.181818181818182</v>
      </c>
      <c r="FP124" s="11" t="n">
        <f aca="false">(FK124/DV124)</f>
        <v>0.0256410256410256</v>
      </c>
      <c r="FQ124" s="11" t="n">
        <f aca="false">(100*FP124)</f>
        <v>2.56410256410256</v>
      </c>
      <c r="FR124" s="9" t="n">
        <v>1</v>
      </c>
      <c r="FS124" s="9" t="n">
        <v>57.8</v>
      </c>
      <c r="FT124" s="9" t="n">
        <v>56.2</v>
      </c>
      <c r="FU124" s="9" t="n">
        <v>57.2</v>
      </c>
      <c r="FV124" s="9" t="n">
        <v>76.6</v>
      </c>
      <c r="FW124" s="11" t="n">
        <f aca="false">(FS124+FT124+FU124+FV124)/4</f>
        <v>61.95</v>
      </c>
      <c r="FX124" s="9" t="n">
        <v>0</v>
      </c>
      <c r="FY124" s="9" t="n">
        <v>0</v>
      </c>
      <c r="FZ124" s="9" t="n">
        <v>0</v>
      </c>
      <c r="GA124" s="9" t="n">
        <v>1</v>
      </c>
      <c r="GB124" s="11" t="n">
        <f aca="false">(FX124+FY124+FZ124+GA124)/4</f>
        <v>0.25</v>
      </c>
      <c r="GC124" s="9" t="n">
        <v>1</v>
      </c>
      <c r="GD124" s="9" t="n">
        <v>1</v>
      </c>
      <c r="GE124" s="9" t="n">
        <v>1</v>
      </c>
      <c r="GF124" s="9" t="n">
        <v>1</v>
      </c>
      <c r="GG124" s="11" t="n">
        <f aca="false">(GC124+GD124+GE124+GF124)/4</f>
        <v>1</v>
      </c>
      <c r="GH124" s="9" t="n">
        <v>1</v>
      </c>
      <c r="GI124" s="9" t="n">
        <v>1</v>
      </c>
      <c r="GJ124" s="9" t="n">
        <v>1</v>
      </c>
      <c r="GK124" s="9" t="n">
        <v>1</v>
      </c>
      <c r="GL124" s="11" t="n">
        <f aca="false">(GH124+GI124+GJ124+GK124)/4</f>
        <v>1</v>
      </c>
      <c r="GM124" s="9" t="n">
        <v>14</v>
      </c>
      <c r="GN124" s="9" t="n">
        <v>54</v>
      </c>
      <c r="GO124" s="9" t="n">
        <v>10</v>
      </c>
      <c r="GP124" s="9" t="n">
        <v>65</v>
      </c>
      <c r="GQ124" s="11" t="n">
        <f aca="false">(GM124+GN124+GO124+GP124)/4</f>
        <v>35.75</v>
      </c>
      <c r="GR124" s="9" t="n">
        <v>34</v>
      </c>
      <c r="GS124" s="9" t="n">
        <v>51</v>
      </c>
      <c r="GT124" s="9" t="n">
        <v>23</v>
      </c>
      <c r="GU124" s="9" t="n">
        <v>11</v>
      </c>
      <c r="GV124" s="11" t="n">
        <f aca="false">(GR124+GS124+GT124+GU124)/4</f>
        <v>29.75</v>
      </c>
      <c r="GW124" s="9" t="n">
        <v>0</v>
      </c>
      <c r="GX124" s="9" t="n">
        <v>0</v>
      </c>
      <c r="GY124" s="9" t="n">
        <v>0</v>
      </c>
      <c r="GZ124" s="9" t="n">
        <v>1</v>
      </c>
      <c r="HA124" s="11" t="n">
        <f aca="false">(GW124+GX124+GY124+GZ124)/4</f>
        <v>0.25</v>
      </c>
      <c r="HB124" s="9" t="n">
        <f aca="false">(GW124/GR124)</f>
        <v>0</v>
      </c>
      <c r="HC124" s="9" t="n">
        <f aca="false">(GX124/GS124)</f>
        <v>0</v>
      </c>
      <c r="HD124" s="9" t="n">
        <f aca="false">(GY124/GT124)</f>
        <v>0</v>
      </c>
      <c r="HE124" s="9" t="n">
        <f aca="false">(GZ124/GU124)/4</f>
        <v>0.0227272727272727</v>
      </c>
      <c r="HF124" s="9" t="n">
        <f aca="false">(HB124+HC124+HD124+HE124)/4</f>
        <v>0.00568181818181818</v>
      </c>
      <c r="HG124" s="9" t="n">
        <f aca="false">(100*HF124)</f>
        <v>0.568181818181818</v>
      </c>
      <c r="HH124" s="18" t="n">
        <v>1</v>
      </c>
      <c r="HI124" s="9" t="n">
        <v>3</v>
      </c>
      <c r="HJ124" s="9" t="n">
        <v>4</v>
      </c>
      <c r="HK124" s="9" t="n">
        <v>6</v>
      </c>
      <c r="HL124" s="19" t="n">
        <v>4</v>
      </c>
      <c r="HM124" s="9" t="n">
        <f aca="false">(HI124+HJ124+HK124+HL124)/4</f>
        <v>4.25</v>
      </c>
      <c r="HN124" s="9" t="n">
        <f aca="false">(HI124/GR124)</f>
        <v>0.0882352941176471</v>
      </c>
      <c r="HO124" s="9" t="n">
        <f aca="false">(HJ124/GS124)</f>
        <v>0.0784313725490196</v>
      </c>
      <c r="HP124" s="9" t="n">
        <f aca="false">(HK124/GT124)</f>
        <v>0.260869565217391</v>
      </c>
      <c r="HQ124" s="9" t="n">
        <f aca="false">(HL124/GU124)</f>
        <v>0.363636363636364</v>
      </c>
      <c r="HR124" s="9" t="n">
        <f aca="false">(HM124/GV124)</f>
        <v>0.142857142857143</v>
      </c>
      <c r="HS124" s="9" t="n">
        <f aca="false">(100*HR124)</f>
        <v>14.2857142857143</v>
      </c>
      <c r="HT124" s="18" t="n">
        <v>2</v>
      </c>
      <c r="HU124" s="9" t="n">
        <v>3</v>
      </c>
      <c r="HV124" s="9" t="n">
        <v>1</v>
      </c>
      <c r="HW124" s="9" t="n">
        <v>2</v>
      </c>
      <c r="HX124" s="19" t="n">
        <v>2</v>
      </c>
      <c r="HY124" s="9" t="n">
        <f aca="false">(HU124+HV124+HW124+HX124)/4</f>
        <v>2</v>
      </c>
      <c r="HZ124" s="9" t="n">
        <f aca="false">(HU124/GR124)</f>
        <v>0.0882352941176471</v>
      </c>
      <c r="IA124" s="9" t="n">
        <f aca="false">HV124/GS124</f>
        <v>0.0196078431372549</v>
      </c>
      <c r="IB124" s="9" t="n">
        <f aca="false">(HW124/GT124)</f>
        <v>0.0869565217391304</v>
      </c>
      <c r="IC124" s="9" t="n">
        <f aca="false">(HX124/GU124)</f>
        <v>0.181818181818182</v>
      </c>
      <c r="ID124" s="9" t="n">
        <f aca="false">(HY124/GV124)</f>
        <v>0.0672268907563025</v>
      </c>
      <c r="IE124" s="9" t="n">
        <f aca="false">(100*ID124)</f>
        <v>6.72268907563025</v>
      </c>
      <c r="IF124" s="18" t="n">
        <v>1</v>
      </c>
      <c r="IG124" s="9" t="n">
        <v>6</v>
      </c>
      <c r="IH124" s="9" t="n">
        <v>7</v>
      </c>
      <c r="II124" s="19" t="n">
        <v>3</v>
      </c>
      <c r="IJ124" s="9" t="n">
        <v>0</v>
      </c>
      <c r="IK124" s="9" t="n">
        <f aca="false">(IG124+IH124+II124+IJ124)/4</f>
        <v>4</v>
      </c>
      <c r="IL124" s="9" t="n">
        <f aca="false">(IG124/GM124)</f>
        <v>0.428571428571429</v>
      </c>
      <c r="IM124" s="9" t="n">
        <f aca="false">(IH124/GN124)</f>
        <v>0.12962962962963</v>
      </c>
      <c r="IN124" s="9" t="n">
        <f aca="false">(II124/GO124)</f>
        <v>0.3</v>
      </c>
      <c r="IO124" s="9" t="n">
        <f aca="false">(IJ124/GP124)</f>
        <v>0</v>
      </c>
      <c r="IP124" s="9" t="n">
        <f aca="false">(IK124/GQ124)</f>
        <v>0.111888111888112</v>
      </c>
      <c r="IQ124" s="9" t="n">
        <f aca="false">(100*IP124)</f>
        <v>11.1888111888112</v>
      </c>
      <c r="IR124" s="18" t="n">
        <v>2</v>
      </c>
      <c r="IS124" s="9" t="n">
        <v>60.6</v>
      </c>
      <c r="IT124" s="9" t="n">
        <v>47.3</v>
      </c>
      <c r="IU124" s="19" t="n">
        <v>52.1</v>
      </c>
      <c r="IV124" s="9" t="n">
        <v>58.1</v>
      </c>
      <c r="IW124" s="9" t="n">
        <f aca="false">(IS124+IT124+IU124+IV124)/4</f>
        <v>54.525</v>
      </c>
      <c r="IX124" s="16" t="n">
        <v>45241</v>
      </c>
      <c r="IY124" s="10" t="s">
        <v>268</v>
      </c>
    </row>
    <row r="125" customFormat="false" ht="15.75" hidden="false" customHeight="true" outlineLevel="0" collapsed="false">
      <c r="A125" s="9" t="s">
        <v>299</v>
      </c>
      <c r="B125" s="10" t="s">
        <v>554</v>
      </c>
      <c r="C125" s="10" t="s">
        <v>514</v>
      </c>
      <c r="D125" s="9" t="n">
        <v>2</v>
      </c>
      <c r="E125" s="9" t="n">
        <v>42</v>
      </c>
      <c r="F125" s="10" t="s">
        <v>555</v>
      </c>
      <c r="G125" s="11" t="s">
        <v>263</v>
      </c>
      <c r="H125" s="9" t="n">
        <v>20</v>
      </c>
      <c r="I125" s="9" t="n">
        <v>5</v>
      </c>
      <c r="J125" s="12" t="s">
        <v>264</v>
      </c>
      <c r="K125" s="13" t="s">
        <v>556</v>
      </c>
      <c r="L125" s="23" t="s">
        <v>557</v>
      </c>
      <c r="M125" s="32" t="n">
        <v>1285</v>
      </c>
      <c r="N125" s="15" t="n">
        <v>45154</v>
      </c>
      <c r="O125" s="10" t="s">
        <v>294</v>
      </c>
      <c r="P125" s="9"/>
      <c r="Q125" s="9" t="n">
        <v>0.4</v>
      </c>
      <c r="R125" s="9" t="n">
        <v>15</v>
      </c>
      <c r="S125" s="9" t="n">
        <v>-15</v>
      </c>
      <c r="T125" s="9" t="n">
        <v>75</v>
      </c>
      <c r="U125" s="9"/>
      <c r="V125" s="9" t="n">
        <f aca="false">(51/100)</f>
        <v>0.51</v>
      </c>
      <c r="W125" s="9" t="s">
        <v>558</v>
      </c>
      <c r="X125" s="9" t="n">
        <v>0</v>
      </c>
      <c r="Y125" s="9" t="n">
        <v>0</v>
      </c>
      <c r="Z125" s="9" t="n">
        <v>0</v>
      </c>
      <c r="AA125" s="9" t="n">
        <v>0</v>
      </c>
      <c r="AB125" s="11" t="n">
        <f aca="false">(X125+Y125+Z125+AA125)/4</f>
        <v>0</v>
      </c>
      <c r="AC125" s="9" t="n">
        <v>1</v>
      </c>
      <c r="AD125" s="9" t="n">
        <v>1</v>
      </c>
      <c r="AE125" s="9" t="n">
        <v>1</v>
      </c>
      <c r="AF125" s="9" t="n">
        <v>1</v>
      </c>
      <c r="AG125" s="11" t="n">
        <f aca="false">(AC125+AD125+AE125+AF125)/4</f>
        <v>1</v>
      </c>
      <c r="AH125" s="9" t="n">
        <v>1</v>
      </c>
      <c r="AI125" s="9" t="n">
        <v>1</v>
      </c>
      <c r="AJ125" s="9" t="n">
        <v>1</v>
      </c>
      <c r="AK125" s="9" t="n">
        <v>1</v>
      </c>
      <c r="AL125" s="11" t="n">
        <f aca="false">(AH125+AI125+AJ125+AK125)/4</f>
        <v>1</v>
      </c>
      <c r="AM125" s="9" t="n">
        <v>28</v>
      </c>
      <c r="AN125" s="9" t="n">
        <v>11</v>
      </c>
      <c r="AO125" s="9" t="n">
        <v>31</v>
      </c>
      <c r="AP125" s="9" t="n">
        <v>13</v>
      </c>
      <c r="AQ125" s="11" t="n">
        <f aca="false">(AM125+AN125+AO125+AP125)/4</f>
        <v>20.75</v>
      </c>
      <c r="AR125" s="9" t="n">
        <v>19</v>
      </c>
      <c r="AS125" s="9" t="n">
        <v>8</v>
      </c>
      <c r="AT125" s="9" t="n">
        <v>25</v>
      </c>
      <c r="AU125" s="9" t="n">
        <v>14</v>
      </c>
      <c r="AV125" s="11" t="n">
        <f aca="false">(AR125+AS125+AT125+AU125)/4</f>
        <v>16.5</v>
      </c>
      <c r="AW125" s="9" t="n">
        <v>0</v>
      </c>
      <c r="AX125" s="9" t="n">
        <v>0</v>
      </c>
      <c r="AY125" s="9" t="n">
        <v>0</v>
      </c>
      <c r="AZ125" s="9" t="n">
        <v>0</v>
      </c>
      <c r="BA125" s="11" t="n">
        <f aca="false">(AW125+AX125+AY125+AZ125)/4</f>
        <v>0</v>
      </c>
      <c r="BB125" s="11" t="n">
        <f aca="false">(AW125/AR125)</f>
        <v>0</v>
      </c>
      <c r="BC125" s="11" t="n">
        <f aca="false">(AX125/AS125)</f>
        <v>0</v>
      </c>
      <c r="BD125" s="11" t="n">
        <f aca="false">(AY125/AT125)</f>
        <v>0</v>
      </c>
      <c r="BE125" s="11" t="n">
        <f aca="false">(AZ125/AU125)</f>
        <v>0</v>
      </c>
      <c r="BF125" s="11" t="n">
        <f aca="false">(BA125/AV125)</f>
        <v>0</v>
      </c>
      <c r="BG125" s="11" t="n">
        <f aca="false">(BF125*100)</f>
        <v>0</v>
      </c>
      <c r="BH125" s="9" t="n">
        <v>0</v>
      </c>
      <c r="BI125" s="9" t="n">
        <v>4</v>
      </c>
      <c r="BJ125" s="9" t="n">
        <v>4</v>
      </c>
      <c r="BK125" s="9" t="n">
        <v>2</v>
      </c>
      <c r="BL125" s="9" t="n">
        <v>7</v>
      </c>
      <c r="BM125" s="11" t="n">
        <f aca="false">(BI125+BJ125+BK125+BL125)/4</f>
        <v>4.25</v>
      </c>
      <c r="BN125" s="11" t="n">
        <f aca="false">(BI125/AR125)</f>
        <v>0.210526315789474</v>
      </c>
      <c r="BO125" s="11" t="n">
        <f aca="false">(BJ125/AS125)</f>
        <v>0.5</v>
      </c>
      <c r="BP125" s="11" t="n">
        <f aca="false">(BK125/AT125)</f>
        <v>0.08</v>
      </c>
      <c r="BQ125" s="11" t="n">
        <f aca="false">(BL125/AU125)</f>
        <v>0.5</v>
      </c>
      <c r="BR125" s="11" t="n">
        <f aca="false">(BM125/AV125)</f>
        <v>0.257575757575758</v>
      </c>
      <c r="BS125" s="11" t="n">
        <f aca="false">(100*BR125)</f>
        <v>25.7575757575758</v>
      </c>
      <c r="BT125" s="9" t="n">
        <v>2</v>
      </c>
      <c r="BU125" s="9" t="n">
        <v>0</v>
      </c>
      <c r="BV125" s="9" t="n">
        <v>2</v>
      </c>
      <c r="BW125" s="9" t="n">
        <v>2</v>
      </c>
      <c r="BX125" s="9" t="n">
        <v>0</v>
      </c>
      <c r="BY125" s="11" t="n">
        <f aca="false">(BU125+BV125+BW125+BX125)/4</f>
        <v>1</v>
      </c>
      <c r="BZ125" s="11" t="n">
        <f aca="false">(BU125/AR125)</f>
        <v>0</v>
      </c>
      <c r="CA125" s="11" t="n">
        <f aca="false">(BV125/AS125)</f>
        <v>0.25</v>
      </c>
      <c r="CB125" s="11" t="n">
        <f aca="false">(BW125/AT125)</f>
        <v>0.08</v>
      </c>
      <c r="CC125" s="11" t="n">
        <f aca="false">(BX125/AU125)</f>
        <v>0</v>
      </c>
      <c r="CD125" s="11" t="n">
        <f aca="false">(BY125/AV125)</f>
        <v>0.0606060606060606</v>
      </c>
      <c r="CE125" s="11" t="n">
        <f aca="false">(100*CD125)</f>
        <v>6.06060606060606</v>
      </c>
      <c r="CF125" s="9" t="n">
        <v>1</v>
      </c>
      <c r="CG125" s="9" t="n">
        <v>5</v>
      </c>
      <c r="CH125" s="9" t="n">
        <v>2</v>
      </c>
      <c r="CI125" s="9" t="n">
        <v>4</v>
      </c>
      <c r="CJ125" s="9" t="n">
        <v>8</v>
      </c>
      <c r="CK125" s="11" t="n">
        <f aca="false">(CG125+CH125+CI125+CJ125)/4</f>
        <v>4.75</v>
      </c>
      <c r="CL125" s="11" t="n">
        <f aca="false">(CG125/AM125)</f>
        <v>0.178571428571429</v>
      </c>
      <c r="CM125" s="11" t="n">
        <f aca="false">(CH125/AN125)</f>
        <v>0.181818181818182</v>
      </c>
      <c r="CN125" s="11" t="n">
        <f aca="false">(CI125/AO125)</f>
        <v>0.129032258064516</v>
      </c>
      <c r="CO125" s="9" t="n">
        <f aca="false">(CJ125/AP125)</f>
        <v>0.615384615384615</v>
      </c>
      <c r="CP125" s="9" t="n">
        <f aca="false">(CK125/AQ125)</f>
        <v>0.228915662650602</v>
      </c>
      <c r="CQ125" s="9" t="n">
        <f aca="false">(100*CP125)</f>
        <v>22.8915662650602</v>
      </c>
      <c r="CR125" s="18" t="n">
        <v>2</v>
      </c>
      <c r="CS125" s="11" t="n">
        <v>69.8</v>
      </c>
      <c r="CT125" s="9" t="n">
        <v>61.1</v>
      </c>
      <c r="CU125" s="9" t="n">
        <v>46.8</v>
      </c>
      <c r="CV125" s="9" t="n">
        <v>63.8</v>
      </c>
      <c r="CW125" s="11" t="n">
        <f aca="false">(CS125+CT125+CU125+CV125)/4</f>
        <v>60.375</v>
      </c>
      <c r="CX125" s="9" t="n">
        <v>0</v>
      </c>
      <c r="CY125" s="9" t="n">
        <v>0</v>
      </c>
      <c r="CZ125" s="9" t="n">
        <v>0</v>
      </c>
      <c r="DA125" s="9" t="n">
        <v>0</v>
      </c>
      <c r="DB125" s="11" t="n">
        <f aca="false">(CX125+CY125+CZ125+DA125)/4</f>
        <v>0</v>
      </c>
      <c r="DC125" s="9" t="n">
        <v>1</v>
      </c>
      <c r="DD125" s="9" t="n">
        <v>1</v>
      </c>
      <c r="DE125" s="9" t="n">
        <v>1</v>
      </c>
      <c r="DF125" s="9" t="n">
        <v>1</v>
      </c>
      <c r="DG125" s="11" t="n">
        <f aca="false">(DC125+DD125+DE125+DF125)/4</f>
        <v>1</v>
      </c>
      <c r="DH125" s="9" t="n">
        <v>1</v>
      </c>
      <c r="DI125" s="9" t="n">
        <v>1</v>
      </c>
      <c r="DJ125" s="9" t="n">
        <v>1</v>
      </c>
      <c r="DK125" s="9" t="n">
        <v>1</v>
      </c>
      <c r="DL125" s="11" t="n">
        <f aca="false">(DH125+DI125+DJ125+DK125)/4</f>
        <v>1</v>
      </c>
      <c r="DM125" s="9" t="n">
        <v>55</v>
      </c>
      <c r="DN125" s="9" t="n">
        <v>40</v>
      </c>
      <c r="DO125" s="9" t="n">
        <v>35</v>
      </c>
      <c r="DP125" s="9" t="n">
        <v>36</v>
      </c>
      <c r="DQ125" s="11" t="n">
        <f aca="false">(DM125+DN125+DO125+DP125)/4</f>
        <v>41.5</v>
      </c>
      <c r="DR125" s="9" t="n">
        <v>6</v>
      </c>
      <c r="DS125" s="9" t="n">
        <v>18</v>
      </c>
      <c r="DT125" s="9" t="n">
        <v>18</v>
      </c>
      <c r="DU125" s="9" t="n">
        <v>22</v>
      </c>
      <c r="DV125" s="11" t="n">
        <f aca="false">(DR125+DS125+DT125+DU125)/4</f>
        <v>16</v>
      </c>
      <c r="DW125" s="9" t="n">
        <v>0</v>
      </c>
      <c r="DX125" s="9" t="n">
        <v>0</v>
      </c>
      <c r="DY125" s="9" t="n">
        <v>0</v>
      </c>
      <c r="DZ125" s="9" t="n">
        <v>0</v>
      </c>
      <c r="EA125" s="11" t="n">
        <f aca="false">(DW125+DX125+DY125+DZ125)/4</f>
        <v>0</v>
      </c>
      <c r="EB125" s="11" t="n">
        <f aca="false">(DW125/DR125)</f>
        <v>0</v>
      </c>
      <c r="EC125" s="11" t="n">
        <f aca="false">(DX125/DS125)</f>
        <v>0</v>
      </c>
      <c r="ED125" s="11" t="n">
        <f aca="false">(DY125/DT125)</f>
        <v>0</v>
      </c>
      <c r="EE125" s="11" t="n">
        <f aca="false">(DZ125/DU125)</f>
        <v>0</v>
      </c>
      <c r="EF125" s="11" t="n">
        <f aca="false">(EA125/DV125)</f>
        <v>0</v>
      </c>
      <c r="EG125" s="11" t="n">
        <f aca="false">(100*EF125)</f>
        <v>0</v>
      </c>
      <c r="EH125" s="9" t="n">
        <v>0</v>
      </c>
      <c r="EI125" s="9" t="n">
        <v>2</v>
      </c>
      <c r="EJ125" s="9" t="n">
        <v>4</v>
      </c>
      <c r="EK125" s="19" t="n">
        <v>7</v>
      </c>
      <c r="EL125" s="9" t="n">
        <v>6</v>
      </c>
      <c r="EM125" s="9" t="n">
        <f aca="false">(EI125+EJ125+EK125+EL125)/4</f>
        <v>4.75</v>
      </c>
      <c r="EN125" s="9" t="n">
        <f aca="false">(EI125/DR125)</f>
        <v>0.333333333333333</v>
      </c>
      <c r="EO125" s="9" t="n">
        <f aca="false">(EJ125/DS125)</f>
        <v>0.222222222222222</v>
      </c>
      <c r="EP125" s="9" t="n">
        <f aca="false">(EK125/DT125)</f>
        <v>0.388888888888889</v>
      </c>
      <c r="EQ125" s="9" t="n">
        <f aca="false">(EL125/DU125)</f>
        <v>0.272727272727273</v>
      </c>
      <c r="ER125" s="9" t="n">
        <f aca="false">EM125/DV125</f>
        <v>0.296875</v>
      </c>
      <c r="ES125" s="9" t="n">
        <f aca="false">(100*ER125)</f>
        <v>29.6875</v>
      </c>
      <c r="ET125" s="9" t="n">
        <v>2</v>
      </c>
      <c r="EU125" s="18" t="n">
        <v>4</v>
      </c>
      <c r="EV125" s="9" t="n">
        <v>0</v>
      </c>
      <c r="EW125" s="9" t="n">
        <v>1</v>
      </c>
      <c r="EX125" s="9" t="n">
        <v>1</v>
      </c>
      <c r="EY125" s="11" t="n">
        <f aca="false">(EU125+EV125+EW125+EX125)/4</f>
        <v>1.5</v>
      </c>
      <c r="EZ125" s="11" t="n">
        <f aca="false">(EU125/DR125)</f>
        <v>0.666666666666667</v>
      </c>
      <c r="FA125" s="11" t="n">
        <f aca="false">(EV125/DS125)</f>
        <v>0</v>
      </c>
      <c r="FB125" s="11" t="n">
        <f aca="false">(EW125/DT125)</f>
        <v>0.0555555555555556</v>
      </c>
      <c r="FC125" s="11" t="n">
        <f aca="false">(EX125/DU125)</f>
        <v>0.0454545454545455</v>
      </c>
      <c r="FD125" s="11" t="n">
        <f aca="false">(EY125/DV125)</f>
        <v>0.09375</v>
      </c>
      <c r="FE125" s="11" t="n">
        <f aca="false">(100*FD125)</f>
        <v>9.375</v>
      </c>
      <c r="FF125" s="9" t="n">
        <v>1</v>
      </c>
      <c r="FG125" s="9" t="n">
        <v>2</v>
      </c>
      <c r="FH125" s="9" t="n">
        <v>10</v>
      </c>
      <c r="FI125" s="9" t="n">
        <v>2</v>
      </c>
      <c r="FJ125" s="9" t="n">
        <v>22</v>
      </c>
      <c r="FK125" s="11" t="n">
        <f aca="false">(FG125+FH125+FI125+FJ125)/4</f>
        <v>9</v>
      </c>
      <c r="FL125" s="11" t="n">
        <f aca="false">(FG125/DR125)</f>
        <v>0.333333333333333</v>
      </c>
      <c r="FM125" s="11" t="n">
        <f aca="false">(FH125/DS125)</f>
        <v>0.555555555555556</v>
      </c>
      <c r="FN125" s="11" t="n">
        <f aca="false">(FI125/DT125)</f>
        <v>0.111111111111111</v>
      </c>
      <c r="FO125" s="11" t="n">
        <f aca="false">(FJ125/DU125)</f>
        <v>1</v>
      </c>
      <c r="FP125" s="11" t="n">
        <f aca="false">(FK125/DV125)</f>
        <v>0.5625</v>
      </c>
      <c r="FQ125" s="11" t="n">
        <f aca="false">(100*FP125)</f>
        <v>56.25</v>
      </c>
      <c r="FR125" s="9" t="n">
        <v>3</v>
      </c>
      <c r="FS125" s="9" t="n">
        <v>80.8</v>
      </c>
      <c r="FT125" s="9" t="n">
        <v>76.8</v>
      </c>
      <c r="FU125" s="9" t="n">
        <v>59.2</v>
      </c>
      <c r="FV125" s="9" t="n">
        <v>42.2</v>
      </c>
      <c r="FW125" s="11" t="n">
        <f aca="false">(FS125+FT125+FU125+FV125)/4</f>
        <v>64.75</v>
      </c>
      <c r="FX125" s="9" t="n">
        <v>0</v>
      </c>
      <c r="FY125" s="9" t="n">
        <v>0</v>
      </c>
      <c r="FZ125" s="9" t="n">
        <v>1</v>
      </c>
      <c r="GA125" s="9" t="n">
        <v>1</v>
      </c>
      <c r="GB125" s="11" t="n">
        <f aca="false">(FX125+FY125+FZ125+GA125)/4</f>
        <v>0.5</v>
      </c>
      <c r="GC125" s="9" t="n">
        <v>1</v>
      </c>
      <c r="GD125" s="9" t="n">
        <v>1</v>
      </c>
      <c r="GE125" s="9" t="n">
        <v>1</v>
      </c>
      <c r="GF125" s="9" t="n">
        <v>1</v>
      </c>
      <c r="GG125" s="11" t="n">
        <f aca="false">(GC125+GD125+GE125+GF125)/4</f>
        <v>1</v>
      </c>
      <c r="GH125" s="9" t="n">
        <v>1</v>
      </c>
      <c r="GI125" s="9" t="n">
        <v>0</v>
      </c>
      <c r="GJ125" s="9" t="n">
        <v>1</v>
      </c>
      <c r="GK125" s="9" t="n">
        <v>0</v>
      </c>
      <c r="GL125" s="11" t="n">
        <f aca="false">(GH125+GI125+GJ125+GK125)/4</f>
        <v>0.5</v>
      </c>
      <c r="GM125" s="9" t="n">
        <v>39</v>
      </c>
      <c r="GN125" s="9" t="n">
        <v>20</v>
      </c>
      <c r="GO125" s="9" t="n">
        <v>17</v>
      </c>
      <c r="GP125" s="9" t="n">
        <v>45</v>
      </c>
      <c r="GQ125" s="11" t="n">
        <f aca="false">(GM125+GN125+GO125+GP125)/4</f>
        <v>30.25</v>
      </c>
      <c r="GR125" s="9" t="n">
        <v>6</v>
      </c>
      <c r="GS125" s="9" t="n">
        <v>22</v>
      </c>
      <c r="GT125" s="9" t="n">
        <v>21</v>
      </c>
      <c r="GU125" s="9" t="n">
        <v>23</v>
      </c>
      <c r="GV125" s="11" t="n">
        <f aca="false">(GR125+GS125+GT125+GU125)/4</f>
        <v>18</v>
      </c>
      <c r="GW125" s="9" t="n">
        <v>0</v>
      </c>
      <c r="GX125" s="9" t="n">
        <v>0</v>
      </c>
      <c r="GY125" s="9" t="n">
        <v>1</v>
      </c>
      <c r="GZ125" s="9" t="n">
        <v>5</v>
      </c>
      <c r="HA125" s="11" t="n">
        <f aca="false">(GW125+GX125+GY125+GZ125)/4</f>
        <v>1.5</v>
      </c>
      <c r="HB125" s="9" t="n">
        <f aca="false">(GW125/GR125)</f>
        <v>0</v>
      </c>
      <c r="HC125" s="9" t="n">
        <f aca="false">(GX125/GS125)</f>
        <v>0</v>
      </c>
      <c r="HD125" s="9" t="n">
        <f aca="false">(GY125/GT125)</f>
        <v>0.0476190476190476</v>
      </c>
      <c r="HE125" s="9" t="n">
        <f aca="false">(GZ125/GU125)/4</f>
        <v>0.0543478260869565</v>
      </c>
      <c r="HF125" s="9" t="n">
        <f aca="false">(HB125+HC125+HD125+HE125)/4</f>
        <v>0.025491718426501</v>
      </c>
      <c r="HG125" s="9" t="n">
        <f aca="false">(100*HF125)</f>
        <v>2.5491718426501</v>
      </c>
      <c r="HH125" s="18" t="n">
        <v>1</v>
      </c>
      <c r="HI125" s="9" t="n">
        <v>2</v>
      </c>
      <c r="HJ125" s="9" t="n">
        <v>8</v>
      </c>
      <c r="HK125" s="9" t="n">
        <v>2</v>
      </c>
      <c r="HL125" s="19" t="n">
        <v>7</v>
      </c>
      <c r="HM125" s="9" t="n">
        <f aca="false">(HI125+HJ125+HK125+HL125)/4</f>
        <v>4.75</v>
      </c>
      <c r="HN125" s="9" t="n">
        <f aca="false">(HI125/GR125)</f>
        <v>0.333333333333333</v>
      </c>
      <c r="HO125" s="9" t="n">
        <f aca="false">(HJ125/GS125)</f>
        <v>0.363636363636364</v>
      </c>
      <c r="HP125" s="9" t="n">
        <f aca="false">(HK125/GT125)</f>
        <v>0.0952380952380952</v>
      </c>
      <c r="HQ125" s="9" t="n">
        <f aca="false">(HL125/GU125)</f>
        <v>0.304347826086957</v>
      </c>
      <c r="HR125" s="9" t="n">
        <f aca="false">(HM125/GV125)</f>
        <v>0.263888888888889</v>
      </c>
      <c r="HS125" s="9" t="n">
        <f aca="false">(100*HR125)</f>
        <v>26.3888888888889</v>
      </c>
      <c r="HT125" s="18" t="n">
        <v>2</v>
      </c>
      <c r="HU125" s="9" t="n">
        <v>0</v>
      </c>
      <c r="HV125" s="9" t="n">
        <v>0</v>
      </c>
      <c r="HW125" s="9" t="n">
        <v>2</v>
      </c>
      <c r="HX125" s="19" t="n">
        <v>0</v>
      </c>
      <c r="HY125" s="9" t="n">
        <f aca="false">(HU125+HV125+HW125+HX125)/4</f>
        <v>0.5</v>
      </c>
      <c r="HZ125" s="9" t="n">
        <f aca="false">(HU125/GR125)</f>
        <v>0</v>
      </c>
      <c r="IA125" s="9" t="n">
        <f aca="false">HV125/GS125</f>
        <v>0</v>
      </c>
      <c r="IB125" s="9" t="n">
        <f aca="false">(HW125/GT125)</f>
        <v>0.0952380952380952</v>
      </c>
      <c r="IC125" s="9" t="n">
        <f aca="false">(HX125/GU125)</f>
        <v>0</v>
      </c>
      <c r="ID125" s="9" t="n">
        <f aca="false">(HY125/GV125)</f>
        <v>0.0277777777777778</v>
      </c>
      <c r="IE125" s="9" t="n">
        <f aca="false">(100*ID125)</f>
        <v>2.77777777777778</v>
      </c>
      <c r="IF125" s="18" t="n">
        <v>1</v>
      </c>
      <c r="IG125" s="9" t="n">
        <v>2</v>
      </c>
      <c r="IH125" s="9" t="n">
        <v>0</v>
      </c>
      <c r="II125" s="19" t="n">
        <v>0</v>
      </c>
      <c r="IJ125" s="9" t="n">
        <v>0</v>
      </c>
      <c r="IK125" s="9" t="n">
        <f aca="false">(IG125+IH125+II125+IJ125)/4</f>
        <v>0.5</v>
      </c>
      <c r="IL125" s="9" t="n">
        <f aca="false">(IG125/GM125)</f>
        <v>0.0512820512820513</v>
      </c>
      <c r="IM125" s="9" t="n">
        <f aca="false">(IH125/GN125)</f>
        <v>0</v>
      </c>
      <c r="IN125" s="9" t="n">
        <f aca="false">(II125/GO125)</f>
        <v>0</v>
      </c>
      <c r="IO125" s="9" t="n">
        <f aca="false">(IJ125/GP125)</f>
        <v>0</v>
      </c>
      <c r="IP125" s="9" t="n">
        <f aca="false">(IK125/GQ125)</f>
        <v>0.0165289256198347</v>
      </c>
      <c r="IQ125" s="9" t="n">
        <f aca="false">(100*IP125)</f>
        <v>1.65289256198347</v>
      </c>
      <c r="IR125" s="18" t="n">
        <v>1</v>
      </c>
      <c r="IS125" s="9" t="n">
        <v>64.7</v>
      </c>
      <c r="IT125" s="9" t="n">
        <v>69.7</v>
      </c>
      <c r="IU125" s="19" t="n">
        <v>70.1</v>
      </c>
      <c r="IV125" s="9" t="n">
        <v>70.2</v>
      </c>
      <c r="IW125" s="9" t="n">
        <f aca="false">(IS125+IT125+IU125+IV125)/4</f>
        <v>68.675</v>
      </c>
      <c r="IX125" s="16" t="n">
        <v>45241</v>
      </c>
      <c r="IY125" s="10" t="s">
        <v>268</v>
      </c>
    </row>
    <row r="126" customFormat="false" ht="15.75" hidden="false" customHeight="true" outlineLevel="0" collapsed="false">
      <c r="A126" s="9" t="s">
        <v>299</v>
      </c>
      <c r="B126" s="10" t="s">
        <v>554</v>
      </c>
      <c r="C126" s="10" t="s">
        <v>514</v>
      </c>
      <c r="D126" s="9" t="n">
        <v>2</v>
      </c>
      <c r="E126" s="9" t="n">
        <v>42</v>
      </c>
      <c r="F126" s="10" t="s">
        <v>559</v>
      </c>
      <c r="G126" s="11" t="s">
        <v>263</v>
      </c>
      <c r="H126" s="9" t="n">
        <v>20</v>
      </c>
      <c r="I126" s="9" t="n">
        <v>11</v>
      </c>
      <c r="J126" s="12" t="s">
        <v>270</v>
      </c>
      <c r="K126" s="20"/>
      <c r="L126" s="20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 t="n">
        <v>0</v>
      </c>
      <c r="Y126" s="9" t="n">
        <v>0</v>
      </c>
      <c r="Z126" s="9" t="n">
        <v>0</v>
      </c>
      <c r="AA126" s="9" t="n">
        <v>1</v>
      </c>
      <c r="AB126" s="11" t="n">
        <f aca="false">(X126+Y126+Z126+AA126)/4</f>
        <v>0.25</v>
      </c>
      <c r="AC126" s="9" t="n">
        <v>1</v>
      </c>
      <c r="AD126" s="9" t="n">
        <v>1</v>
      </c>
      <c r="AE126" s="9" t="n">
        <v>1</v>
      </c>
      <c r="AF126" s="9" t="n">
        <v>1</v>
      </c>
      <c r="AG126" s="11" t="n">
        <f aca="false">(AC126+AD126+AE126+AF126)/4</f>
        <v>1</v>
      </c>
      <c r="AH126" s="9" t="n">
        <v>1</v>
      </c>
      <c r="AI126" s="9" t="n">
        <v>1</v>
      </c>
      <c r="AJ126" s="9" t="n">
        <v>1</v>
      </c>
      <c r="AK126" s="9" t="n">
        <v>0</v>
      </c>
      <c r="AL126" s="11" t="n">
        <f aca="false">(AH126+AI126+AJ126+AK126)/4</f>
        <v>0.75</v>
      </c>
      <c r="AM126" s="9" t="n">
        <v>15</v>
      </c>
      <c r="AN126" s="9" t="n">
        <v>9</v>
      </c>
      <c r="AO126" s="9" t="n">
        <v>44</v>
      </c>
      <c r="AP126" s="9" t="n">
        <v>28</v>
      </c>
      <c r="AQ126" s="11" t="n">
        <f aca="false">(AM126+AN126+AO126+AP126)/4</f>
        <v>24</v>
      </c>
      <c r="AR126" s="9" t="n">
        <v>28</v>
      </c>
      <c r="AS126" s="9" t="n">
        <v>24</v>
      </c>
      <c r="AT126" s="9" t="n">
        <v>6</v>
      </c>
      <c r="AU126" s="9" t="n">
        <v>9</v>
      </c>
      <c r="AV126" s="11" t="n">
        <f aca="false">(AR126+AS126+AT126+AU126)/4</f>
        <v>16.75</v>
      </c>
      <c r="AW126" s="9" t="n">
        <v>0</v>
      </c>
      <c r="AX126" s="9" t="n">
        <v>0</v>
      </c>
      <c r="AY126" s="9" t="n">
        <v>0</v>
      </c>
      <c r="AZ126" s="9" t="n">
        <v>2</v>
      </c>
      <c r="BA126" s="11" t="n">
        <f aca="false">(AW126+AX126+AY126+AZ126)/4</f>
        <v>0.5</v>
      </c>
      <c r="BB126" s="11" t="n">
        <f aca="false">(AW126/AR126)</f>
        <v>0</v>
      </c>
      <c r="BC126" s="11" t="n">
        <f aca="false">(AX126/AS126)</f>
        <v>0</v>
      </c>
      <c r="BD126" s="11" t="n">
        <f aca="false">(AY126/AT126)</f>
        <v>0</v>
      </c>
      <c r="BE126" s="11" t="n">
        <f aca="false">(AZ126/AU126)</f>
        <v>0.222222222222222</v>
      </c>
      <c r="BF126" s="11" t="n">
        <f aca="false">(BA126/AV126)</f>
        <v>0.0298507462686567</v>
      </c>
      <c r="BG126" s="11" t="n">
        <f aca="false">(BF126*100)</f>
        <v>2.98507462686567</v>
      </c>
      <c r="BH126" s="9" t="n">
        <v>1</v>
      </c>
      <c r="BI126" s="9" t="n">
        <v>2</v>
      </c>
      <c r="BJ126" s="9" t="n">
        <v>2</v>
      </c>
      <c r="BK126" s="9" t="n">
        <v>1</v>
      </c>
      <c r="BL126" s="9" t="n">
        <v>2</v>
      </c>
      <c r="BM126" s="11" t="n">
        <f aca="false">(BI126+BJ126+BK126+BL126)/4</f>
        <v>1.75</v>
      </c>
      <c r="BN126" s="11" t="n">
        <f aca="false">(BI126/AR126)</f>
        <v>0.0714285714285714</v>
      </c>
      <c r="BO126" s="11" t="n">
        <f aca="false">(BJ126/AS126)</f>
        <v>0.0833333333333333</v>
      </c>
      <c r="BP126" s="11" t="n">
        <f aca="false">(BK126/AT126)</f>
        <v>0.166666666666667</v>
      </c>
      <c r="BQ126" s="11" t="n">
        <f aca="false">(BL126/AU126)</f>
        <v>0.222222222222222</v>
      </c>
      <c r="BR126" s="11" t="n">
        <f aca="false">(BM126/AV126)</f>
        <v>0.104477611940299</v>
      </c>
      <c r="BS126" s="11" t="n">
        <f aca="false">(100*BR126)</f>
        <v>10.4477611940299</v>
      </c>
      <c r="BT126" s="9" t="n">
        <v>2</v>
      </c>
      <c r="BU126" s="9" t="n">
        <v>1</v>
      </c>
      <c r="BV126" s="9" t="n">
        <v>3</v>
      </c>
      <c r="BW126" s="9" t="n">
        <v>4</v>
      </c>
      <c r="BX126" s="9" t="n">
        <v>0</v>
      </c>
      <c r="BY126" s="11" t="n">
        <f aca="false">(BU126+BV126+BW126+BX126)/4</f>
        <v>2</v>
      </c>
      <c r="BZ126" s="11" t="n">
        <f aca="false">(BU126/AR126)</f>
        <v>0.0357142857142857</v>
      </c>
      <c r="CA126" s="11" t="n">
        <f aca="false">(BV126/AS126)</f>
        <v>0.125</v>
      </c>
      <c r="CB126" s="11" t="n">
        <f aca="false">(BW126/AT126)</f>
        <v>0.666666666666667</v>
      </c>
      <c r="CC126" s="11" t="n">
        <f aca="false">(BX126/AU126)</f>
        <v>0</v>
      </c>
      <c r="CD126" s="11" t="n">
        <f aca="false">(BY126/AV126)</f>
        <v>0.119402985074627</v>
      </c>
      <c r="CE126" s="11" t="n">
        <f aca="false">(100*CD126)</f>
        <v>11.9402985074627</v>
      </c>
      <c r="CF126" s="9" t="n">
        <v>2</v>
      </c>
      <c r="CG126" s="9" t="n">
        <v>3</v>
      </c>
      <c r="CH126" s="9" t="n">
        <v>2</v>
      </c>
      <c r="CI126" s="9" t="n">
        <v>2</v>
      </c>
      <c r="CJ126" s="9" t="n">
        <v>0</v>
      </c>
      <c r="CK126" s="11" t="n">
        <f aca="false">(CG126+CH126+CI126+CJ126)/4</f>
        <v>1.75</v>
      </c>
      <c r="CL126" s="11" t="n">
        <f aca="false">(CG126/AM126)</f>
        <v>0.2</v>
      </c>
      <c r="CM126" s="11" t="n">
        <f aca="false">(CH126/AN126)</f>
        <v>0.222222222222222</v>
      </c>
      <c r="CN126" s="11" t="n">
        <f aca="false">(CI126/AO126)</f>
        <v>0.0454545454545455</v>
      </c>
      <c r="CO126" s="9" t="n">
        <f aca="false">(CJ126/AP126)</f>
        <v>0</v>
      </c>
      <c r="CP126" s="9" t="n">
        <f aca="false">(CK126/AQ126)</f>
        <v>0.0729166666666667</v>
      </c>
      <c r="CQ126" s="9" t="n">
        <f aca="false">(100*CP126)</f>
        <v>7.29166666666667</v>
      </c>
      <c r="CR126" s="18" t="n">
        <v>1</v>
      </c>
      <c r="CS126" s="9" t="n">
        <v>39.7</v>
      </c>
      <c r="CT126" s="9" t="n">
        <v>83.1</v>
      </c>
      <c r="CU126" s="9" t="n">
        <v>60.7</v>
      </c>
      <c r="CV126" s="9" t="n">
        <v>63.8</v>
      </c>
      <c r="CW126" s="11" t="n">
        <f aca="false">(CS126+CT126+CU126+CV126)/4</f>
        <v>61.825</v>
      </c>
      <c r="CX126" s="9" t="n">
        <v>0</v>
      </c>
      <c r="CY126" s="9" t="n">
        <v>0</v>
      </c>
      <c r="CZ126" s="9" t="n">
        <v>0</v>
      </c>
      <c r="DA126" s="9" t="n">
        <v>0</v>
      </c>
      <c r="DB126" s="11" t="n">
        <f aca="false">(CX126+CY126+CZ126+DA126)/4</f>
        <v>0</v>
      </c>
      <c r="DC126" s="9" t="n">
        <v>1</v>
      </c>
      <c r="DD126" s="9" t="n">
        <v>1</v>
      </c>
      <c r="DE126" s="9" t="n">
        <v>1</v>
      </c>
      <c r="DF126" s="9" t="n">
        <v>1</v>
      </c>
      <c r="DG126" s="11" t="n">
        <f aca="false">(DC126+DD126+DE126+DF126)/4</f>
        <v>1</v>
      </c>
      <c r="DH126" s="9" t="n">
        <v>1</v>
      </c>
      <c r="DI126" s="9" t="n">
        <v>1</v>
      </c>
      <c r="DJ126" s="9" t="n">
        <v>1</v>
      </c>
      <c r="DK126" s="9" t="n">
        <v>1</v>
      </c>
      <c r="DL126" s="11" t="n">
        <f aca="false">(DH126+DI126+DJ126+DK126)/4</f>
        <v>1</v>
      </c>
      <c r="DM126" s="9" t="n">
        <v>25</v>
      </c>
      <c r="DN126" s="9" t="n">
        <v>2</v>
      </c>
      <c r="DO126" s="9" t="n">
        <v>41</v>
      </c>
      <c r="DP126" s="9" t="n">
        <v>24</v>
      </c>
      <c r="DQ126" s="11" t="n">
        <f aca="false">(DM126+DN126+DO126+DP126)/4</f>
        <v>23</v>
      </c>
      <c r="DR126" s="9" t="n">
        <v>18</v>
      </c>
      <c r="DS126" s="9" t="n">
        <v>6</v>
      </c>
      <c r="DT126" s="9" t="n">
        <v>13</v>
      </c>
      <c r="DU126" s="9" t="n">
        <v>12</v>
      </c>
      <c r="DV126" s="11" t="n">
        <f aca="false">(DR126+DS126+DT126+DU126)/4</f>
        <v>12.25</v>
      </c>
      <c r="DW126" s="9" t="n">
        <v>0</v>
      </c>
      <c r="DX126" s="9" t="n">
        <v>0</v>
      </c>
      <c r="DY126" s="9" t="n">
        <v>0</v>
      </c>
      <c r="DZ126" s="9" t="n">
        <v>0</v>
      </c>
      <c r="EA126" s="11" t="n">
        <f aca="false">(DW126+DX126+DY126+DZ126)/4</f>
        <v>0</v>
      </c>
      <c r="EB126" s="11" t="n">
        <f aca="false">(DW126/DR126)</f>
        <v>0</v>
      </c>
      <c r="EC126" s="11" t="n">
        <f aca="false">(DX126/DS126)</f>
        <v>0</v>
      </c>
      <c r="ED126" s="11" t="n">
        <f aca="false">(DY126/DT126)</f>
        <v>0</v>
      </c>
      <c r="EE126" s="11" t="n">
        <f aca="false">(DZ126/DU126)</f>
        <v>0</v>
      </c>
      <c r="EF126" s="11" t="n">
        <f aca="false">(EA126/DV126)</f>
        <v>0</v>
      </c>
      <c r="EG126" s="11" t="n">
        <f aca="false">(100*EF126)</f>
        <v>0</v>
      </c>
      <c r="EH126" s="9" t="n">
        <v>0</v>
      </c>
      <c r="EI126" s="9" t="n">
        <v>4</v>
      </c>
      <c r="EJ126" s="9" t="n">
        <v>2</v>
      </c>
      <c r="EK126" s="19" t="n">
        <v>3</v>
      </c>
      <c r="EL126" s="9" t="n">
        <v>4</v>
      </c>
      <c r="EM126" s="9" t="n">
        <f aca="false">(EI126+EJ126+EK126+EL126)/4</f>
        <v>3.25</v>
      </c>
      <c r="EN126" s="9" t="n">
        <f aca="false">(EI126/DR126)</f>
        <v>0.222222222222222</v>
      </c>
      <c r="EO126" s="9" t="n">
        <f aca="false">(EJ126/DS126)</f>
        <v>0.333333333333333</v>
      </c>
      <c r="EP126" s="9" t="n">
        <f aca="false">(EK126/DT126)</f>
        <v>0.230769230769231</v>
      </c>
      <c r="EQ126" s="9" t="n">
        <f aca="false">(EL126/DU126)</f>
        <v>0.333333333333333</v>
      </c>
      <c r="ER126" s="9" t="n">
        <f aca="false">EM126/DV126</f>
        <v>0.26530612244898</v>
      </c>
      <c r="ES126" s="9" t="n">
        <f aca="false">(100*ER126)</f>
        <v>26.530612244898</v>
      </c>
      <c r="ET126" s="9" t="n">
        <v>2</v>
      </c>
      <c r="EU126" s="18" t="n">
        <v>1</v>
      </c>
      <c r="EV126" s="9" t="n">
        <v>1</v>
      </c>
      <c r="EW126" s="9" t="n">
        <v>1</v>
      </c>
      <c r="EX126" s="9" t="n">
        <v>1</v>
      </c>
      <c r="EY126" s="11" t="n">
        <f aca="false">(EU126+EV126+EW126+EX126)/4</f>
        <v>1</v>
      </c>
      <c r="EZ126" s="11" t="n">
        <f aca="false">(EU126/DR126)</f>
        <v>0.0555555555555556</v>
      </c>
      <c r="FA126" s="11" t="n">
        <f aca="false">(EV126/DS126)</f>
        <v>0.166666666666667</v>
      </c>
      <c r="FB126" s="11" t="n">
        <f aca="false">(EW126/DT126)</f>
        <v>0.0769230769230769</v>
      </c>
      <c r="FC126" s="11" t="n">
        <f aca="false">(EX126/DU126)</f>
        <v>0.0833333333333333</v>
      </c>
      <c r="FD126" s="11" t="n">
        <f aca="false">(EY126/DV126)</f>
        <v>0.0816326530612245</v>
      </c>
      <c r="FE126" s="11" t="n">
        <f aca="false">(100*FD126)</f>
        <v>8.16326530612245</v>
      </c>
      <c r="FF126" s="9" t="n">
        <v>1</v>
      </c>
      <c r="FG126" s="9" t="n">
        <v>3</v>
      </c>
      <c r="FH126" s="9" t="n">
        <v>0</v>
      </c>
      <c r="FI126" s="9" t="n">
        <v>3</v>
      </c>
      <c r="FJ126" s="9" t="n">
        <v>4</v>
      </c>
      <c r="FK126" s="11" t="n">
        <f aca="false">(FG126+FH126+FI126+FJ126)/4</f>
        <v>2.5</v>
      </c>
      <c r="FL126" s="11" t="n">
        <f aca="false">(FG126/DR126)</f>
        <v>0.166666666666667</v>
      </c>
      <c r="FM126" s="11" t="n">
        <f aca="false">(FH126/DS126)</f>
        <v>0</v>
      </c>
      <c r="FN126" s="11" t="n">
        <f aca="false">(FI126/DT126)</f>
        <v>0.230769230769231</v>
      </c>
      <c r="FO126" s="11" t="n">
        <f aca="false">(FJ126/DU126)</f>
        <v>0.333333333333333</v>
      </c>
      <c r="FP126" s="11" t="n">
        <f aca="false">(FK126/DV126)</f>
        <v>0.204081632653061</v>
      </c>
      <c r="FQ126" s="11" t="n">
        <f aca="false">(100*FP126)</f>
        <v>20.4081632653061</v>
      </c>
      <c r="FR126" s="9" t="n">
        <v>2</v>
      </c>
      <c r="FS126" s="9" t="n">
        <v>78.2</v>
      </c>
      <c r="FT126" s="9" t="n">
        <v>72.8</v>
      </c>
      <c r="FU126" s="9" t="n">
        <v>55.6</v>
      </c>
      <c r="FV126" s="9" t="n">
        <v>48.3</v>
      </c>
      <c r="FW126" s="11" t="n">
        <f aca="false">(FS126+FT126+FU126+FV126)/4</f>
        <v>63.725</v>
      </c>
      <c r="FX126" s="9" t="n">
        <v>0</v>
      </c>
      <c r="FY126" s="9" t="n">
        <v>1</v>
      </c>
      <c r="FZ126" s="9" t="n">
        <v>0</v>
      </c>
      <c r="GA126" s="9" t="n">
        <v>0</v>
      </c>
      <c r="GB126" s="11" t="n">
        <f aca="false">(FX126+FY126+FZ126+GA126)/4</f>
        <v>0.25</v>
      </c>
      <c r="GC126" s="9" t="n">
        <v>1</v>
      </c>
      <c r="GD126" s="9" t="n">
        <v>1</v>
      </c>
      <c r="GE126" s="9" t="n">
        <v>1</v>
      </c>
      <c r="GF126" s="9" t="n">
        <v>1</v>
      </c>
      <c r="GG126" s="11" t="n">
        <f aca="false">(GC126+GD126+GE126+GF126)/4</f>
        <v>1</v>
      </c>
      <c r="GH126" s="9" t="n">
        <v>1</v>
      </c>
      <c r="GI126" s="9" t="n">
        <v>1</v>
      </c>
      <c r="GJ126" s="9" t="n">
        <v>1</v>
      </c>
      <c r="GK126" s="9" t="n">
        <v>1</v>
      </c>
      <c r="GL126" s="11" t="n">
        <f aca="false">(GH126+GI126+GJ126+GK126)/4</f>
        <v>1</v>
      </c>
      <c r="GM126" s="9" t="n">
        <v>52</v>
      </c>
      <c r="GN126" s="9" t="n">
        <v>136</v>
      </c>
      <c r="GO126" s="9" t="n">
        <v>70</v>
      </c>
      <c r="GP126" s="9" t="n">
        <v>16</v>
      </c>
      <c r="GQ126" s="11" t="n">
        <f aca="false">(GM126+GN126+GO126+GP126)/4</f>
        <v>68.5</v>
      </c>
      <c r="GR126" s="9" t="n">
        <v>11</v>
      </c>
      <c r="GS126" s="9" t="n">
        <v>46</v>
      </c>
      <c r="GT126" s="9" t="n">
        <v>26</v>
      </c>
      <c r="GU126" s="9" t="n">
        <v>11</v>
      </c>
      <c r="GV126" s="11" t="n">
        <f aca="false">(GR126+GS126+GT126+GU126)/4</f>
        <v>23.5</v>
      </c>
      <c r="GW126" s="9" t="n">
        <v>0</v>
      </c>
      <c r="GX126" s="9" t="n">
        <v>1</v>
      </c>
      <c r="GY126" s="9" t="n">
        <v>0</v>
      </c>
      <c r="GZ126" s="9" t="n">
        <v>0</v>
      </c>
      <c r="HA126" s="11" t="n">
        <f aca="false">(GW126+GX126+GY126+GZ126)/4</f>
        <v>0.25</v>
      </c>
      <c r="HB126" s="9" t="n">
        <f aca="false">(GW126/GR126)</f>
        <v>0</v>
      </c>
      <c r="HC126" s="9" t="n">
        <f aca="false">(GX126/GS126)</f>
        <v>0.0217391304347826</v>
      </c>
      <c r="HD126" s="9" t="n">
        <f aca="false">(GY126/GT126)</f>
        <v>0</v>
      </c>
      <c r="HE126" s="9" t="n">
        <f aca="false">(GZ126/GU126)/4</f>
        <v>0</v>
      </c>
      <c r="HF126" s="9" t="n">
        <f aca="false">(HB126+HC126+HD126+HE126)/4</f>
        <v>0.00543478260869565</v>
      </c>
      <c r="HG126" s="9" t="n">
        <f aca="false">(100*HF126)</f>
        <v>0.543478260869565</v>
      </c>
      <c r="HH126" s="18" t="n">
        <v>1</v>
      </c>
      <c r="HI126" s="9" t="n">
        <v>3</v>
      </c>
      <c r="HJ126" s="9" t="n">
        <v>4</v>
      </c>
      <c r="HK126" s="9" t="n">
        <v>2</v>
      </c>
      <c r="HL126" s="19" t="n">
        <v>5</v>
      </c>
      <c r="HM126" s="9" t="n">
        <f aca="false">(HI126+HJ126+HK126+HL126)/4</f>
        <v>3.5</v>
      </c>
      <c r="HN126" s="9" t="n">
        <f aca="false">(HI126/GR126)</f>
        <v>0.272727272727273</v>
      </c>
      <c r="HO126" s="9" t="n">
        <f aca="false">(HJ126/GS126)</f>
        <v>0.0869565217391304</v>
      </c>
      <c r="HP126" s="9" t="n">
        <f aca="false">(HK126/GT126)</f>
        <v>0.0769230769230769</v>
      </c>
      <c r="HQ126" s="9" t="n">
        <f aca="false">(HL126/GU126)</f>
        <v>0.454545454545455</v>
      </c>
      <c r="HR126" s="9" t="n">
        <f aca="false">(HM126/GV126)</f>
        <v>0.148936170212766</v>
      </c>
      <c r="HS126" s="9" t="n">
        <f aca="false">(100*HR126)</f>
        <v>14.8936170212766</v>
      </c>
      <c r="HT126" s="18" t="n">
        <v>2</v>
      </c>
      <c r="HU126" s="9" t="n">
        <v>4</v>
      </c>
      <c r="HV126" s="9" t="n">
        <v>5</v>
      </c>
      <c r="HW126" s="9" t="n">
        <v>2</v>
      </c>
      <c r="HX126" s="19" t="n">
        <v>3</v>
      </c>
      <c r="HY126" s="9" t="n">
        <f aca="false">(HU126+HV126+HW126+HX126)/4</f>
        <v>3.5</v>
      </c>
      <c r="HZ126" s="9" t="n">
        <f aca="false">(HU126/GR126)</f>
        <v>0.363636363636364</v>
      </c>
      <c r="IA126" s="9" t="n">
        <f aca="false">HV126/GS126</f>
        <v>0.108695652173913</v>
      </c>
      <c r="IB126" s="9" t="n">
        <f aca="false">(HW126/GT126)</f>
        <v>0.0769230769230769</v>
      </c>
      <c r="IC126" s="9" t="n">
        <f aca="false">(HX126/GU126)</f>
        <v>0.272727272727273</v>
      </c>
      <c r="ID126" s="9" t="n">
        <f aca="false">(HY126/GV126)</f>
        <v>0.148936170212766</v>
      </c>
      <c r="IE126" s="9" t="n">
        <f aca="false">(100*ID126)</f>
        <v>14.8936170212766</v>
      </c>
      <c r="IF126" s="18" t="n">
        <v>2</v>
      </c>
      <c r="IG126" s="9" t="n">
        <v>0</v>
      </c>
      <c r="IH126" s="9" t="n">
        <v>0</v>
      </c>
      <c r="II126" s="19" t="n">
        <v>3</v>
      </c>
      <c r="IJ126" s="9" t="n">
        <v>6</v>
      </c>
      <c r="IK126" s="9" t="n">
        <f aca="false">(IG126+IH126+II126+IJ126)/4</f>
        <v>2.25</v>
      </c>
      <c r="IL126" s="9" t="n">
        <f aca="false">(IG126/GM126)</f>
        <v>0</v>
      </c>
      <c r="IM126" s="9" t="n">
        <f aca="false">(IH126/GN126)</f>
        <v>0</v>
      </c>
      <c r="IN126" s="9" t="n">
        <f aca="false">(II126/GO126)</f>
        <v>0.0428571428571429</v>
      </c>
      <c r="IO126" s="9" t="n">
        <f aca="false">(IJ126/GP126)</f>
        <v>0.375</v>
      </c>
      <c r="IP126" s="9" t="n">
        <f aca="false">(IK126/GQ126)</f>
        <v>0.0328467153284672</v>
      </c>
      <c r="IQ126" s="9" t="n">
        <f aca="false">(100*IP126)</f>
        <v>3.28467153284672</v>
      </c>
      <c r="IR126" s="18" t="n">
        <v>1</v>
      </c>
      <c r="IS126" s="9" t="n">
        <v>56</v>
      </c>
      <c r="IT126" s="9" t="n">
        <v>90</v>
      </c>
      <c r="IU126" s="19" t="n">
        <v>86.2</v>
      </c>
      <c r="IV126" s="9" t="n">
        <v>81.6</v>
      </c>
      <c r="IW126" s="9" t="n">
        <f aca="false">(IS126+IT126+IU126+IV126)/4</f>
        <v>78.45</v>
      </c>
      <c r="IX126" s="16" t="n">
        <v>45211</v>
      </c>
      <c r="IY126" s="10" t="s">
        <v>268</v>
      </c>
    </row>
    <row r="127" customFormat="false" ht="15.75" hidden="false" customHeight="true" outlineLevel="0" collapsed="false">
      <c r="A127" s="9" t="s">
        <v>299</v>
      </c>
      <c r="B127" s="10" t="s">
        <v>554</v>
      </c>
      <c r="C127" s="10" t="s">
        <v>514</v>
      </c>
      <c r="D127" s="9" t="n">
        <v>2</v>
      </c>
      <c r="E127" s="9" t="n">
        <v>42</v>
      </c>
      <c r="F127" s="10" t="s">
        <v>560</v>
      </c>
      <c r="G127" s="11" t="s">
        <v>263</v>
      </c>
      <c r="H127" s="9" t="n">
        <v>20</v>
      </c>
      <c r="I127" s="9" t="n">
        <v>20</v>
      </c>
      <c r="J127" s="10" t="s">
        <v>272</v>
      </c>
      <c r="K127" s="20"/>
      <c r="L127" s="20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 t="n">
        <v>0</v>
      </c>
      <c r="Y127" s="9" t="n">
        <v>0</v>
      </c>
      <c r="Z127" s="9" t="n">
        <v>1</v>
      </c>
      <c r="AA127" s="9" t="n">
        <v>0</v>
      </c>
      <c r="AB127" s="11" t="n">
        <f aca="false">(X127+Y127+Z127+AA127)/4</f>
        <v>0.25</v>
      </c>
      <c r="AC127" s="9" t="n">
        <v>1</v>
      </c>
      <c r="AD127" s="9" t="n">
        <v>1</v>
      </c>
      <c r="AE127" s="9" t="n">
        <v>1</v>
      </c>
      <c r="AF127" s="9" t="n">
        <v>1</v>
      </c>
      <c r="AG127" s="11" t="n">
        <f aca="false">(AC127+AD127+AE127+AF127)/4</f>
        <v>1</v>
      </c>
      <c r="AH127" s="9" t="n">
        <v>1</v>
      </c>
      <c r="AI127" s="9" t="n">
        <v>1</v>
      </c>
      <c r="AJ127" s="9" t="n">
        <v>1</v>
      </c>
      <c r="AK127" s="9" t="n">
        <v>1</v>
      </c>
      <c r="AL127" s="11" t="n">
        <f aca="false">(AH127+AI127+AJ127+AK127)/4</f>
        <v>1</v>
      </c>
      <c r="AM127" s="9" t="n">
        <v>24</v>
      </c>
      <c r="AN127" s="9" t="n">
        <v>36</v>
      </c>
      <c r="AO127" s="9" t="n">
        <v>42</v>
      </c>
      <c r="AP127" s="9" t="n">
        <v>75</v>
      </c>
      <c r="AQ127" s="11" t="n">
        <f aca="false">(AM127+AN127+AO127+AP127)/4</f>
        <v>44.25</v>
      </c>
      <c r="AR127" s="9" t="n">
        <v>12</v>
      </c>
      <c r="AS127" s="9" t="n">
        <v>17</v>
      </c>
      <c r="AT127" s="9" t="n">
        <v>24</v>
      </c>
      <c r="AU127" s="9" t="n">
        <v>4</v>
      </c>
      <c r="AV127" s="11" t="n">
        <f aca="false">(AR127+AS127+AT127+AU127)/4</f>
        <v>14.25</v>
      </c>
      <c r="AW127" s="9" t="n">
        <v>0</v>
      </c>
      <c r="AX127" s="9" t="n">
        <v>0</v>
      </c>
      <c r="AY127" s="9" t="n">
        <v>6</v>
      </c>
      <c r="AZ127" s="9" t="n">
        <v>0</v>
      </c>
      <c r="BA127" s="11" t="n">
        <f aca="false">(AW127+AX127+AY127+AZ127)/4</f>
        <v>1.5</v>
      </c>
      <c r="BB127" s="11" t="n">
        <f aca="false">(AW127/AR127)</f>
        <v>0</v>
      </c>
      <c r="BC127" s="11" t="n">
        <f aca="false">(AX127/AS127)</f>
        <v>0</v>
      </c>
      <c r="BD127" s="11" t="n">
        <f aca="false">(AY127/AT127)</f>
        <v>0.25</v>
      </c>
      <c r="BE127" s="11" t="n">
        <f aca="false">(AZ127/AU127)</f>
        <v>0</v>
      </c>
      <c r="BF127" s="11" t="n">
        <f aca="false">(BA127/AV127)</f>
        <v>0.105263157894737</v>
      </c>
      <c r="BG127" s="11" t="n">
        <f aca="false">(BF127*100)</f>
        <v>10.5263157894737</v>
      </c>
      <c r="BH127" s="9" t="n">
        <v>2</v>
      </c>
      <c r="BI127" s="9" t="n">
        <v>2</v>
      </c>
      <c r="BJ127" s="9" t="n">
        <v>7</v>
      </c>
      <c r="BK127" s="9" t="n">
        <v>4</v>
      </c>
      <c r="BL127" s="9" t="n">
        <v>2</v>
      </c>
      <c r="BM127" s="11" t="n">
        <f aca="false">(BI127+BJ127+BK127+BL127)/4</f>
        <v>3.75</v>
      </c>
      <c r="BN127" s="11" t="n">
        <f aca="false">(BI127/AR127)</f>
        <v>0.166666666666667</v>
      </c>
      <c r="BO127" s="11" t="n">
        <f aca="false">(BJ127/AS127)</f>
        <v>0.411764705882353</v>
      </c>
      <c r="BP127" s="11" t="n">
        <f aca="false">(BK127/AT127)</f>
        <v>0.166666666666667</v>
      </c>
      <c r="BQ127" s="11" t="n">
        <f aca="false">(BL127/AU127)</f>
        <v>0.5</v>
      </c>
      <c r="BR127" s="11" t="n">
        <f aca="false">(BM127/AV127)</f>
        <v>0.263157894736842</v>
      </c>
      <c r="BS127" s="11" t="n">
        <f aca="false">(100*BR127)</f>
        <v>26.3157894736842</v>
      </c>
      <c r="BT127" s="9" t="n">
        <v>2</v>
      </c>
      <c r="BU127" s="9" t="n">
        <v>1</v>
      </c>
      <c r="BV127" s="9" t="n">
        <v>1</v>
      </c>
      <c r="BW127" s="9" t="n">
        <v>3</v>
      </c>
      <c r="BX127" s="9" t="n">
        <v>1</v>
      </c>
      <c r="BY127" s="11" t="n">
        <f aca="false">(BU127+BV127+BW127+BX127)/4</f>
        <v>1.5</v>
      </c>
      <c r="BZ127" s="11" t="n">
        <f aca="false">(BU127/AR127)</f>
        <v>0.0833333333333333</v>
      </c>
      <c r="CA127" s="11" t="n">
        <f aca="false">(BV127/AS127)</f>
        <v>0.0588235294117647</v>
      </c>
      <c r="CB127" s="11" t="n">
        <f aca="false">(BW127/AT127)</f>
        <v>0.125</v>
      </c>
      <c r="CC127" s="11" t="n">
        <f aca="false">(BX127/AU127)</f>
        <v>0.25</v>
      </c>
      <c r="CD127" s="11" t="n">
        <f aca="false">(BY127/AV127)</f>
        <v>0.105263157894737</v>
      </c>
      <c r="CE127" s="11" t="n">
        <f aca="false">(100*CD127)</f>
        <v>10.5263157894737</v>
      </c>
      <c r="CF127" s="9" t="n">
        <v>2</v>
      </c>
      <c r="CG127" s="9" t="n">
        <v>2</v>
      </c>
      <c r="CH127" s="9" t="n">
        <v>3</v>
      </c>
      <c r="CI127" s="9" t="n">
        <v>4</v>
      </c>
      <c r="CJ127" s="9" t="n">
        <v>3</v>
      </c>
      <c r="CK127" s="11" t="n">
        <f aca="false">(CG127+CH127+CI127+CJ127)/4</f>
        <v>3</v>
      </c>
      <c r="CL127" s="11" t="n">
        <f aca="false">(CG127/AM127)</f>
        <v>0.0833333333333333</v>
      </c>
      <c r="CM127" s="11" t="n">
        <f aca="false">(CH127/AN127)</f>
        <v>0.0833333333333333</v>
      </c>
      <c r="CN127" s="11" t="n">
        <f aca="false">(CI127/AO127)</f>
        <v>0.0952380952380952</v>
      </c>
      <c r="CO127" s="9" t="n">
        <f aca="false">(CJ127/AP127)</f>
        <v>0.04</v>
      </c>
      <c r="CP127" s="9" t="n">
        <f aca="false">(CK127/AQ127)</f>
        <v>0.0677966101694915</v>
      </c>
      <c r="CQ127" s="9" t="n">
        <f aca="false">(100*CP127)</f>
        <v>6.77966101694915</v>
      </c>
      <c r="CR127" s="18" t="n">
        <v>1</v>
      </c>
      <c r="CS127" s="9" t="n">
        <v>68.8</v>
      </c>
      <c r="CT127" s="9" t="n">
        <v>72.4</v>
      </c>
      <c r="CU127" s="9" t="n">
        <v>86.9</v>
      </c>
      <c r="CV127" s="9" t="n">
        <v>72.5</v>
      </c>
      <c r="CW127" s="11" t="n">
        <f aca="false">(CS127+CT127+CU127+CV127)/4</f>
        <v>75.15</v>
      </c>
      <c r="CX127" s="9" t="n">
        <v>1</v>
      </c>
      <c r="CY127" s="9" t="n">
        <v>0</v>
      </c>
      <c r="CZ127" s="9" t="n">
        <v>0</v>
      </c>
      <c r="DA127" s="9" t="n">
        <v>0</v>
      </c>
      <c r="DB127" s="11" t="n">
        <f aca="false">(CX127+CY127+CZ127+DA127)/4</f>
        <v>0.25</v>
      </c>
      <c r="DC127" s="9" t="n">
        <v>1</v>
      </c>
      <c r="DD127" s="9" t="n">
        <v>1</v>
      </c>
      <c r="DE127" s="9" t="n">
        <v>1</v>
      </c>
      <c r="DF127" s="9" t="n">
        <v>1</v>
      </c>
      <c r="DG127" s="11" t="n">
        <f aca="false">(DC127+DD127+DE127+DF127)/4</f>
        <v>1</v>
      </c>
      <c r="DH127" s="9" t="n">
        <v>1</v>
      </c>
      <c r="DI127" s="9" t="n">
        <v>1</v>
      </c>
      <c r="DJ127" s="9" t="n">
        <v>1</v>
      </c>
      <c r="DK127" s="9" t="n">
        <v>1</v>
      </c>
      <c r="DL127" s="11" t="n">
        <f aca="false">(DH127+DI127+DJ127+DK127)/4</f>
        <v>1</v>
      </c>
      <c r="DM127" s="9" t="n">
        <v>86</v>
      </c>
      <c r="DN127" s="9" t="n">
        <v>95</v>
      </c>
      <c r="DO127" s="9" t="n">
        <v>24</v>
      </c>
      <c r="DP127" s="9" t="n">
        <v>21</v>
      </c>
      <c r="DQ127" s="11" t="n">
        <f aca="false">(DM127+DN127+DO127+DP127)/4</f>
        <v>56.5</v>
      </c>
      <c r="DR127" s="9" t="n">
        <v>10</v>
      </c>
      <c r="DS127" s="9" t="n">
        <v>24</v>
      </c>
      <c r="DT127" s="9" t="n">
        <v>29</v>
      </c>
      <c r="DU127" s="9" t="n">
        <v>27</v>
      </c>
      <c r="DV127" s="11" t="n">
        <f aca="false">(DR127+DS127+DT127+DU127)/4</f>
        <v>22.5</v>
      </c>
      <c r="DW127" s="9" t="n">
        <v>1</v>
      </c>
      <c r="DX127" s="9" t="n">
        <v>0</v>
      </c>
      <c r="DY127" s="9" t="n">
        <v>0</v>
      </c>
      <c r="DZ127" s="9" t="n">
        <v>0</v>
      </c>
      <c r="EA127" s="11" t="n">
        <f aca="false">(DW127+DX127+DY127+DZ127)/4</f>
        <v>0.25</v>
      </c>
      <c r="EB127" s="11" t="n">
        <f aca="false">(DW127/DR127)</f>
        <v>0.1</v>
      </c>
      <c r="EC127" s="11" t="n">
        <f aca="false">(DX127/DS127)</f>
        <v>0</v>
      </c>
      <c r="ED127" s="11" t="n">
        <f aca="false">(DY127/DT127)</f>
        <v>0</v>
      </c>
      <c r="EE127" s="11" t="n">
        <f aca="false">(DZ127/DU127)</f>
        <v>0</v>
      </c>
      <c r="EF127" s="11" t="n">
        <f aca="false">(EA127/DV127)</f>
        <v>0.0111111111111111</v>
      </c>
      <c r="EG127" s="11" t="n">
        <f aca="false">(100*EF127)</f>
        <v>1.11111111111111</v>
      </c>
      <c r="EH127" s="9" t="n">
        <v>1</v>
      </c>
      <c r="EI127" s="9" t="n">
        <v>4</v>
      </c>
      <c r="EJ127" s="9" t="n">
        <v>5</v>
      </c>
      <c r="EK127" s="19" t="n">
        <v>1</v>
      </c>
      <c r="EL127" s="9" t="n">
        <v>8</v>
      </c>
      <c r="EM127" s="9" t="n">
        <f aca="false">(EI127+EJ127+EK127+EL127)/4</f>
        <v>4.5</v>
      </c>
      <c r="EN127" s="9" t="n">
        <f aca="false">(EI127/DR127)</f>
        <v>0.4</v>
      </c>
      <c r="EO127" s="9" t="n">
        <f aca="false">(EJ127/DS127)</f>
        <v>0.208333333333333</v>
      </c>
      <c r="EP127" s="9" t="n">
        <f aca="false">(EK127/DT127)</f>
        <v>0.0344827586206897</v>
      </c>
      <c r="EQ127" s="9" t="n">
        <f aca="false">(EL127/DU127)</f>
        <v>0.296296296296296</v>
      </c>
      <c r="ER127" s="9" t="n">
        <f aca="false">EM127/DV127</f>
        <v>0.2</v>
      </c>
      <c r="ES127" s="9" t="n">
        <f aca="false">(100*ER127)</f>
        <v>20</v>
      </c>
      <c r="ET127" s="9" t="n">
        <v>2</v>
      </c>
      <c r="EU127" s="18" t="n">
        <v>1</v>
      </c>
      <c r="EV127" s="9" t="n">
        <v>1</v>
      </c>
      <c r="EW127" s="9" t="n">
        <v>1</v>
      </c>
      <c r="EX127" s="9" t="n">
        <v>1</v>
      </c>
      <c r="EY127" s="11" t="n">
        <f aca="false">(EU127+EV127+EW127+EX127)/4</f>
        <v>1</v>
      </c>
      <c r="EZ127" s="11" t="n">
        <f aca="false">(EU127/DR127)</f>
        <v>0.1</v>
      </c>
      <c r="FA127" s="11" t="n">
        <f aca="false">(EV127/DS127)</f>
        <v>0.0416666666666667</v>
      </c>
      <c r="FB127" s="11" t="n">
        <f aca="false">(EW127/DT127)</f>
        <v>0.0344827586206897</v>
      </c>
      <c r="FC127" s="11" t="n">
        <f aca="false">(EX127/DU127)</f>
        <v>0.037037037037037</v>
      </c>
      <c r="FD127" s="11" t="n">
        <f aca="false">(EY127/DV127)</f>
        <v>0.0444444444444444</v>
      </c>
      <c r="FE127" s="11" t="n">
        <f aca="false">(100*FD127)</f>
        <v>4.44444444444445</v>
      </c>
      <c r="FF127" s="9" t="n">
        <v>1</v>
      </c>
      <c r="FG127" s="9" t="n">
        <v>1</v>
      </c>
      <c r="FH127" s="9" t="n">
        <v>3</v>
      </c>
      <c r="FI127" s="9" t="n">
        <v>2</v>
      </c>
      <c r="FJ127" s="9" t="n">
        <v>3</v>
      </c>
      <c r="FK127" s="11" t="n">
        <f aca="false">(FG127+FH127+FI127+FJ127)/4</f>
        <v>2.25</v>
      </c>
      <c r="FL127" s="11" t="n">
        <f aca="false">(FG127/DR127)</f>
        <v>0.1</v>
      </c>
      <c r="FM127" s="11" t="n">
        <f aca="false">(FH127/DS127)</f>
        <v>0.125</v>
      </c>
      <c r="FN127" s="11" t="n">
        <f aca="false">(FI127/DT127)</f>
        <v>0.0689655172413793</v>
      </c>
      <c r="FO127" s="11" t="n">
        <f aca="false">(FJ127/DU127)</f>
        <v>0.111111111111111</v>
      </c>
      <c r="FP127" s="11" t="n">
        <f aca="false">(FK127/DV127)</f>
        <v>0.1</v>
      </c>
      <c r="FQ127" s="11" t="n">
        <f aca="false">(100*FP127)</f>
        <v>10</v>
      </c>
      <c r="FR127" s="9" t="n">
        <v>2</v>
      </c>
      <c r="FS127" s="9" t="n">
        <v>62</v>
      </c>
      <c r="FT127" s="9" t="n">
        <v>52.4</v>
      </c>
      <c r="FU127" s="9" t="n">
        <v>63.2</v>
      </c>
      <c r="FV127" s="9" t="n">
        <v>72.1</v>
      </c>
      <c r="FW127" s="11" t="n">
        <f aca="false">(FS127+FT127+FU127+FV127)/4</f>
        <v>62.425</v>
      </c>
      <c r="FX127" s="9" t="n">
        <v>0</v>
      </c>
      <c r="FY127" s="9" t="n">
        <v>0</v>
      </c>
      <c r="FZ127" s="9" t="n">
        <v>1</v>
      </c>
      <c r="GA127" s="9" t="n">
        <v>1</v>
      </c>
      <c r="GB127" s="11" t="n">
        <f aca="false">(FX127+FY127+FZ127+GA127)/4</f>
        <v>0.5</v>
      </c>
      <c r="GC127" s="9" t="n">
        <v>1</v>
      </c>
      <c r="GD127" s="9" t="n">
        <v>1</v>
      </c>
      <c r="GE127" s="9" t="n">
        <v>1</v>
      </c>
      <c r="GF127" s="9" t="n">
        <v>1</v>
      </c>
      <c r="GG127" s="11" t="n">
        <f aca="false">(GC127+GD127+GE127+GF127)/4</f>
        <v>1</v>
      </c>
      <c r="GH127" s="9" t="n">
        <v>1</v>
      </c>
      <c r="GI127" s="9" t="n">
        <v>1</v>
      </c>
      <c r="GJ127" s="9" t="n">
        <v>1</v>
      </c>
      <c r="GK127" s="9" t="n">
        <v>1</v>
      </c>
      <c r="GL127" s="11" t="n">
        <f aca="false">(GH127+GI127+GJ127+GK127)/4</f>
        <v>1</v>
      </c>
      <c r="GM127" s="9" t="n">
        <v>75</v>
      </c>
      <c r="GN127" s="9" t="n">
        <v>78</v>
      </c>
      <c r="GO127" s="9" t="n">
        <v>15</v>
      </c>
      <c r="GP127" s="9" t="n">
        <v>21</v>
      </c>
      <c r="GQ127" s="11" t="n">
        <f aca="false">(GM127+GN127+GO127+GP127)/4</f>
        <v>47.25</v>
      </c>
      <c r="GR127" s="9" t="n">
        <v>45</v>
      </c>
      <c r="GS127" s="9" t="n">
        <v>26</v>
      </c>
      <c r="GT127" s="9" t="n">
        <v>12</v>
      </c>
      <c r="GU127" s="9" t="n">
        <v>23</v>
      </c>
      <c r="GV127" s="11" t="n">
        <f aca="false">(GR127+GS127+GT127+GU127)/4</f>
        <v>26.5</v>
      </c>
      <c r="GW127" s="9" t="n">
        <v>0</v>
      </c>
      <c r="GX127" s="9" t="n">
        <v>0</v>
      </c>
      <c r="GY127" s="9" t="n">
        <v>1</v>
      </c>
      <c r="GZ127" s="9" t="n">
        <v>1</v>
      </c>
      <c r="HA127" s="11" t="n">
        <f aca="false">(GW127+GX127+GY127+GZ127)/4</f>
        <v>0.5</v>
      </c>
      <c r="HB127" s="9" t="n">
        <f aca="false">(GW127/GR127)</f>
        <v>0</v>
      </c>
      <c r="HC127" s="9" t="n">
        <f aca="false">(GX127/GS127)</f>
        <v>0</v>
      </c>
      <c r="HD127" s="9" t="n">
        <f aca="false">(GY127/GT127)</f>
        <v>0.0833333333333333</v>
      </c>
      <c r="HE127" s="9" t="n">
        <f aca="false">(GZ127/GU127)/4</f>
        <v>0.0108695652173913</v>
      </c>
      <c r="HF127" s="9" t="n">
        <f aca="false">(HB127+HC127+HD127+HE127)/4</f>
        <v>0.0235507246376812</v>
      </c>
      <c r="HG127" s="9" t="n">
        <f aca="false">(100*HF127)</f>
        <v>2.35507246376812</v>
      </c>
      <c r="HH127" s="18" t="n">
        <v>1</v>
      </c>
      <c r="HI127" s="9" t="n">
        <v>3</v>
      </c>
      <c r="HJ127" s="9" t="n">
        <v>4</v>
      </c>
      <c r="HK127" s="9" t="n">
        <v>3</v>
      </c>
      <c r="HL127" s="19" t="n">
        <v>4</v>
      </c>
      <c r="HM127" s="9" t="n">
        <f aca="false">(HI127+HJ127+HK127+HL127)/4</f>
        <v>3.5</v>
      </c>
      <c r="HN127" s="9" t="n">
        <f aca="false">(HI127/GR127)</f>
        <v>0.0666666666666667</v>
      </c>
      <c r="HO127" s="9" t="n">
        <f aca="false">(HJ127/GS127)</f>
        <v>0.153846153846154</v>
      </c>
      <c r="HP127" s="9" t="n">
        <f aca="false">(HK127/GT127)</f>
        <v>0.25</v>
      </c>
      <c r="HQ127" s="9" t="n">
        <f aca="false">(HL127/GU127)</f>
        <v>0.173913043478261</v>
      </c>
      <c r="HR127" s="9" t="n">
        <f aca="false">(HM127/GV127)</f>
        <v>0.132075471698113</v>
      </c>
      <c r="HS127" s="9" t="n">
        <f aca="false">(100*HR127)</f>
        <v>13.2075471698113</v>
      </c>
      <c r="HT127" s="18" t="n">
        <v>2</v>
      </c>
      <c r="HU127" s="9" t="n">
        <v>4</v>
      </c>
      <c r="HV127" s="9" t="n">
        <v>5</v>
      </c>
      <c r="HW127" s="9" t="n">
        <v>1</v>
      </c>
      <c r="HX127" s="19" t="n">
        <v>1</v>
      </c>
      <c r="HY127" s="9" t="n">
        <f aca="false">(HU127+HV127+HW127+HX127)/4</f>
        <v>2.75</v>
      </c>
      <c r="HZ127" s="9" t="n">
        <f aca="false">(HU127/GR127)</f>
        <v>0.0888888888888889</v>
      </c>
      <c r="IA127" s="9" t="n">
        <f aca="false">HV127/GS127</f>
        <v>0.192307692307692</v>
      </c>
      <c r="IB127" s="9" t="n">
        <f aca="false">(HW127/GT127)</f>
        <v>0.0833333333333333</v>
      </c>
      <c r="IC127" s="9" t="n">
        <f aca="false">(HX127/GU127)</f>
        <v>0.0434782608695652</v>
      </c>
      <c r="ID127" s="9" t="n">
        <f aca="false">(HY127/GV127)</f>
        <v>0.10377358490566</v>
      </c>
      <c r="IE127" s="9" t="n">
        <f aca="false">(100*ID127)</f>
        <v>10.377358490566</v>
      </c>
      <c r="IF127" s="18" t="n">
        <v>2</v>
      </c>
      <c r="IG127" s="9" t="n">
        <v>6</v>
      </c>
      <c r="IH127" s="9" t="n">
        <v>2</v>
      </c>
      <c r="II127" s="19" t="n">
        <v>4</v>
      </c>
      <c r="IJ127" s="9" t="n">
        <v>3</v>
      </c>
      <c r="IK127" s="9" t="n">
        <f aca="false">(IG127+IH127+II127+IJ127)/4</f>
        <v>3.75</v>
      </c>
      <c r="IL127" s="9" t="n">
        <f aca="false">(IG127/GM127)</f>
        <v>0.08</v>
      </c>
      <c r="IM127" s="9" t="n">
        <f aca="false">(IH127/GN127)</f>
        <v>0.0256410256410256</v>
      </c>
      <c r="IN127" s="9" t="n">
        <f aca="false">(II127/GO127)</f>
        <v>0.266666666666667</v>
      </c>
      <c r="IO127" s="9" t="n">
        <f aca="false">(IJ127/GP127)</f>
        <v>0.142857142857143</v>
      </c>
      <c r="IP127" s="9" t="n">
        <f aca="false">(IK127/GQ127)</f>
        <v>0.0793650793650794</v>
      </c>
      <c r="IQ127" s="9" t="n">
        <f aca="false">(100*IP127)</f>
        <v>7.93650793650794</v>
      </c>
      <c r="IR127" s="18" t="n">
        <v>1</v>
      </c>
      <c r="IS127" s="9" t="n">
        <v>66.3</v>
      </c>
      <c r="IT127" s="9" t="n">
        <v>76.2</v>
      </c>
      <c r="IU127" s="19" t="n">
        <v>77.5</v>
      </c>
      <c r="IV127" s="9" t="n">
        <v>72.5</v>
      </c>
      <c r="IW127" s="9" t="n">
        <f aca="false">(IS127+IT127+IU127+IV127)/4</f>
        <v>73.125</v>
      </c>
      <c r="IX127" s="16" t="n">
        <v>45211</v>
      </c>
      <c r="IY127" s="10" t="s">
        <v>268</v>
      </c>
    </row>
    <row r="128" customFormat="false" ht="15.75" hidden="false" customHeight="true" outlineLevel="0" collapsed="false">
      <c r="A128" s="9" t="s">
        <v>299</v>
      </c>
      <c r="B128" s="10" t="s">
        <v>561</v>
      </c>
      <c r="C128" s="10" t="s">
        <v>514</v>
      </c>
      <c r="D128" s="9" t="n">
        <v>3</v>
      </c>
      <c r="E128" s="9" t="n">
        <v>43</v>
      </c>
      <c r="F128" s="10" t="s">
        <v>562</v>
      </c>
      <c r="G128" s="11" t="s">
        <v>263</v>
      </c>
      <c r="H128" s="9" t="n">
        <v>20</v>
      </c>
      <c r="I128" s="9" t="n">
        <v>4</v>
      </c>
      <c r="J128" s="12" t="s">
        <v>264</v>
      </c>
      <c r="K128" s="13" t="s">
        <v>563</v>
      </c>
      <c r="L128" s="13" t="s">
        <v>564</v>
      </c>
      <c r="M128" s="14" t="n">
        <v>1287</v>
      </c>
      <c r="N128" s="15" t="n">
        <v>45154</v>
      </c>
      <c r="O128" s="10" t="s">
        <v>294</v>
      </c>
      <c r="P128" s="9"/>
      <c r="Q128" s="9" t="n">
        <v>7.31</v>
      </c>
      <c r="R128" s="9" t="n">
        <v>15</v>
      </c>
      <c r="S128" s="9" t="n">
        <v>-5</v>
      </c>
      <c r="T128" s="9" t="n">
        <v>150</v>
      </c>
      <c r="U128" s="9"/>
      <c r="V128" s="9" t="n">
        <v>2.39</v>
      </c>
      <c r="W128" s="22" t="s">
        <v>565</v>
      </c>
      <c r="X128" s="9" t="n">
        <v>0</v>
      </c>
      <c r="Y128" s="9" t="n">
        <v>1</v>
      </c>
      <c r="Z128" s="9" t="n">
        <v>0</v>
      </c>
      <c r="AA128" s="9" t="n">
        <v>0</v>
      </c>
      <c r="AB128" s="11" t="n">
        <f aca="false">(X128+Y128+Z128+AA128)/4</f>
        <v>0.25</v>
      </c>
      <c r="AC128" s="9" t="n">
        <v>1</v>
      </c>
      <c r="AD128" s="9" t="n">
        <v>1</v>
      </c>
      <c r="AE128" s="9" t="n">
        <v>1</v>
      </c>
      <c r="AF128" s="9" t="n">
        <v>1</v>
      </c>
      <c r="AG128" s="11" t="n">
        <f aca="false">(AC128+AD128+AE128+AF128)/4</f>
        <v>1</v>
      </c>
      <c r="AH128" s="9" t="n">
        <v>1</v>
      </c>
      <c r="AI128" s="9" t="n">
        <v>1</v>
      </c>
      <c r="AJ128" s="9" t="n">
        <v>0</v>
      </c>
      <c r="AK128" s="9" t="n">
        <v>0</v>
      </c>
      <c r="AL128" s="11" t="n">
        <f aca="false">(AH128+AI128+AJ128+AK128)/4</f>
        <v>0.5</v>
      </c>
      <c r="AM128" s="9" t="n">
        <v>0</v>
      </c>
      <c r="AN128" s="9" t="n">
        <v>0</v>
      </c>
      <c r="AO128" s="9" t="n">
        <v>0</v>
      </c>
      <c r="AP128" s="9" t="n">
        <v>13</v>
      </c>
      <c r="AQ128" s="11" t="n">
        <f aca="false">(AM128+AN128+AO128+AP128)/4</f>
        <v>3.25</v>
      </c>
      <c r="AR128" s="9" t="n">
        <v>18</v>
      </c>
      <c r="AS128" s="9" t="n">
        <v>32</v>
      </c>
      <c r="AT128" s="9" t="n">
        <v>11</v>
      </c>
      <c r="AU128" s="9" t="n">
        <v>23</v>
      </c>
      <c r="AV128" s="11" t="n">
        <f aca="false">(AR128+AS128+AT128+AU128)/4</f>
        <v>21</v>
      </c>
      <c r="AW128" s="9" t="n">
        <v>0</v>
      </c>
      <c r="AX128" s="9" t="n">
        <v>4</v>
      </c>
      <c r="AY128" s="9" t="n">
        <v>0</v>
      </c>
      <c r="AZ128" s="9" t="n">
        <v>0</v>
      </c>
      <c r="BA128" s="11" t="n">
        <f aca="false">(AW128+AX128+AY128+AZ128)/4</f>
        <v>1</v>
      </c>
      <c r="BB128" s="11" t="n">
        <f aca="false">(AW128/AR128)</f>
        <v>0</v>
      </c>
      <c r="BC128" s="11" t="n">
        <f aca="false">(AX128/AS128)</f>
        <v>0.125</v>
      </c>
      <c r="BD128" s="11" t="n">
        <f aca="false">(AY128/AT128)</f>
        <v>0</v>
      </c>
      <c r="BE128" s="11" t="n">
        <f aca="false">(AZ128/AU128)</f>
        <v>0</v>
      </c>
      <c r="BF128" s="11" t="n">
        <f aca="false">(BA128/AV128)</f>
        <v>0.0476190476190476</v>
      </c>
      <c r="BG128" s="11" t="n">
        <f aca="false">(BF128*100)</f>
        <v>4.76190476190476</v>
      </c>
      <c r="BH128" s="9" t="n">
        <v>1</v>
      </c>
      <c r="BI128" s="9" t="n">
        <v>1</v>
      </c>
      <c r="BJ128" s="9" t="n">
        <v>2</v>
      </c>
      <c r="BK128" s="9" t="n">
        <v>1</v>
      </c>
      <c r="BL128" s="9" t="n">
        <v>1</v>
      </c>
      <c r="BM128" s="11" t="n">
        <f aca="false">(BI128+BJ128+BK128+BL128)/4</f>
        <v>1.25</v>
      </c>
      <c r="BN128" s="11" t="n">
        <f aca="false">(BI128/AR128)</f>
        <v>0.0555555555555556</v>
      </c>
      <c r="BO128" s="11" t="n">
        <f aca="false">(BJ128/AS128)</f>
        <v>0.0625</v>
      </c>
      <c r="BP128" s="11" t="n">
        <f aca="false">(BK128/AT128)</f>
        <v>0.0909090909090909</v>
      </c>
      <c r="BQ128" s="11" t="n">
        <f aca="false">(BL128/AU128)</f>
        <v>0.0434782608695652</v>
      </c>
      <c r="BR128" s="11" t="n">
        <f aca="false">(BM128/AV128)</f>
        <v>0.0595238095238095</v>
      </c>
      <c r="BS128" s="11" t="n">
        <f aca="false">(100*BR128)</f>
        <v>5.95238095238095</v>
      </c>
      <c r="BT128" s="9" t="n">
        <v>1</v>
      </c>
      <c r="BU128" s="9" t="n">
        <v>5</v>
      </c>
      <c r="BV128" s="9" t="n">
        <v>4</v>
      </c>
      <c r="BW128" s="9" t="n">
        <v>0</v>
      </c>
      <c r="BX128" s="9" t="n">
        <v>0</v>
      </c>
      <c r="BY128" s="11" t="n">
        <f aca="false">(BU128+BV128+BW128+BX128)/4</f>
        <v>2.25</v>
      </c>
      <c r="BZ128" s="11" t="n">
        <f aca="false">(BU128/AR128)</f>
        <v>0.277777777777778</v>
      </c>
      <c r="CA128" s="11" t="n">
        <f aca="false">(BV128/AS128)</f>
        <v>0.125</v>
      </c>
      <c r="CB128" s="11" t="n">
        <f aca="false">(BW128/AT128)</f>
        <v>0</v>
      </c>
      <c r="CC128" s="11" t="n">
        <f aca="false">(BX128/AU128)</f>
        <v>0</v>
      </c>
      <c r="CD128" s="11" t="n">
        <f aca="false">(BY128/AV128)</f>
        <v>0.107142857142857</v>
      </c>
      <c r="CE128" s="11" t="n">
        <f aca="false">(100*CD128)</f>
        <v>10.7142857142857</v>
      </c>
      <c r="CF128" s="9" t="n">
        <v>2</v>
      </c>
      <c r="CG128" s="9" t="n">
        <v>0</v>
      </c>
      <c r="CH128" s="9" t="n">
        <v>0</v>
      </c>
      <c r="CI128" s="9" t="n">
        <v>0</v>
      </c>
      <c r="CJ128" s="9" t="n">
        <v>0</v>
      </c>
      <c r="CK128" s="11" t="n">
        <f aca="false">(CG128+CH128+CI128+CJ128)/4</f>
        <v>0</v>
      </c>
      <c r="CL128" s="11" t="e">
        <f aca="false">(CG128/AM128)</f>
        <v>#DIV/0!</v>
      </c>
      <c r="CM128" s="11" t="e">
        <f aca="false">(CH128/AN128)</f>
        <v>#DIV/0!</v>
      </c>
      <c r="CN128" s="11" t="e">
        <f aca="false">(CI128/AO128)</f>
        <v>#DIV/0!</v>
      </c>
      <c r="CO128" s="9" t="n">
        <f aca="false">(CJ128/AP128)</f>
        <v>0</v>
      </c>
      <c r="CP128" s="9" t="n">
        <f aca="false">(CK128/AQ128)</f>
        <v>0</v>
      </c>
      <c r="CQ128" s="9" t="n">
        <f aca="false">(100*CP128)</f>
        <v>0</v>
      </c>
      <c r="CR128" s="18" t="n">
        <v>0</v>
      </c>
      <c r="CS128" s="9" t="n">
        <v>50.8</v>
      </c>
      <c r="CT128" s="9" t="n">
        <v>80.4</v>
      </c>
      <c r="CU128" s="9" t="n">
        <v>71.3</v>
      </c>
      <c r="CV128" s="9" t="n">
        <v>54.9</v>
      </c>
      <c r="CW128" s="11" t="n">
        <f aca="false">(CS128+CT128+CU128+CV128)/4</f>
        <v>64.35</v>
      </c>
      <c r="CX128" s="9" t="n">
        <v>0</v>
      </c>
      <c r="CY128" s="9" t="n">
        <v>0</v>
      </c>
      <c r="CZ128" s="9" t="n">
        <v>0</v>
      </c>
      <c r="DA128" s="9" t="n">
        <v>0</v>
      </c>
      <c r="DB128" s="11" t="n">
        <f aca="false">(CX128+CY128+CZ128+DA128)/4</f>
        <v>0</v>
      </c>
      <c r="DC128" s="9" t="n">
        <v>1</v>
      </c>
      <c r="DD128" s="9" t="n">
        <v>1</v>
      </c>
      <c r="DE128" s="9" t="n">
        <v>1</v>
      </c>
      <c r="DF128" s="9" t="n">
        <v>1</v>
      </c>
      <c r="DG128" s="11" t="n">
        <f aca="false">(DC128+DD128+DE128+DF128)/4</f>
        <v>1</v>
      </c>
      <c r="DH128" s="9" t="n">
        <v>1</v>
      </c>
      <c r="DI128" s="9" t="n">
        <v>1</v>
      </c>
      <c r="DJ128" s="9" t="n">
        <v>1</v>
      </c>
      <c r="DK128" s="9" t="n">
        <v>0</v>
      </c>
      <c r="DL128" s="11" t="n">
        <f aca="false">(DH128+DI128+DJ128+DK128)/4</f>
        <v>0.75</v>
      </c>
      <c r="DM128" s="9" t="n">
        <v>0</v>
      </c>
      <c r="DN128" s="9" t="n">
        <v>0</v>
      </c>
      <c r="DO128" s="9" t="n">
        <v>0</v>
      </c>
      <c r="DP128" s="9" t="n">
        <v>0</v>
      </c>
      <c r="DQ128" s="11" t="n">
        <f aca="false">(DM128+DN128+DO128+DP128)/4</f>
        <v>0</v>
      </c>
      <c r="DR128" s="9" t="n">
        <v>20</v>
      </c>
      <c r="DS128" s="9" t="n">
        <v>20</v>
      </c>
      <c r="DT128" s="9" t="n">
        <v>19</v>
      </c>
      <c r="DU128" s="9" t="n">
        <v>15</v>
      </c>
      <c r="DV128" s="11" t="n">
        <f aca="false">(DR128+DS128+DT128+DU128)/4</f>
        <v>18.5</v>
      </c>
      <c r="DW128" s="9" t="n">
        <v>0</v>
      </c>
      <c r="DX128" s="9" t="n">
        <v>0</v>
      </c>
      <c r="DY128" s="9" t="n">
        <v>0</v>
      </c>
      <c r="DZ128" s="9" t="n">
        <v>0</v>
      </c>
      <c r="EA128" s="11" t="n">
        <f aca="false">(DW128+DX128+DY128+DZ128)/4</f>
        <v>0</v>
      </c>
      <c r="EB128" s="11" t="n">
        <f aca="false">(DW128/DR128)</f>
        <v>0</v>
      </c>
      <c r="EC128" s="11" t="n">
        <f aca="false">(DX128/DS128)</f>
        <v>0</v>
      </c>
      <c r="ED128" s="11" t="n">
        <f aca="false">(DY128/DT128)</f>
        <v>0</v>
      </c>
      <c r="EE128" s="11" t="n">
        <f aca="false">(DZ128/DU128)</f>
        <v>0</v>
      </c>
      <c r="EF128" s="11" t="n">
        <f aca="false">(EA128/DV128)</f>
        <v>0</v>
      </c>
      <c r="EG128" s="11" t="n">
        <f aca="false">(100*EF128)</f>
        <v>0</v>
      </c>
      <c r="EH128" s="9" t="n">
        <v>0</v>
      </c>
      <c r="EI128" s="9" t="n">
        <v>2</v>
      </c>
      <c r="EJ128" s="9" t="n">
        <v>1</v>
      </c>
      <c r="EK128" s="19" t="n">
        <v>3</v>
      </c>
      <c r="EL128" s="9" t="n">
        <v>4</v>
      </c>
      <c r="EM128" s="9" t="n">
        <f aca="false">(EI128+EJ128+EK128+EL128)/4</f>
        <v>2.5</v>
      </c>
      <c r="EN128" s="9" t="n">
        <f aca="false">(EI128/DR128)</f>
        <v>0.1</v>
      </c>
      <c r="EO128" s="9" t="n">
        <f aca="false">(EJ128/DS128)</f>
        <v>0.05</v>
      </c>
      <c r="EP128" s="9" t="n">
        <f aca="false">(EK128/DT128)</f>
        <v>0.157894736842105</v>
      </c>
      <c r="EQ128" s="9" t="n">
        <f aca="false">(EL128/DU128)</f>
        <v>0.266666666666667</v>
      </c>
      <c r="ER128" s="9" t="n">
        <f aca="false">EM128/DV128</f>
        <v>0.135135135135135</v>
      </c>
      <c r="ES128" s="9" t="n">
        <f aca="false">(100*ER128)</f>
        <v>13.5135135135135</v>
      </c>
      <c r="ET128" s="9" t="n">
        <v>2</v>
      </c>
      <c r="EU128" s="18" t="n">
        <v>2</v>
      </c>
      <c r="EV128" s="9" t="n">
        <v>2</v>
      </c>
      <c r="EW128" s="9" t="n">
        <v>2</v>
      </c>
      <c r="EX128" s="9" t="n">
        <v>0</v>
      </c>
      <c r="EY128" s="11" t="n">
        <f aca="false">(EU128+EV128+EW128+EX128)/4</f>
        <v>1.5</v>
      </c>
      <c r="EZ128" s="11" t="n">
        <f aca="false">(EU128/DR128)</f>
        <v>0.1</v>
      </c>
      <c r="FA128" s="11" t="n">
        <f aca="false">(EV128/DS128)</f>
        <v>0.1</v>
      </c>
      <c r="FB128" s="11" t="n">
        <f aca="false">(EW128/DT128)</f>
        <v>0.105263157894737</v>
      </c>
      <c r="FC128" s="11" t="n">
        <f aca="false">(EX128/DU128)</f>
        <v>0</v>
      </c>
      <c r="FD128" s="11" t="n">
        <f aca="false">(EY128/DV128)</f>
        <v>0.0810810810810811</v>
      </c>
      <c r="FE128" s="11" t="n">
        <f aca="false">(100*FD128)</f>
        <v>8.10810810810811</v>
      </c>
      <c r="FF128" s="9" t="n">
        <v>1</v>
      </c>
      <c r="FG128" s="9" t="n">
        <v>0</v>
      </c>
      <c r="FH128" s="9" t="n">
        <v>0</v>
      </c>
      <c r="FI128" s="9" t="n">
        <v>0</v>
      </c>
      <c r="FJ128" s="9" t="n">
        <v>0</v>
      </c>
      <c r="FK128" s="11" t="n">
        <f aca="false">(FG128+FH128+FI128+FJ128)/4</f>
        <v>0</v>
      </c>
      <c r="FL128" s="11" t="n">
        <f aca="false">(FG128/DR128)</f>
        <v>0</v>
      </c>
      <c r="FM128" s="11" t="n">
        <f aca="false">(FH128/DS128)</f>
        <v>0</v>
      </c>
      <c r="FN128" s="11" t="n">
        <f aca="false">(FI128/DT128)</f>
        <v>0</v>
      </c>
      <c r="FO128" s="11" t="n">
        <f aca="false">(FJ128/DU128)</f>
        <v>0</v>
      </c>
      <c r="FP128" s="11" t="n">
        <f aca="false">(FK128/DV128)</f>
        <v>0</v>
      </c>
      <c r="FQ128" s="11" t="n">
        <f aca="false">(100*FP128)</f>
        <v>0</v>
      </c>
      <c r="FR128" s="9" t="n">
        <v>0</v>
      </c>
      <c r="FS128" s="9" t="n">
        <v>66</v>
      </c>
      <c r="FT128" s="9" t="n">
        <v>72</v>
      </c>
      <c r="FU128" s="9" t="n">
        <v>73.4</v>
      </c>
      <c r="FV128" s="9" t="n">
        <v>82.1</v>
      </c>
      <c r="FW128" s="11" t="n">
        <f aca="false">(FS128+FT128+FU128+FV128)/4</f>
        <v>73.375</v>
      </c>
      <c r="FX128" s="9" t="n">
        <v>0</v>
      </c>
      <c r="FY128" s="9" t="n">
        <v>0</v>
      </c>
      <c r="FZ128" s="9" t="n">
        <v>0</v>
      </c>
      <c r="GA128" s="9" t="n">
        <v>0</v>
      </c>
      <c r="GB128" s="11" t="n">
        <f aca="false">(FX128+FY128+FZ128+GA128)/4</f>
        <v>0</v>
      </c>
      <c r="GC128" s="9" t="n">
        <v>1</v>
      </c>
      <c r="GD128" s="9" t="n">
        <v>1</v>
      </c>
      <c r="GE128" s="9" t="n">
        <v>1</v>
      </c>
      <c r="GF128" s="9" t="n">
        <v>1</v>
      </c>
      <c r="GG128" s="11" t="n">
        <f aca="false">(GC128+GD128+GE128+GF128)/4</f>
        <v>1</v>
      </c>
      <c r="GH128" s="9" t="n">
        <v>1</v>
      </c>
      <c r="GI128" s="9" t="n">
        <v>1</v>
      </c>
      <c r="GJ128" s="9" t="n">
        <v>1</v>
      </c>
      <c r="GK128" s="9" t="n">
        <v>0</v>
      </c>
      <c r="GL128" s="11" t="n">
        <f aca="false">(GH128+GI128+GJ128+GK128)/4</f>
        <v>0.75</v>
      </c>
      <c r="GM128" s="9" t="n">
        <v>0</v>
      </c>
      <c r="GN128" s="9" t="n">
        <v>0</v>
      </c>
      <c r="GO128" s="9" t="n">
        <v>0</v>
      </c>
      <c r="GP128" s="9" t="n">
        <v>0</v>
      </c>
      <c r="GQ128" s="11" t="n">
        <f aca="false">(GM128+GN128+GO128+GP128)/4</f>
        <v>0</v>
      </c>
      <c r="GR128" s="9" t="n">
        <v>5</v>
      </c>
      <c r="GS128" s="9" t="n">
        <v>12</v>
      </c>
      <c r="GT128" s="9" t="n">
        <v>15</v>
      </c>
      <c r="GU128" s="9" t="n">
        <v>28</v>
      </c>
      <c r="GV128" s="11" t="n">
        <f aca="false">(GR128+GS128+GT128+GU128)/4</f>
        <v>15</v>
      </c>
      <c r="GW128" s="9" t="n">
        <v>0</v>
      </c>
      <c r="GX128" s="9" t="n">
        <v>0</v>
      </c>
      <c r="GY128" s="9" t="n">
        <v>0</v>
      </c>
      <c r="GZ128" s="9" t="n">
        <v>0</v>
      </c>
      <c r="HA128" s="11" t="n">
        <f aca="false">(GW128+GX128+GY128+GZ128)/4</f>
        <v>0</v>
      </c>
      <c r="HB128" s="9" t="n">
        <f aca="false">(GW128/GR128)</f>
        <v>0</v>
      </c>
      <c r="HC128" s="9" t="n">
        <f aca="false">(GX128/GS128)</f>
        <v>0</v>
      </c>
      <c r="HD128" s="9" t="n">
        <f aca="false">(GY128/GT128)</f>
        <v>0</v>
      </c>
      <c r="HE128" s="9" t="n">
        <f aca="false">(GZ128/GU128)/4</f>
        <v>0</v>
      </c>
      <c r="HF128" s="9" t="n">
        <f aca="false">(HB128+HC128+HD128+HE128)/4</f>
        <v>0</v>
      </c>
      <c r="HG128" s="9" t="n">
        <f aca="false">(100*HF128)</f>
        <v>0</v>
      </c>
      <c r="HH128" s="18" t="n">
        <v>0</v>
      </c>
      <c r="HI128" s="9" t="n">
        <v>4</v>
      </c>
      <c r="HJ128" s="9" t="n">
        <v>5</v>
      </c>
      <c r="HK128" s="9" t="n">
        <v>4</v>
      </c>
      <c r="HL128" s="19" t="n">
        <v>12</v>
      </c>
      <c r="HM128" s="9" t="n">
        <f aca="false">(HI128+HJ128+HK128+HL128)/4</f>
        <v>6.25</v>
      </c>
      <c r="HN128" s="9" t="n">
        <f aca="false">(HI128/GR128)</f>
        <v>0.8</v>
      </c>
      <c r="HO128" s="9" t="n">
        <f aca="false">(HJ128/GS128)</f>
        <v>0.416666666666667</v>
      </c>
      <c r="HP128" s="9" t="n">
        <f aca="false">(HK128/GT128)</f>
        <v>0.266666666666667</v>
      </c>
      <c r="HQ128" s="9" t="n">
        <f aca="false">(HL128/GU128)</f>
        <v>0.428571428571429</v>
      </c>
      <c r="HR128" s="9" t="n">
        <f aca="false">(HM128/GV128)</f>
        <v>0.416666666666667</v>
      </c>
      <c r="HS128" s="9" t="n">
        <f aca="false">(100*HR128)</f>
        <v>41.6666666666667</v>
      </c>
      <c r="HT128" s="18" t="n">
        <v>3</v>
      </c>
      <c r="HU128" s="9" t="n">
        <v>1</v>
      </c>
      <c r="HV128" s="9" t="n">
        <v>4</v>
      </c>
      <c r="HW128" s="9" t="n">
        <v>1</v>
      </c>
      <c r="HX128" s="19" t="n">
        <v>0</v>
      </c>
      <c r="HY128" s="9" t="n">
        <f aca="false">(HU128+HV128+HW128+HX128)/4</f>
        <v>1.5</v>
      </c>
      <c r="HZ128" s="9" t="n">
        <f aca="false">(HU128/GR128)</f>
        <v>0.2</v>
      </c>
      <c r="IA128" s="9" t="n">
        <f aca="false">HV128/GS128</f>
        <v>0.333333333333333</v>
      </c>
      <c r="IB128" s="9" t="n">
        <f aca="false">(HW128/GT128)</f>
        <v>0.0666666666666667</v>
      </c>
      <c r="IC128" s="9" t="n">
        <f aca="false">(HX128/GU128)</f>
        <v>0</v>
      </c>
      <c r="ID128" s="9" t="n">
        <f aca="false">(HY128/GV128)</f>
        <v>0.1</v>
      </c>
      <c r="IE128" s="9" t="n">
        <f aca="false">(100*ID128)</f>
        <v>10</v>
      </c>
      <c r="IF128" s="18" t="n">
        <v>2</v>
      </c>
      <c r="IG128" s="9" t="n">
        <v>0</v>
      </c>
      <c r="IH128" s="9" t="n">
        <v>0</v>
      </c>
      <c r="II128" s="19" t="n">
        <v>0</v>
      </c>
      <c r="IJ128" s="9" t="n">
        <v>0</v>
      </c>
      <c r="IK128" s="9" t="n">
        <f aca="false">(IG128+IH128+II128+IJ128)/4</f>
        <v>0</v>
      </c>
      <c r="IL128" s="9" t="e">
        <f aca="false">(IG128/GM128)</f>
        <v>#DIV/0!</v>
      </c>
      <c r="IM128" s="9" t="e">
        <f aca="false">(IH128/GN128)</f>
        <v>#DIV/0!</v>
      </c>
      <c r="IN128" s="9" t="e">
        <f aca="false">(II128/GO128)</f>
        <v>#DIV/0!</v>
      </c>
      <c r="IO128" s="9" t="e">
        <f aca="false">(IJ128/GP128)</f>
        <v>#DIV/0!</v>
      </c>
      <c r="IP128" s="9" t="e">
        <f aca="false">(IK128/GQ128)</f>
        <v>#DIV/0!</v>
      </c>
      <c r="IQ128" s="9" t="e">
        <f aca="false">(100*IP128)</f>
        <v>#DIV/0!</v>
      </c>
      <c r="IR128" s="18"/>
      <c r="IS128" s="9" t="n">
        <v>68.5</v>
      </c>
      <c r="IT128" s="9" t="n">
        <v>77.6</v>
      </c>
      <c r="IU128" s="19" t="n">
        <v>79.2</v>
      </c>
      <c r="IV128" s="9" t="n">
        <v>32.8</v>
      </c>
      <c r="IW128" s="9" t="n">
        <f aca="false">(IS128+IT128+IU128+IV128)/4</f>
        <v>64.525</v>
      </c>
      <c r="IX128" s="16" t="n">
        <v>45242</v>
      </c>
      <c r="IY128" s="10" t="s">
        <v>268</v>
      </c>
    </row>
    <row r="129" customFormat="false" ht="15.75" hidden="false" customHeight="true" outlineLevel="0" collapsed="false">
      <c r="A129" s="9" t="s">
        <v>299</v>
      </c>
      <c r="B129" s="10" t="s">
        <v>561</v>
      </c>
      <c r="C129" s="10" t="s">
        <v>514</v>
      </c>
      <c r="D129" s="9" t="n">
        <v>3</v>
      </c>
      <c r="E129" s="9" t="n">
        <v>43</v>
      </c>
      <c r="F129" s="10" t="s">
        <v>566</v>
      </c>
      <c r="G129" s="11" t="s">
        <v>263</v>
      </c>
      <c r="H129" s="9" t="n">
        <v>20</v>
      </c>
      <c r="I129" s="9" t="n">
        <v>10</v>
      </c>
      <c r="J129" s="12" t="s">
        <v>270</v>
      </c>
      <c r="K129" s="20"/>
      <c r="L129" s="20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 t="n">
        <v>0</v>
      </c>
      <c r="Y129" s="9" t="n">
        <v>0</v>
      </c>
      <c r="Z129" s="9" t="n">
        <v>0</v>
      </c>
      <c r="AA129" s="9" t="n">
        <v>0</v>
      </c>
      <c r="AB129" s="11" t="n">
        <f aca="false">(X129+Y129+Z129+AA129)/4</f>
        <v>0</v>
      </c>
      <c r="AC129" s="9" t="n">
        <v>0</v>
      </c>
      <c r="AD129" s="9" t="n">
        <v>1</v>
      </c>
      <c r="AE129" s="9" t="n">
        <v>1</v>
      </c>
      <c r="AF129" s="9" t="n">
        <v>1</v>
      </c>
      <c r="AG129" s="11" t="n">
        <f aca="false">(AC129+AD129+AE129+AF129)/4</f>
        <v>0.75</v>
      </c>
      <c r="AH129" s="9" t="n">
        <v>1</v>
      </c>
      <c r="AI129" s="9" t="n">
        <v>1</v>
      </c>
      <c r="AJ129" s="9" t="n">
        <v>1</v>
      </c>
      <c r="AK129" s="9" t="n">
        <v>1</v>
      </c>
      <c r="AL129" s="11" t="n">
        <f aca="false">(AH129+AI129+AJ129+AK129)/4</f>
        <v>1</v>
      </c>
      <c r="AM129" s="9" t="n">
        <v>17</v>
      </c>
      <c r="AN129" s="9" t="n">
        <v>68</v>
      </c>
      <c r="AO129" s="9" t="n">
        <v>78</v>
      </c>
      <c r="AP129" s="9" t="n">
        <v>49</v>
      </c>
      <c r="AQ129" s="11" t="n">
        <f aca="false">(AM129+AN129+AO129+AP129)/4</f>
        <v>53</v>
      </c>
      <c r="AR129" s="9" t="n">
        <v>17</v>
      </c>
      <c r="AS129" s="9" t="n">
        <v>4</v>
      </c>
      <c r="AT129" s="9" t="n">
        <v>4</v>
      </c>
      <c r="AU129" s="9" t="n">
        <v>5</v>
      </c>
      <c r="AV129" s="11" t="n">
        <f aca="false">(AR129+AS129+AT129+AU129)/4</f>
        <v>7.5</v>
      </c>
      <c r="AW129" s="9" t="n">
        <v>0</v>
      </c>
      <c r="AX129" s="9" t="n">
        <v>0</v>
      </c>
      <c r="AY129" s="9" t="n">
        <v>0</v>
      </c>
      <c r="AZ129" s="9" t="n">
        <v>0</v>
      </c>
      <c r="BA129" s="11" t="n">
        <f aca="false">(AW129+AX129+AY129+AZ129)/4</f>
        <v>0</v>
      </c>
      <c r="BB129" s="11" t="n">
        <f aca="false">(AW129/AR129)</f>
        <v>0</v>
      </c>
      <c r="BC129" s="11" t="n">
        <f aca="false">(AX129/AS129)</f>
        <v>0</v>
      </c>
      <c r="BD129" s="11" t="n">
        <f aca="false">(AY129/AT129)</f>
        <v>0</v>
      </c>
      <c r="BE129" s="11" t="n">
        <f aca="false">(AZ129/AU129)</f>
        <v>0</v>
      </c>
      <c r="BF129" s="11" t="n">
        <f aca="false">(BA129/AV129)</f>
        <v>0</v>
      </c>
      <c r="BG129" s="11" t="n">
        <f aca="false">(BF129*100)</f>
        <v>0</v>
      </c>
      <c r="BH129" s="9" t="n">
        <v>0</v>
      </c>
      <c r="BI129" s="9" t="n">
        <v>0</v>
      </c>
      <c r="BJ129" s="9" t="n">
        <v>4</v>
      </c>
      <c r="BK129" s="9" t="n">
        <v>4</v>
      </c>
      <c r="BL129" s="9" t="n">
        <v>2</v>
      </c>
      <c r="BM129" s="11" t="n">
        <f aca="false">(BI129+BJ129+BK129+BL129)/4</f>
        <v>2.5</v>
      </c>
      <c r="BN129" s="11" t="n">
        <f aca="false">(BI129/AR129)</f>
        <v>0</v>
      </c>
      <c r="BO129" s="11" t="n">
        <f aca="false">(BJ129/AS129)</f>
        <v>1</v>
      </c>
      <c r="BP129" s="11" t="n">
        <f aca="false">(BK129/AT129)</f>
        <v>1</v>
      </c>
      <c r="BQ129" s="11" t="n">
        <f aca="false">(BL129/AU129)</f>
        <v>0.4</v>
      </c>
      <c r="BR129" s="11" t="n">
        <f aca="false">(BM129/AV129)</f>
        <v>0.333333333333333</v>
      </c>
      <c r="BS129" s="11" t="n">
        <f aca="false">(100*BR129)</f>
        <v>33.3333333333333</v>
      </c>
      <c r="BT129" s="9" t="n">
        <v>3</v>
      </c>
      <c r="BU129" s="9" t="n">
        <v>1</v>
      </c>
      <c r="BV129" s="9" t="n">
        <v>0</v>
      </c>
      <c r="BW129" s="9" t="n">
        <v>0</v>
      </c>
      <c r="BX129" s="9" t="n">
        <v>0</v>
      </c>
      <c r="BY129" s="11" t="n">
        <f aca="false">(BU129+BV129+BW129+BX129)/4</f>
        <v>0.25</v>
      </c>
      <c r="BZ129" s="11" t="n">
        <f aca="false">(BU129/AR129)</f>
        <v>0.0588235294117647</v>
      </c>
      <c r="CA129" s="11" t="n">
        <f aca="false">(BV129/AS129)</f>
        <v>0</v>
      </c>
      <c r="CB129" s="11" t="n">
        <f aca="false">(BW129/AT129)</f>
        <v>0</v>
      </c>
      <c r="CC129" s="11" t="n">
        <f aca="false">(BX129/AU129)</f>
        <v>0</v>
      </c>
      <c r="CD129" s="11" t="n">
        <f aca="false">(BY129/AV129)</f>
        <v>0.0333333333333333</v>
      </c>
      <c r="CE129" s="11" t="n">
        <f aca="false">(100*CD129)</f>
        <v>3.33333333333333</v>
      </c>
      <c r="CF129" s="9" t="n">
        <v>1</v>
      </c>
      <c r="CG129" s="9" t="n">
        <v>2</v>
      </c>
      <c r="CH129" s="9" t="n">
        <v>4</v>
      </c>
      <c r="CI129" s="9" t="n">
        <v>2</v>
      </c>
      <c r="CJ129" s="9" t="n">
        <v>3</v>
      </c>
      <c r="CK129" s="11" t="n">
        <f aca="false">(CG129+CH129+CI129+CJ129)/4</f>
        <v>2.75</v>
      </c>
      <c r="CL129" s="11" t="n">
        <f aca="false">(CG129/AM129)</f>
        <v>0.117647058823529</v>
      </c>
      <c r="CM129" s="11" t="n">
        <f aca="false">(CH129/AN129)</f>
        <v>0.0588235294117647</v>
      </c>
      <c r="CN129" s="11" t="n">
        <f aca="false">(CI129/AO129)</f>
        <v>0.0256410256410256</v>
      </c>
      <c r="CO129" s="9" t="n">
        <f aca="false">(CJ129/AP129)</f>
        <v>0.0612244897959184</v>
      </c>
      <c r="CP129" s="9" t="n">
        <f aca="false">(CK129/AQ129)</f>
        <v>0.0518867924528302</v>
      </c>
      <c r="CQ129" s="9" t="n">
        <f aca="false">(100*CP129)</f>
        <v>5.18867924528302</v>
      </c>
      <c r="CR129" s="18" t="n">
        <v>1</v>
      </c>
      <c r="CS129" s="9" t="n">
        <v>50.6</v>
      </c>
      <c r="CT129" s="9" t="n">
        <v>73.4</v>
      </c>
      <c r="CU129" s="9" t="n">
        <v>48.9</v>
      </c>
      <c r="CV129" s="9" t="n">
        <v>73.2</v>
      </c>
      <c r="CW129" s="11" t="n">
        <f aca="false">(CS129+CT129+CU129+CV129)/4</f>
        <v>61.525</v>
      </c>
      <c r="CX129" s="9" t="n">
        <v>0</v>
      </c>
      <c r="CY129" s="9" t="n">
        <v>0</v>
      </c>
      <c r="CZ129" s="9" t="n">
        <v>0</v>
      </c>
      <c r="DA129" s="9" t="n">
        <v>0</v>
      </c>
      <c r="DB129" s="11" t="n">
        <f aca="false">(CX129+CY129+CZ129+DA129)/4</f>
        <v>0</v>
      </c>
      <c r="DC129" s="9" t="n">
        <v>1</v>
      </c>
      <c r="DD129" s="9" t="n">
        <v>1</v>
      </c>
      <c r="DE129" s="9" t="n">
        <v>1</v>
      </c>
      <c r="DF129" s="9" t="n">
        <v>0</v>
      </c>
      <c r="DG129" s="11" t="n">
        <f aca="false">(DC129+DD129+DE129+DF129)/4</f>
        <v>0.75</v>
      </c>
      <c r="DH129" s="9" t="n">
        <v>1</v>
      </c>
      <c r="DI129" s="9" t="n">
        <v>1</v>
      </c>
      <c r="DJ129" s="9" t="n">
        <v>1</v>
      </c>
      <c r="DK129" s="9" t="n">
        <v>0</v>
      </c>
      <c r="DL129" s="11" t="n">
        <f aca="false">(DH129+DI129+DJ129+DK129)/4</f>
        <v>0.75</v>
      </c>
      <c r="DM129" s="9" t="n">
        <v>4</v>
      </c>
      <c r="DN129" s="9" t="n">
        <v>5</v>
      </c>
      <c r="DO129" s="9" t="n">
        <v>124</v>
      </c>
      <c r="DP129" s="9" t="n">
        <v>28</v>
      </c>
      <c r="DQ129" s="11" t="n">
        <f aca="false">(DM129+DN129+DO129+DP129)/4</f>
        <v>40.25</v>
      </c>
      <c r="DR129" s="9" t="n">
        <v>16</v>
      </c>
      <c r="DS129" s="9" t="n">
        <v>14</v>
      </c>
      <c r="DT129" s="9" t="n">
        <v>14</v>
      </c>
      <c r="DU129" s="9" t="n">
        <v>2</v>
      </c>
      <c r="DV129" s="11" t="n">
        <f aca="false">(DR129+DS129+DT129+DU129)/4</f>
        <v>11.5</v>
      </c>
      <c r="DW129" s="9" t="n">
        <v>0</v>
      </c>
      <c r="DX129" s="9" t="n">
        <v>0</v>
      </c>
      <c r="DY129" s="9" t="n">
        <v>0</v>
      </c>
      <c r="DZ129" s="9" t="n">
        <v>0</v>
      </c>
      <c r="EA129" s="11" t="n">
        <f aca="false">(DW129+DX129+DY129+DZ129)/4</f>
        <v>0</v>
      </c>
      <c r="EB129" s="11" t="n">
        <f aca="false">(DW129/DR129)</f>
        <v>0</v>
      </c>
      <c r="EC129" s="11" t="n">
        <f aca="false">(DX129/DS129)</f>
        <v>0</v>
      </c>
      <c r="ED129" s="11" t="n">
        <f aca="false">(DY129/DT129)</f>
        <v>0</v>
      </c>
      <c r="EE129" s="11" t="n">
        <f aca="false">(DZ129/DU129)</f>
        <v>0</v>
      </c>
      <c r="EF129" s="11" t="n">
        <f aca="false">(EA129/DV129)</f>
        <v>0</v>
      </c>
      <c r="EG129" s="11" t="n">
        <f aca="false">(100*EF129)</f>
        <v>0</v>
      </c>
      <c r="EH129" s="9" t="n">
        <v>0</v>
      </c>
      <c r="EI129" s="9" t="n">
        <v>2</v>
      </c>
      <c r="EJ129" s="9" t="n">
        <v>3</v>
      </c>
      <c r="EK129" s="19" t="n">
        <v>2</v>
      </c>
      <c r="EL129" s="9" t="n">
        <v>0</v>
      </c>
      <c r="EM129" s="9" t="n">
        <f aca="false">(EI129+EJ129+EK129+EL129)/4</f>
        <v>1.75</v>
      </c>
      <c r="EN129" s="9" t="n">
        <f aca="false">(EI129/DR129)</f>
        <v>0.125</v>
      </c>
      <c r="EO129" s="9" t="n">
        <f aca="false">(EJ129/DS129)</f>
        <v>0.214285714285714</v>
      </c>
      <c r="EP129" s="9" t="n">
        <f aca="false">(EK129/DT129)</f>
        <v>0.142857142857143</v>
      </c>
      <c r="EQ129" s="9" t="n">
        <f aca="false">(EL129/DU129)</f>
        <v>0</v>
      </c>
      <c r="ER129" s="9" t="n">
        <f aca="false">EM129/DV129</f>
        <v>0.152173913043478</v>
      </c>
      <c r="ES129" s="9" t="n">
        <f aca="false">(100*ER129)</f>
        <v>15.2173913043478</v>
      </c>
      <c r="ET129" s="9" t="n">
        <v>2</v>
      </c>
      <c r="EU129" s="18" t="n">
        <v>3</v>
      </c>
      <c r="EV129" s="9" t="n">
        <v>2</v>
      </c>
      <c r="EW129" s="9" t="n">
        <v>5</v>
      </c>
      <c r="EX129" s="9" t="n">
        <v>0</v>
      </c>
      <c r="EY129" s="11" t="n">
        <f aca="false">(EU129+EV129+EW129+EX129)/4</f>
        <v>2.5</v>
      </c>
      <c r="EZ129" s="11" t="n">
        <f aca="false">(EU129/DR129)</f>
        <v>0.1875</v>
      </c>
      <c r="FA129" s="11" t="n">
        <f aca="false">(EV129/DS129)</f>
        <v>0.142857142857143</v>
      </c>
      <c r="FB129" s="11" t="n">
        <f aca="false">(EW129/DT129)</f>
        <v>0.357142857142857</v>
      </c>
      <c r="FC129" s="11" t="n">
        <f aca="false">(EX129/DU129)</f>
        <v>0</v>
      </c>
      <c r="FD129" s="11" t="n">
        <f aca="false">(EY129/DV129)</f>
        <v>0.217391304347826</v>
      </c>
      <c r="FE129" s="11" t="n">
        <f aca="false">(100*FD129)</f>
        <v>21.7391304347826</v>
      </c>
      <c r="FF129" s="9" t="n">
        <v>2</v>
      </c>
      <c r="FG129" s="9" t="n">
        <v>3</v>
      </c>
      <c r="FH129" s="9" t="n">
        <v>4</v>
      </c>
      <c r="FI129" s="9" t="n">
        <v>6</v>
      </c>
      <c r="FJ129" s="9" t="n">
        <v>0</v>
      </c>
      <c r="FK129" s="11" t="n">
        <f aca="false">(FG129+FH129+FI129+FJ129)/4</f>
        <v>3.25</v>
      </c>
      <c r="FL129" s="11" t="n">
        <f aca="false">(FG129/DR129)</f>
        <v>0.1875</v>
      </c>
      <c r="FM129" s="11" t="n">
        <f aca="false">(FH129/DS129)</f>
        <v>0.285714285714286</v>
      </c>
      <c r="FN129" s="11" t="n">
        <f aca="false">(FI129/DT129)</f>
        <v>0.428571428571429</v>
      </c>
      <c r="FO129" s="11" t="n">
        <f aca="false">(FJ129/DU129)</f>
        <v>0</v>
      </c>
      <c r="FP129" s="11" t="n">
        <f aca="false">(FK129/DV129)</f>
        <v>0.282608695652174</v>
      </c>
      <c r="FQ129" s="11" t="n">
        <f aca="false">(100*FP129)</f>
        <v>28.2608695652174</v>
      </c>
      <c r="FR129" s="9" t="n">
        <v>3</v>
      </c>
      <c r="FS129" s="9" t="n">
        <v>71</v>
      </c>
      <c r="FT129" s="9" t="n">
        <v>72.7</v>
      </c>
      <c r="FU129" s="9" t="n">
        <v>82.8</v>
      </c>
      <c r="FV129" s="9" t="n">
        <v>64</v>
      </c>
      <c r="FW129" s="11" t="n">
        <f aca="false">(FS129+FT129+FU129+FV129)/4</f>
        <v>72.625</v>
      </c>
      <c r="FX129" s="9" t="n">
        <v>0</v>
      </c>
      <c r="FY129" s="9" t="n">
        <v>0</v>
      </c>
      <c r="FZ129" s="9" t="n">
        <v>0</v>
      </c>
      <c r="GA129" s="9" t="n">
        <v>0</v>
      </c>
      <c r="GB129" s="11" t="n">
        <f aca="false">(FX129+FY129+FZ129+GA129)/4</f>
        <v>0</v>
      </c>
      <c r="GC129" s="9" t="n">
        <v>1</v>
      </c>
      <c r="GD129" s="9" t="n">
        <v>1</v>
      </c>
      <c r="GE129" s="9" t="n">
        <v>1</v>
      </c>
      <c r="GF129" s="9" t="n">
        <v>0</v>
      </c>
      <c r="GG129" s="11" t="n">
        <f aca="false">(GC129+GD129+GE129+GF129)/4</f>
        <v>0.75</v>
      </c>
      <c r="GH129" s="9" t="n">
        <v>1</v>
      </c>
      <c r="GI129" s="9" t="n">
        <v>1</v>
      </c>
      <c r="GJ129" s="9" t="n">
        <v>1</v>
      </c>
      <c r="GK129" s="9" t="n">
        <v>0</v>
      </c>
      <c r="GL129" s="11" t="n">
        <f aca="false">(GH129+GI129+GJ129+GK129)/4</f>
        <v>0.75</v>
      </c>
      <c r="GM129" s="9" t="n">
        <v>11</v>
      </c>
      <c r="GN129" s="9" t="n">
        <v>10</v>
      </c>
      <c r="GO129" s="9" t="n">
        <v>47</v>
      </c>
      <c r="GP129" s="9" t="n">
        <v>1</v>
      </c>
      <c r="GQ129" s="11" t="n">
        <f aca="false">(GM129+GN129+GO129+GP129)/4</f>
        <v>17.25</v>
      </c>
      <c r="GR129" s="9" t="n">
        <v>17</v>
      </c>
      <c r="GS129" s="9" t="n">
        <v>19</v>
      </c>
      <c r="GT129" s="9" t="n">
        <v>19</v>
      </c>
      <c r="GU129" s="9" t="n">
        <v>2</v>
      </c>
      <c r="GV129" s="11" t="n">
        <f aca="false">(GR129+GS129+GT129+GU129)/4</f>
        <v>14.25</v>
      </c>
      <c r="GW129" s="9" t="n">
        <v>0</v>
      </c>
      <c r="GX129" s="9" t="n">
        <v>0</v>
      </c>
      <c r="GY129" s="9" t="n">
        <v>0</v>
      </c>
      <c r="GZ129" s="9" t="n">
        <v>0</v>
      </c>
      <c r="HA129" s="11" t="n">
        <f aca="false">(GW129+GX129+GY129+GZ129)/4</f>
        <v>0</v>
      </c>
      <c r="HB129" s="9" t="n">
        <f aca="false">(GW129/GR129)</f>
        <v>0</v>
      </c>
      <c r="HC129" s="9" t="n">
        <f aca="false">(GX129/GS129)</f>
        <v>0</v>
      </c>
      <c r="HD129" s="9" t="n">
        <f aca="false">(GY129/GT129)</f>
        <v>0</v>
      </c>
      <c r="HE129" s="9" t="n">
        <f aca="false">(GZ129/GU129)/4</f>
        <v>0</v>
      </c>
      <c r="HF129" s="9" t="n">
        <f aca="false">(HB129+HC129+HD129+HE129)/4</f>
        <v>0</v>
      </c>
      <c r="HG129" s="9" t="n">
        <f aca="false">(100*HF129)</f>
        <v>0</v>
      </c>
      <c r="HH129" s="18" t="n">
        <v>0</v>
      </c>
      <c r="HI129" s="9" t="n">
        <v>2</v>
      </c>
      <c r="HJ129" s="9" t="n">
        <v>4</v>
      </c>
      <c r="HK129" s="9" t="n">
        <v>2</v>
      </c>
      <c r="HL129" s="19" t="n">
        <v>0</v>
      </c>
      <c r="HM129" s="9" t="n">
        <f aca="false">(HI129+HJ129+HK129+HL129)/4</f>
        <v>2</v>
      </c>
      <c r="HN129" s="9" t="n">
        <f aca="false">(HI129/GR129)</f>
        <v>0.117647058823529</v>
      </c>
      <c r="HO129" s="9" t="n">
        <f aca="false">(HJ129/GS129)</f>
        <v>0.210526315789474</v>
      </c>
      <c r="HP129" s="9" t="n">
        <f aca="false">(HK129/GT129)</f>
        <v>0.105263157894737</v>
      </c>
      <c r="HQ129" s="9" t="n">
        <f aca="false">(HL129/GU129)</f>
        <v>0</v>
      </c>
      <c r="HR129" s="9" t="n">
        <f aca="false">(HM129/GV129)</f>
        <v>0.140350877192982</v>
      </c>
      <c r="HS129" s="9" t="n">
        <f aca="false">(100*HR129)</f>
        <v>14.0350877192982</v>
      </c>
      <c r="HT129" s="18" t="n">
        <v>2</v>
      </c>
      <c r="HU129" s="9" t="n">
        <v>6</v>
      </c>
      <c r="HV129" s="9" t="n">
        <v>1</v>
      </c>
      <c r="HW129" s="9" t="n">
        <v>2</v>
      </c>
      <c r="HX129" s="19" t="n">
        <v>0</v>
      </c>
      <c r="HY129" s="9" t="n">
        <f aca="false">(HU129+HV129+HW129+HX129)/4</f>
        <v>2.25</v>
      </c>
      <c r="HZ129" s="9" t="n">
        <f aca="false">(HU129/GR129)</f>
        <v>0.352941176470588</v>
      </c>
      <c r="IA129" s="9" t="n">
        <f aca="false">HV129/GS129</f>
        <v>0.0526315789473684</v>
      </c>
      <c r="IB129" s="9" t="n">
        <f aca="false">(HW129/GT129)</f>
        <v>0.105263157894737</v>
      </c>
      <c r="IC129" s="9" t="n">
        <f aca="false">(HX129/GU129)</f>
        <v>0</v>
      </c>
      <c r="ID129" s="9" t="n">
        <f aca="false">(HY129/GV129)</f>
        <v>0.157894736842105</v>
      </c>
      <c r="IE129" s="9" t="n">
        <f aca="false">(100*ID129)</f>
        <v>15.7894736842105</v>
      </c>
      <c r="IF129" s="18" t="n">
        <v>2</v>
      </c>
      <c r="IG129" s="9" t="n">
        <v>5</v>
      </c>
      <c r="IH129" s="9" t="n">
        <v>1</v>
      </c>
      <c r="II129" s="19" t="n">
        <v>3</v>
      </c>
      <c r="IJ129" s="9" t="n">
        <v>0</v>
      </c>
      <c r="IK129" s="9" t="n">
        <f aca="false">(IG129+IH129+II129+IJ129)/4</f>
        <v>2.25</v>
      </c>
      <c r="IL129" s="9" t="n">
        <f aca="false">(IG129/GM129)</f>
        <v>0.454545454545455</v>
      </c>
      <c r="IM129" s="9" t="n">
        <f aca="false">(IH129/GN129)</f>
        <v>0.1</v>
      </c>
      <c r="IN129" s="9" t="n">
        <f aca="false">(II129/GO129)</f>
        <v>0.0638297872340426</v>
      </c>
      <c r="IO129" s="9" t="n">
        <f aca="false">(IJ129/GP129)</f>
        <v>0</v>
      </c>
      <c r="IP129" s="9" t="n">
        <f aca="false">(IK129/GQ129)</f>
        <v>0.130434782608696</v>
      </c>
      <c r="IQ129" s="9" t="n">
        <f aca="false">(100*IP129)</f>
        <v>13.0434782608696</v>
      </c>
      <c r="IR129" s="18" t="n">
        <v>2</v>
      </c>
      <c r="IS129" s="9" t="n">
        <v>58.8</v>
      </c>
      <c r="IT129" s="9" t="n">
        <v>63.2</v>
      </c>
      <c r="IU129" s="19" t="n">
        <v>44.1</v>
      </c>
      <c r="IV129" s="9" t="n">
        <v>48.3</v>
      </c>
      <c r="IW129" s="9" t="n">
        <f aca="false">(IS129+IT129+IU129+IV129)/4</f>
        <v>53.6</v>
      </c>
      <c r="IX129" s="16" t="n">
        <v>45242</v>
      </c>
      <c r="IY129" s="10" t="s">
        <v>268</v>
      </c>
    </row>
    <row r="130" customFormat="false" ht="15.75" hidden="false" customHeight="true" outlineLevel="0" collapsed="false">
      <c r="A130" s="9" t="s">
        <v>299</v>
      </c>
      <c r="B130" s="10" t="s">
        <v>561</v>
      </c>
      <c r="C130" s="10" t="s">
        <v>514</v>
      </c>
      <c r="D130" s="9" t="n">
        <v>3</v>
      </c>
      <c r="E130" s="9" t="n">
        <v>43</v>
      </c>
      <c r="F130" s="10" t="s">
        <v>567</v>
      </c>
      <c r="G130" s="11" t="s">
        <v>263</v>
      </c>
      <c r="H130" s="9" t="n">
        <v>20</v>
      </c>
      <c r="I130" s="9" t="n">
        <v>20</v>
      </c>
      <c r="J130" s="10" t="s">
        <v>272</v>
      </c>
      <c r="K130" s="20"/>
      <c r="L130" s="20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 t="n">
        <v>0</v>
      </c>
      <c r="Y130" s="9" t="n">
        <v>0</v>
      </c>
      <c r="Z130" s="9" t="n">
        <v>0</v>
      </c>
      <c r="AA130" s="9" t="n">
        <v>0</v>
      </c>
      <c r="AB130" s="11" t="n">
        <f aca="false">(X130+Y130+Z130+AA130)/4</f>
        <v>0</v>
      </c>
      <c r="AC130" s="9" t="n">
        <v>1</v>
      </c>
      <c r="AD130" s="9" t="n">
        <v>1</v>
      </c>
      <c r="AE130" s="9" t="n">
        <v>1</v>
      </c>
      <c r="AF130" s="9" t="n">
        <v>1</v>
      </c>
      <c r="AG130" s="11" t="n">
        <f aca="false">(AC130+AD130+AE130+AF130)/4</f>
        <v>1</v>
      </c>
      <c r="AH130" s="9" t="n">
        <v>1</v>
      </c>
      <c r="AI130" s="9" t="n">
        <v>1</v>
      </c>
      <c r="AJ130" s="9" t="n">
        <v>1</v>
      </c>
      <c r="AK130" s="9" t="n">
        <v>1</v>
      </c>
      <c r="AL130" s="11" t="n">
        <f aca="false">(AH130+AI130+AJ130+AK130)/4</f>
        <v>1</v>
      </c>
      <c r="AM130" s="9" t="n">
        <v>50</v>
      </c>
      <c r="AN130" s="9" t="n">
        <v>82</v>
      </c>
      <c r="AO130" s="9" t="n">
        <v>56</v>
      </c>
      <c r="AP130" s="9" t="n">
        <v>28</v>
      </c>
      <c r="AQ130" s="11" t="n">
        <f aca="false">(AM130+AN130+AO130+AP130)/4</f>
        <v>54</v>
      </c>
      <c r="AR130" s="9" t="n">
        <v>15</v>
      </c>
      <c r="AS130" s="9" t="n">
        <v>13</v>
      </c>
      <c r="AT130" s="9" t="n">
        <v>8</v>
      </c>
      <c r="AU130" s="9" t="n">
        <v>11</v>
      </c>
      <c r="AV130" s="11" t="n">
        <f aca="false">(AR130+AS130+AT130+AU130)/4</f>
        <v>11.75</v>
      </c>
      <c r="AW130" s="9" t="n">
        <v>0</v>
      </c>
      <c r="AX130" s="9" t="n">
        <v>0</v>
      </c>
      <c r="AY130" s="9" t="n">
        <v>0</v>
      </c>
      <c r="AZ130" s="9" t="n">
        <v>0</v>
      </c>
      <c r="BA130" s="11" t="n">
        <f aca="false">(AW130+AX130+AY130+AZ130)/4</f>
        <v>0</v>
      </c>
      <c r="BB130" s="11" t="n">
        <f aca="false">(AW130/AR130)</f>
        <v>0</v>
      </c>
      <c r="BC130" s="11" t="n">
        <f aca="false">(AX130/AS130)</f>
        <v>0</v>
      </c>
      <c r="BD130" s="11" t="n">
        <f aca="false">(AY130/AT130)</f>
        <v>0</v>
      </c>
      <c r="BE130" s="11" t="n">
        <f aca="false">(AZ130/AU130)</f>
        <v>0</v>
      </c>
      <c r="BF130" s="11" t="n">
        <f aca="false">(BA130/AV130)</f>
        <v>0</v>
      </c>
      <c r="BG130" s="11" t="n">
        <f aca="false">(BF130*100)</f>
        <v>0</v>
      </c>
      <c r="BH130" s="9" t="n">
        <v>0</v>
      </c>
      <c r="BI130" s="9" t="n">
        <v>3</v>
      </c>
      <c r="BJ130" s="9" t="n">
        <v>3</v>
      </c>
      <c r="BK130" s="9" t="n">
        <v>2</v>
      </c>
      <c r="BL130" s="9" t="n">
        <v>1</v>
      </c>
      <c r="BM130" s="11" t="n">
        <f aca="false">(BI130+BJ130+BK130+BL130)/4</f>
        <v>2.25</v>
      </c>
      <c r="BN130" s="11" t="n">
        <f aca="false">(BI130/AR130)</f>
        <v>0.2</v>
      </c>
      <c r="BO130" s="11" t="n">
        <f aca="false">(BJ130/AS130)</f>
        <v>0.230769230769231</v>
      </c>
      <c r="BP130" s="11" t="n">
        <f aca="false">(BK130/AT130)</f>
        <v>0.25</v>
      </c>
      <c r="BQ130" s="11" t="n">
        <f aca="false">(BL130/AU130)</f>
        <v>0.0909090909090909</v>
      </c>
      <c r="BR130" s="11" t="n">
        <f aca="false">(BM130/AV130)</f>
        <v>0.191489361702128</v>
      </c>
      <c r="BS130" s="11" t="n">
        <f aca="false">(100*BR130)</f>
        <v>19.1489361702128</v>
      </c>
      <c r="BT130" s="9" t="n">
        <v>2</v>
      </c>
      <c r="BU130" s="9" t="n">
        <v>2</v>
      </c>
      <c r="BV130" s="9" t="n">
        <v>5</v>
      </c>
      <c r="BW130" s="9" t="n">
        <v>4</v>
      </c>
      <c r="BX130" s="9" t="n">
        <v>5</v>
      </c>
      <c r="BY130" s="11" t="n">
        <f aca="false">(BU130+BV130+BW130+BX130)/4</f>
        <v>4</v>
      </c>
      <c r="BZ130" s="11" t="n">
        <f aca="false">(BU130/AR130)</f>
        <v>0.133333333333333</v>
      </c>
      <c r="CA130" s="11" t="n">
        <f aca="false">(BV130/AS130)</f>
        <v>0.384615384615385</v>
      </c>
      <c r="CB130" s="11" t="n">
        <f aca="false">(BW130/AT130)</f>
        <v>0.5</v>
      </c>
      <c r="CC130" s="11" t="n">
        <f aca="false">(BX130/AU130)</f>
        <v>0.454545454545455</v>
      </c>
      <c r="CD130" s="11" t="n">
        <f aca="false">(BY130/AV130)</f>
        <v>0.340425531914894</v>
      </c>
      <c r="CE130" s="11" t="n">
        <f aca="false">(100*CD130)</f>
        <v>34.0425531914894</v>
      </c>
      <c r="CF130" s="9" t="n">
        <v>3</v>
      </c>
      <c r="CG130" s="9" t="n">
        <v>1</v>
      </c>
      <c r="CH130" s="9" t="n">
        <v>11</v>
      </c>
      <c r="CI130" s="9" t="n">
        <v>2</v>
      </c>
      <c r="CJ130" s="9" t="n">
        <v>8</v>
      </c>
      <c r="CK130" s="11" t="n">
        <f aca="false">(CG130+CH130+CI130+CJ130)/4</f>
        <v>5.5</v>
      </c>
      <c r="CL130" s="11" t="n">
        <f aca="false">(CG130/AM130)</f>
        <v>0.02</v>
      </c>
      <c r="CM130" s="11" t="n">
        <f aca="false">(CH130/AN130)</f>
        <v>0.134146341463415</v>
      </c>
      <c r="CN130" s="11" t="n">
        <f aca="false">(CI130/AO130)</f>
        <v>0.0357142857142857</v>
      </c>
      <c r="CO130" s="9" t="n">
        <f aca="false">(CJ130/AP130)</f>
        <v>0.285714285714286</v>
      </c>
      <c r="CP130" s="9" t="n">
        <f aca="false">(CK130/AQ130)</f>
        <v>0.101851851851852</v>
      </c>
      <c r="CQ130" s="9" t="n">
        <f aca="false">(100*CP130)</f>
        <v>10.1851851851852</v>
      </c>
      <c r="CR130" s="18" t="n">
        <v>2</v>
      </c>
      <c r="CS130" s="9" t="n">
        <v>54.8</v>
      </c>
      <c r="CT130" s="9" t="n">
        <v>80.1</v>
      </c>
      <c r="CU130" s="9" t="n">
        <v>68.5</v>
      </c>
      <c r="CV130" s="9" t="n">
        <v>40.8</v>
      </c>
      <c r="CW130" s="11" t="n">
        <f aca="false">(CS130+CT130+CU130+CV130)/4</f>
        <v>61.05</v>
      </c>
      <c r="CX130" s="9" t="n">
        <v>0</v>
      </c>
      <c r="CY130" s="9" t="n">
        <v>0</v>
      </c>
      <c r="CZ130" s="9" t="n">
        <v>0</v>
      </c>
      <c r="DA130" s="9" t="n">
        <v>0</v>
      </c>
      <c r="DB130" s="11" t="n">
        <f aca="false">(CX130+CY130+CZ130+DA130)/4</f>
        <v>0</v>
      </c>
      <c r="DC130" s="9" t="n">
        <v>1</v>
      </c>
      <c r="DD130" s="9" t="n">
        <v>0</v>
      </c>
      <c r="DE130" s="9" t="n">
        <v>1</v>
      </c>
      <c r="DF130" s="9" t="n">
        <v>1</v>
      </c>
      <c r="DG130" s="11" t="n">
        <f aca="false">(DC130+DD130+DE130+DF130)/4</f>
        <v>0.75</v>
      </c>
      <c r="DH130" s="9" t="n">
        <v>1</v>
      </c>
      <c r="DI130" s="9" t="n">
        <v>1</v>
      </c>
      <c r="DJ130" s="9" t="n">
        <v>1</v>
      </c>
      <c r="DK130" s="9" t="n">
        <v>1</v>
      </c>
      <c r="DL130" s="11" t="n">
        <f aca="false">(DH130+DI130+DJ130+DK130)/4</f>
        <v>1</v>
      </c>
      <c r="DM130" s="9" t="n">
        <v>16</v>
      </c>
      <c r="DN130" s="9" t="n">
        <v>26</v>
      </c>
      <c r="DO130" s="9" t="n">
        <v>28</v>
      </c>
      <c r="DP130" s="9" t="n">
        <v>106</v>
      </c>
      <c r="DQ130" s="11" t="n">
        <f aca="false">(DM130+DN130+DO130+DP130)/4</f>
        <v>44</v>
      </c>
      <c r="DR130" s="9" t="n">
        <v>24</v>
      </c>
      <c r="DS130" s="9" t="n">
        <v>26</v>
      </c>
      <c r="DT130" s="9" t="n">
        <v>7</v>
      </c>
      <c r="DU130" s="9" t="n">
        <v>14</v>
      </c>
      <c r="DV130" s="11" t="n">
        <f aca="false">(DR130+DS130+DT130+DU130)/4</f>
        <v>17.75</v>
      </c>
      <c r="DW130" s="9" t="n">
        <v>0</v>
      </c>
      <c r="DX130" s="9" t="n">
        <v>0</v>
      </c>
      <c r="DY130" s="9" t="n">
        <v>0</v>
      </c>
      <c r="DZ130" s="9" t="n">
        <v>0</v>
      </c>
      <c r="EA130" s="11" t="n">
        <f aca="false">(DW130+DX130+DY130+DZ130)/4</f>
        <v>0</v>
      </c>
      <c r="EB130" s="11" t="n">
        <f aca="false">(DW130/DR130)</f>
        <v>0</v>
      </c>
      <c r="EC130" s="11" t="n">
        <f aca="false">(DX130/DS130)</f>
        <v>0</v>
      </c>
      <c r="ED130" s="11" t="n">
        <f aca="false">(DY130/DT130)</f>
        <v>0</v>
      </c>
      <c r="EE130" s="11" t="n">
        <f aca="false">(DZ130/DU130)</f>
        <v>0</v>
      </c>
      <c r="EF130" s="11" t="n">
        <f aca="false">(EA130/DV130)</f>
        <v>0</v>
      </c>
      <c r="EG130" s="11" t="n">
        <f aca="false">(100*EF130)</f>
        <v>0</v>
      </c>
      <c r="EH130" s="9" t="n">
        <v>0</v>
      </c>
      <c r="EI130" s="9" t="n">
        <v>2</v>
      </c>
      <c r="EJ130" s="9" t="n">
        <v>0</v>
      </c>
      <c r="EK130" s="19" t="n">
        <v>7</v>
      </c>
      <c r="EL130" s="9" t="n">
        <v>8</v>
      </c>
      <c r="EM130" s="9" t="n">
        <f aca="false">(EI130+EJ130+EK130+EL130)/4</f>
        <v>4.25</v>
      </c>
      <c r="EN130" s="9" t="n">
        <f aca="false">(EI130/DR130)</f>
        <v>0.0833333333333333</v>
      </c>
      <c r="EO130" s="9" t="n">
        <f aca="false">(EJ130/DS130)</f>
        <v>0</v>
      </c>
      <c r="EP130" s="9" t="n">
        <f aca="false">(EK130/DT130)</f>
        <v>1</v>
      </c>
      <c r="EQ130" s="9" t="n">
        <f aca="false">(EL130/DU130)</f>
        <v>0.571428571428571</v>
      </c>
      <c r="ER130" s="9" t="n">
        <f aca="false">EM130/DV130</f>
        <v>0.23943661971831</v>
      </c>
      <c r="ES130" s="9" t="n">
        <f aca="false">(100*ER130)</f>
        <v>23.943661971831</v>
      </c>
      <c r="ET130" s="9" t="n">
        <v>3</v>
      </c>
      <c r="EU130" s="18" t="n">
        <v>1</v>
      </c>
      <c r="EV130" s="9" t="n">
        <v>1</v>
      </c>
      <c r="EW130" s="9" t="n">
        <v>2</v>
      </c>
      <c r="EX130" s="9" t="n">
        <v>1</v>
      </c>
      <c r="EY130" s="11" t="n">
        <f aca="false">(EU130+EV130+EW130+EX130)/4</f>
        <v>1.25</v>
      </c>
      <c r="EZ130" s="11" t="n">
        <f aca="false">(EU130/DR130)</f>
        <v>0.0416666666666667</v>
      </c>
      <c r="FA130" s="11" t="n">
        <f aca="false">(EV130/DS130)</f>
        <v>0.0384615384615385</v>
      </c>
      <c r="FB130" s="11" t="n">
        <f aca="false">(EW130/DT130)</f>
        <v>0.285714285714286</v>
      </c>
      <c r="FC130" s="11" t="n">
        <f aca="false">(EX130/DU130)</f>
        <v>0.0714285714285714</v>
      </c>
      <c r="FD130" s="11" t="n">
        <f aca="false">(EY130/DV130)</f>
        <v>0.0704225352112676</v>
      </c>
      <c r="FE130" s="11" t="n">
        <f aca="false">(100*FD130)</f>
        <v>7.04225352112676</v>
      </c>
      <c r="FF130" s="9" t="n">
        <v>1</v>
      </c>
      <c r="FG130" s="9" t="n">
        <v>1</v>
      </c>
      <c r="FH130" s="9" t="n">
        <v>1</v>
      </c>
      <c r="FI130" s="9" t="n">
        <v>2</v>
      </c>
      <c r="FJ130" s="9" t="n">
        <v>1</v>
      </c>
      <c r="FK130" s="11" t="n">
        <f aca="false">(FG130+FH130+FI130+FJ130)/4</f>
        <v>1.25</v>
      </c>
      <c r="FL130" s="11" t="n">
        <f aca="false">(FG130/DR130)</f>
        <v>0.0416666666666667</v>
      </c>
      <c r="FM130" s="11" t="n">
        <f aca="false">(FH130/DS130)</f>
        <v>0.0384615384615385</v>
      </c>
      <c r="FN130" s="11" t="n">
        <f aca="false">(FI130/DT130)</f>
        <v>0.285714285714286</v>
      </c>
      <c r="FO130" s="11" t="n">
        <f aca="false">(FJ130/DU130)</f>
        <v>0.0714285714285714</v>
      </c>
      <c r="FP130" s="11" t="n">
        <f aca="false">(FK130/DV130)</f>
        <v>0.0704225352112676</v>
      </c>
      <c r="FQ130" s="11" t="n">
        <f aca="false">(100*FP130)</f>
        <v>7.04225352112676</v>
      </c>
      <c r="FR130" s="9" t="n">
        <v>1</v>
      </c>
      <c r="FS130" s="9" t="n">
        <v>70.7</v>
      </c>
      <c r="FT130" s="9" t="n">
        <v>71.2</v>
      </c>
      <c r="FU130" s="9" t="n">
        <v>64.4</v>
      </c>
      <c r="FV130" s="9" t="n">
        <v>63.5</v>
      </c>
      <c r="FW130" s="11" t="n">
        <f aca="false">(FS130+FT130+FU130+FV130)/4</f>
        <v>67.45</v>
      </c>
      <c r="FX130" s="9" t="n">
        <v>0</v>
      </c>
      <c r="FY130" s="9" t="n">
        <v>0</v>
      </c>
      <c r="FZ130" s="9" t="n">
        <v>0</v>
      </c>
      <c r="GA130" s="9" t="n">
        <v>0</v>
      </c>
      <c r="GB130" s="11" t="n">
        <f aca="false">(FX130+FY130+FZ130+GA130)/4</f>
        <v>0</v>
      </c>
      <c r="GC130" s="9" t="n">
        <v>1</v>
      </c>
      <c r="GD130" s="9" t="n">
        <v>1</v>
      </c>
      <c r="GE130" s="9" t="n">
        <v>1</v>
      </c>
      <c r="GF130" s="9" t="n">
        <v>1</v>
      </c>
      <c r="GG130" s="11" t="n">
        <f aca="false">(GC130+GD130+GE130+GF130)/4</f>
        <v>1</v>
      </c>
      <c r="GH130" s="9" t="n">
        <v>1</v>
      </c>
      <c r="GI130" s="9" t="n">
        <v>1</v>
      </c>
      <c r="GJ130" s="9" t="n">
        <v>1</v>
      </c>
      <c r="GK130" s="9" t="n">
        <v>1</v>
      </c>
      <c r="GL130" s="11" t="n">
        <f aca="false">(GH130+GI130+GJ130+GK130)/4</f>
        <v>1</v>
      </c>
      <c r="GM130" s="9" t="n">
        <v>13</v>
      </c>
      <c r="GN130" s="9" t="n">
        <v>73</v>
      </c>
      <c r="GO130" s="9" t="n">
        <v>27</v>
      </c>
      <c r="GP130" s="9" t="n">
        <v>42</v>
      </c>
      <c r="GQ130" s="11" t="n">
        <f aca="false">(GM130+GN130+GO130+GP130)/4</f>
        <v>38.75</v>
      </c>
      <c r="GR130" s="9" t="n">
        <v>15</v>
      </c>
      <c r="GS130" s="9" t="n">
        <v>15</v>
      </c>
      <c r="GT130" s="9" t="n">
        <v>24</v>
      </c>
      <c r="GU130" s="9" t="n">
        <v>12</v>
      </c>
      <c r="GV130" s="11" t="n">
        <f aca="false">(GR130+GS130+GT130+GU130)/4</f>
        <v>16.5</v>
      </c>
      <c r="GW130" s="9" t="n">
        <v>0</v>
      </c>
      <c r="GX130" s="9" t="n">
        <v>0</v>
      </c>
      <c r="GY130" s="9" t="n">
        <v>0</v>
      </c>
      <c r="GZ130" s="9" t="n">
        <v>0</v>
      </c>
      <c r="HA130" s="11" t="n">
        <f aca="false">(GW130+GX130+GY130+GZ130)/4</f>
        <v>0</v>
      </c>
      <c r="HB130" s="9" t="n">
        <f aca="false">(GW130/GR130)</f>
        <v>0</v>
      </c>
      <c r="HC130" s="9" t="n">
        <f aca="false">(GX130/GS130)</f>
        <v>0</v>
      </c>
      <c r="HD130" s="9" t="n">
        <f aca="false">(GY130/GT130)</f>
        <v>0</v>
      </c>
      <c r="HE130" s="9" t="n">
        <f aca="false">(GZ130/GU130)/4</f>
        <v>0</v>
      </c>
      <c r="HF130" s="9" t="n">
        <f aca="false">(HB130+HC130+HD130+HE130)/4</f>
        <v>0</v>
      </c>
      <c r="HG130" s="9" t="n">
        <f aca="false">(100*HF130)</f>
        <v>0</v>
      </c>
      <c r="HH130" s="18" t="n">
        <v>0</v>
      </c>
      <c r="HI130" s="9" t="n">
        <v>9</v>
      </c>
      <c r="HJ130" s="9" t="n">
        <v>2</v>
      </c>
      <c r="HK130" s="9" t="n">
        <v>3</v>
      </c>
      <c r="HL130" s="19" t="n">
        <v>4</v>
      </c>
      <c r="HM130" s="9" t="n">
        <f aca="false">(HI130+HJ130+HK130+HL130)/4</f>
        <v>4.5</v>
      </c>
      <c r="HN130" s="9" t="n">
        <f aca="false">(HI130/GR130)</f>
        <v>0.6</v>
      </c>
      <c r="HO130" s="9" t="n">
        <f aca="false">(HJ130/GS130)</f>
        <v>0.133333333333333</v>
      </c>
      <c r="HP130" s="9" t="n">
        <f aca="false">(HK130/GT130)</f>
        <v>0.125</v>
      </c>
      <c r="HQ130" s="9" t="n">
        <f aca="false">(HL130/GU130)</f>
        <v>0.333333333333333</v>
      </c>
      <c r="HR130" s="9" t="n">
        <f aca="false">(HM130/GV130)</f>
        <v>0.272727272727273</v>
      </c>
      <c r="HS130" s="9" t="n">
        <f aca="false">(100*HR130)</f>
        <v>27.2727272727273</v>
      </c>
      <c r="HT130" s="18" t="n">
        <v>2</v>
      </c>
      <c r="HU130" s="9" t="n">
        <v>2</v>
      </c>
      <c r="HV130" s="9" t="n">
        <v>1</v>
      </c>
      <c r="HW130" s="9" t="n">
        <v>3</v>
      </c>
      <c r="HX130" s="19" t="n">
        <v>0</v>
      </c>
      <c r="HY130" s="9" t="n">
        <f aca="false">(HU130+HV130+HW130+HX130)/4</f>
        <v>1.5</v>
      </c>
      <c r="HZ130" s="9" t="n">
        <f aca="false">(HU130/GR130)</f>
        <v>0.133333333333333</v>
      </c>
      <c r="IA130" s="9" t="n">
        <f aca="false">HV130/GS130</f>
        <v>0.0666666666666667</v>
      </c>
      <c r="IB130" s="9" t="n">
        <f aca="false">(HW130/GT130)</f>
        <v>0.125</v>
      </c>
      <c r="IC130" s="9" t="n">
        <f aca="false">(HX130/GU130)</f>
        <v>0</v>
      </c>
      <c r="ID130" s="9" t="n">
        <f aca="false">(HY130/GV130)</f>
        <v>0.0909090909090909</v>
      </c>
      <c r="IE130" s="9" t="n">
        <f aca="false">(100*ID130)</f>
        <v>9.09090909090909</v>
      </c>
      <c r="IF130" s="18" t="n">
        <v>1</v>
      </c>
      <c r="IG130" s="9" t="n">
        <v>2</v>
      </c>
      <c r="IH130" s="9" t="n">
        <v>1</v>
      </c>
      <c r="II130" s="19" t="n">
        <v>3</v>
      </c>
      <c r="IJ130" s="9" t="n">
        <v>0</v>
      </c>
      <c r="IK130" s="9" t="n">
        <f aca="false">(IG130+IH130+II130+IJ130)/4</f>
        <v>1.5</v>
      </c>
      <c r="IL130" s="9" t="n">
        <f aca="false">(IG130/GM130)</f>
        <v>0.153846153846154</v>
      </c>
      <c r="IM130" s="9" t="n">
        <f aca="false">(IH130/GN130)</f>
        <v>0.0136986301369863</v>
      </c>
      <c r="IN130" s="9" t="n">
        <f aca="false">(II130/GO130)</f>
        <v>0.111111111111111</v>
      </c>
      <c r="IO130" s="9" t="n">
        <f aca="false">(IJ130/GP130)</f>
        <v>0</v>
      </c>
      <c r="IP130" s="9" t="n">
        <f aca="false">(IK130/GQ130)</f>
        <v>0.0387096774193548</v>
      </c>
      <c r="IQ130" s="9" t="n">
        <f aca="false">(100*IP130)</f>
        <v>3.87096774193548</v>
      </c>
      <c r="IR130" s="18" t="n">
        <v>1</v>
      </c>
      <c r="IS130" s="9" t="n">
        <v>73.3</v>
      </c>
      <c r="IT130" s="9" t="n">
        <v>80.2</v>
      </c>
      <c r="IU130" s="19" t="n">
        <v>42.1</v>
      </c>
      <c r="IV130" s="9" t="n">
        <v>63.3</v>
      </c>
      <c r="IW130" s="9" t="n">
        <f aca="false">(IS130+IT130+IU130+IV130)/4</f>
        <v>64.725</v>
      </c>
      <c r="IX130" s="16" t="n">
        <v>45242</v>
      </c>
      <c r="IY130" s="10" t="s">
        <v>268</v>
      </c>
    </row>
    <row r="131" customFormat="false" ht="15.75" hidden="false" customHeight="true" outlineLevel="0" collapsed="false">
      <c r="A131" s="9" t="s">
        <v>299</v>
      </c>
      <c r="B131" s="10" t="s">
        <v>568</v>
      </c>
      <c r="C131" s="10" t="s">
        <v>514</v>
      </c>
      <c r="D131" s="9" t="n">
        <v>4</v>
      </c>
      <c r="E131" s="9" t="n">
        <v>44</v>
      </c>
      <c r="F131" s="10" t="s">
        <v>569</v>
      </c>
      <c r="G131" s="10" t="s">
        <v>320</v>
      </c>
      <c r="H131" s="9" t="n">
        <v>21</v>
      </c>
      <c r="I131" s="9" t="n">
        <v>5</v>
      </c>
      <c r="J131" s="12" t="s">
        <v>264</v>
      </c>
      <c r="K131" s="23" t="s">
        <v>570</v>
      </c>
      <c r="L131" s="13" t="s">
        <v>571</v>
      </c>
      <c r="M131" s="14" t="n">
        <v>1300</v>
      </c>
      <c r="N131" s="15" t="n">
        <v>45154</v>
      </c>
      <c r="O131" s="10" t="s">
        <v>294</v>
      </c>
      <c r="P131" s="9"/>
      <c r="Q131" s="9" t="n">
        <v>0.43</v>
      </c>
      <c r="R131" s="9" t="n">
        <v>14</v>
      </c>
      <c r="S131" s="9" t="n">
        <v>-13</v>
      </c>
      <c r="T131" s="9" t="n">
        <v>130</v>
      </c>
      <c r="U131" s="9"/>
      <c r="V131" s="9" t="n">
        <v>2.16</v>
      </c>
      <c r="W131" s="9"/>
      <c r="X131" s="9" t="n">
        <v>0</v>
      </c>
      <c r="Y131" s="9" t="n">
        <v>0</v>
      </c>
      <c r="Z131" s="9" t="n">
        <v>0</v>
      </c>
      <c r="AA131" s="9" t="n">
        <v>0</v>
      </c>
      <c r="AB131" s="11" t="n">
        <f aca="false">(X131+Y131+Z131+AA131)/4</f>
        <v>0</v>
      </c>
      <c r="AC131" s="9" t="n">
        <v>0</v>
      </c>
      <c r="AD131" s="9" t="n">
        <v>0</v>
      </c>
      <c r="AE131" s="9" t="n">
        <v>1</v>
      </c>
      <c r="AF131" s="9" t="n">
        <v>0</v>
      </c>
      <c r="AG131" s="11" t="n">
        <f aca="false">(AC131+AD131+AE131+AF131)/4</f>
        <v>0.25</v>
      </c>
      <c r="AH131" s="9" t="n">
        <v>1</v>
      </c>
      <c r="AI131" s="9" t="n">
        <v>1</v>
      </c>
      <c r="AJ131" s="9" t="n">
        <v>0</v>
      </c>
      <c r="AK131" s="9" t="n">
        <v>0</v>
      </c>
      <c r="AL131" s="11" t="n">
        <f aca="false">(AH131+AI131+AJ131+AK131)/4</f>
        <v>0.5</v>
      </c>
      <c r="AM131" s="9" t="n">
        <v>8</v>
      </c>
      <c r="AN131" s="9" t="n">
        <v>56</v>
      </c>
      <c r="AO131" s="9" t="n">
        <v>54</v>
      </c>
      <c r="AP131" s="9" t="n">
        <v>38</v>
      </c>
      <c r="AQ131" s="11" t="n">
        <f aca="false">(AM131+AN131+AO131+AP131)/4</f>
        <v>39</v>
      </c>
      <c r="AR131" s="9" t="n">
        <v>31</v>
      </c>
      <c r="AS131" s="9" t="n">
        <v>8</v>
      </c>
      <c r="AT131" s="9" t="n">
        <v>38</v>
      </c>
      <c r="AU131" s="9" t="n">
        <v>54</v>
      </c>
      <c r="AV131" s="11" t="n">
        <f aca="false">(AR131+AS131+AT131+AU131)/4</f>
        <v>32.75</v>
      </c>
      <c r="AW131" s="9" t="n">
        <v>0</v>
      </c>
      <c r="AX131" s="9" t="n">
        <v>0</v>
      </c>
      <c r="AY131" s="9" t="n">
        <v>0</v>
      </c>
      <c r="AZ131" s="9" t="n">
        <v>0</v>
      </c>
      <c r="BA131" s="11" t="n">
        <f aca="false">(AW131+AX131+AY131+AZ131)/4</f>
        <v>0</v>
      </c>
      <c r="BB131" s="11" t="n">
        <f aca="false">(AW131/AR131)</f>
        <v>0</v>
      </c>
      <c r="BC131" s="11" t="n">
        <f aca="false">(AX131/AS131)</f>
        <v>0</v>
      </c>
      <c r="BD131" s="11" t="n">
        <f aca="false">(AY131/AT131)</f>
        <v>0</v>
      </c>
      <c r="BE131" s="11" t="n">
        <f aca="false">(AZ131/AU131)</f>
        <v>0</v>
      </c>
      <c r="BF131" s="11" t="n">
        <f aca="false">(BA131/AV131)</f>
        <v>0</v>
      </c>
      <c r="BG131" s="11" t="n">
        <f aca="false">(BF131*100)</f>
        <v>0</v>
      </c>
      <c r="BH131" s="9" t="n">
        <v>0</v>
      </c>
      <c r="BI131" s="9" t="n">
        <v>0</v>
      </c>
      <c r="BJ131" s="9" t="n">
        <v>0</v>
      </c>
      <c r="BK131" s="9" t="n">
        <v>3</v>
      </c>
      <c r="BL131" s="9" t="n">
        <v>0</v>
      </c>
      <c r="BM131" s="11" t="n">
        <f aca="false">(BI131+BJ131+BK131+BL131)/4</f>
        <v>0.75</v>
      </c>
      <c r="BN131" s="11" t="n">
        <f aca="false">(BI131/AR131)</f>
        <v>0</v>
      </c>
      <c r="BO131" s="11" t="n">
        <f aca="false">(BJ131/AS131)</f>
        <v>0</v>
      </c>
      <c r="BP131" s="11" t="n">
        <f aca="false">(BK131/AT131)</f>
        <v>0.0789473684210526</v>
      </c>
      <c r="BQ131" s="11" t="n">
        <f aca="false">(BL131/AU131)</f>
        <v>0</v>
      </c>
      <c r="BR131" s="11" t="n">
        <f aca="false">(BM131/AV131)</f>
        <v>0.0229007633587786</v>
      </c>
      <c r="BS131" s="11" t="n">
        <f aca="false">(100*BR131)</f>
        <v>2.29007633587786</v>
      </c>
      <c r="BT131" s="9" t="n">
        <v>1</v>
      </c>
      <c r="BU131" s="9" t="n">
        <v>10</v>
      </c>
      <c r="BV131" s="9" t="n">
        <v>5</v>
      </c>
      <c r="BW131" s="9" t="n">
        <v>0</v>
      </c>
      <c r="BX131" s="9" t="n">
        <v>0</v>
      </c>
      <c r="BY131" s="11" t="n">
        <f aca="false">(BU131+BV131+BW131+BX131)/4</f>
        <v>3.75</v>
      </c>
      <c r="BZ131" s="11" t="n">
        <f aca="false">(BU131/AR131)</f>
        <v>0.32258064516129</v>
      </c>
      <c r="CA131" s="11" t="n">
        <f aca="false">(BV131/AS131)</f>
        <v>0.625</v>
      </c>
      <c r="CB131" s="11" t="n">
        <f aca="false">(BW131/AT131)</f>
        <v>0</v>
      </c>
      <c r="CC131" s="11" t="n">
        <f aca="false">(BX131/AU131)</f>
        <v>0</v>
      </c>
      <c r="CD131" s="11" t="n">
        <f aca="false">(BY131/AV131)</f>
        <v>0.114503816793893</v>
      </c>
      <c r="CE131" s="11" t="n">
        <f aca="false">(100*CD131)</f>
        <v>11.4503816793893</v>
      </c>
      <c r="CF131" s="9" t="n">
        <v>2</v>
      </c>
      <c r="CG131" s="9" t="n">
        <v>8</v>
      </c>
      <c r="CH131" s="9" t="n">
        <v>0</v>
      </c>
      <c r="CI131" s="9" t="n">
        <v>0</v>
      </c>
      <c r="CJ131" s="9" t="n">
        <v>0</v>
      </c>
      <c r="CK131" s="11" t="n">
        <f aca="false">(CG131+CH131+CI131+CJ131)/4</f>
        <v>2</v>
      </c>
      <c r="CL131" s="11" t="n">
        <f aca="false">(CG131/AM131)</f>
        <v>1</v>
      </c>
      <c r="CM131" s="11" t="n">
        <f aca="false">(CH131/AN131)</f>
        <v>0</v>
      </c>
      <c r="CN131" s="11" t="n">
        <f aca="false">(CI131/AO131)</f>
        <v>0</v>
      </c>
      <c r="CO131" s="9" t="n">
        <f aca="false">(CJ131/AP131)</f>
        <v>0</v>
      </c>
      <c r="CP131" s="9" t="n">
        <f aca="false">(CK131/AQ131)</f>
        <v>0.0512820512820513</v>
      </c>
      <c r="CQ131" s="9" t="n">
        <f aca="false">(100*CP131)</f>
        <v>5.12820512820513</v>
      </c>
      <c r="CR131" s="18" t="n">
        <v>1</v>
      </c>
      <c r="CS131" s="9"/>
      <c r="CT131" s="9" t="n">
        <v>67.7</v>
      </c>
      <c r="CU131" s="9" t="n">
        <v>56.8</v>
      </c>
      <c r="CV131" s="9" t="n">
        <v>44.8</v>
      </c>
      <c r="CW131" s="11" t="n">
        <f aca="false">(CS131+CT131+CU131+CV131)/4</f>
        <v>42.325</v>
      </c>
      <c r="CX131" s="9" t="n">
        <v>0</v>
      </c>
      <c r="CY131" s="9" t="n">
        <v>0</v>
      </c>
      <c r="CZ131" s="9" t="n">
        <v>0</v>
      </c>
      <c r="DA131" s="9" t="n">
        <v>0</v>
      </c>
      <c r="DB131" s="11" t="n">
        <f aca="false">(CX131+CY131+CZ131+DA131)/4</f>
        <v>0</v>
      </c>
      <c r="DC131" s="9" t="n">
        <v>0</v>
      </c>
      <c r="DD131" s="9" t="n">
        <v>0</v>
      </c>
      <c r="DE131" s="9" t="n">
        <v>0</v>
      </c>
      <c r="DF131" s="9" t="n">
        <v>1</v>
      </c>
      <c r="DG131" s="11" t="n">
        <f aca="false">(DC131+DD131+DE131+DF131)/4</f>
        <v>0.25</v>
      </c>
      <c r="DH131" s="9" t="n">
        <v>1</v>
      </c>
      <c r="DI131" s="9" t="n">
        <v>1</v>
      </c>
      <c r="DJ131" s="9" t="n">
        <v>1</v>
      </c>
      <c r="DK131" s="9" t="n">
        <v>1</v>
      </c>
      <c r="DL131" s="11" t="n">
        <f aca="false">(DH131+DI131+DJ131+DK131)/4</f>
        <v>1</v>
      </c>
      <c r="DM131" s="9" t="n">
        <v>22</v>
      </c>
      <c r="DN131" s="9" t="n">
        <v>91</v>
      </c>
      <c r="DO131" s="9" t="n">
        <v>188</v>
      </c>
      <c r="DP131" s="9" t="n">
        <v>78</v>
      </c>
      <c r="DQ131" s="11" t="n">
        <f aca="false">(DM131+DN131+DO131+DP131)/4</f>
        <v>94.75</v>
      </c>
      <c r="DR131" s="9" t="n">
        <v>67</v>
      </c>
      <c r="DS131" s="9" t="n">
        <v>68</v>
      </c>
      <c r="DT131" s="9" t="n">
        <v>82</v>
      </c>
      <c r="DU131" s="9" t="n">
        <v>19</v>
      </c>
      <c r="DV131" s="11" t="n">
        <f aca="false">(DR131+DS131+DT131+DU131)/4</f>
        <v>59</v>
      </c>
      <c r="DW131" s="9" t="n">
        <v>0</v>
      </c>
      <c r="DX131" s="9" t="n">
        <v>0</v>
      </c>
      <c r="DY131" s="9" t="n">
        <v>0</v>
      </c>
      <c r="DZ131" s="9" t="n">
        <v>0</v>
      </c>
      <c r="EA131" s="11" t="n">
        <f aca="false">(DW131+DX131+DY131+DZ131)/4</f>
        <v>0</v>
      </c>
      <c r="EB131" s="11" t="n">
        <f aca="false">(DW131/DR131)</f>
        <v>0</v>
      </c>
      <c r="EC131" s="11" t="n">
        <f aca="false">(DX131/DS131)</f>
        <v>0</v>
      </c>
      <c r="ED131" s="11" t="n">
        <f aca="false">(DY131/DT131)</f>
        <v>0</v>
      </c>
      <c r="EE131" s="11" t="n">
        <f aca="false">(DZ131/DU131)</f>
        <v>0</v>
      </c>
      <c r="EF131" s="11" t="n">
        <f aca="false">(EA131/DV131)</f>
        <v>0</v>
      </c>
      <c r="EG131" s="11" t="n">
        <f aca="false">(100*EF131)</f>
        <v>0</v>
      </c>
      <c r="EH131" s="9" t="n">
        <v>0</v>
      </c>
      <c r="EI131" s="9" t="n">
        <v>0</v>
      </c>
      <c r="EJ131" s="9" t="n">
        <v>0</v>
      </c>
      <c r="EK131" s="19" t="n">
        <v>0</v>
      </c>
      <c r="EL131" s="9" t="n">
        <v>4</v>
      </c>
      <c r="EM131" s="9" t="n">
        <f aca="false">(EI131+EJ131+EK131+EL131)/4</f>
        <v>1</v>
      </c>
      <c r="EN131" s="9" t="n">
        <f aca="false">(EI131/DR131)</f>
        <v>0</v>
      </c>
      <c r="EO131" s="9" t="n">
        <f aca="false">(EJ131/DS131)</f>
        <v>0</v>
      </c>
      <c r="EP131" s="9" t="n">
        <f aca="false">(EK131/DT131)</f>
        <v>0</v>
      </c>
      <c r="EQ131" s="9" t="n">
        <f aca="false">(EL131/DU131)</f>
        <v>0.210526315789474</v>
      </c>
      <c r="ER131" s="9" t="n">
        <f aca="false">EM131/DV131</f>
        <v>0.0169491525423729</v>
      </c>
      <c r="ES131" s="9" t="n">
        <f aca="false">(100*ER131)</f>
        <v>1.69491525423729</v>
      </c>
      <c r="ET131" s="9" t="n">
        <v>1</v>
      </c>
      <c r="EU131" s="18" t="n">
        <v>5</v>
      </c>
      <c r="EV131" s="9" t="n">
        <v>0</v>
      </c>
      <c r="EW131" s="9" t="n">
        <v>2</v>
      </c>
      <c r="EX131" s="9" t="n">
        <v>6</v>
      </c>
      <c r="EY131" s="11" t="n">
        <f aca="false">(EU131+EV131+EW131+EX131)/4</f>
        <v>3.25</v>
      </c>
      <c r="EZ131" s="11" t="n">
        <f aca="false">(EU131/DR131)</f>
        <v>0.0746268656716418</v>
      </c>
      <c r="FA131" s="11" t="n">
        <f aca="false">(EV131/DS131)</f>
        <v>0</v>
      </c>
      <c r="FB131" s="11" t="n">
        <f aca="false">(EW131/DT131)</f>
        <v>0.024390243902439</v>
      </c>
      <c r="FC131" s="11" t="n">
        <f aca="false">(EX131/DU131)</f>
        <v>0.315789473684211</v>
      </c>
      <c r="FD131" s="11" t="n">
        <f aca="false">(EY131/DV131)</f>
        <v>0.0550847457627119</v>
      </c>
      <c r="FE131" s="11" t="n">
        <f aca="false">(100*FD131)</f>
        <v>5.50847457627119</v>
      </c>
      <c r="FF131" s="9" t="n">
        <v>1</v>
      </c>
      <c r="FG131" s="9" t="n">
        <v>4</v>
      </c>
      <c r="FH131" s="9" t="n">
        <v>10</v>
      </c>
      <c r="FI131" s="9" t="n">
        <v>0</v>
      </c>
      <c r="FJ131" s="9" t="n">
        <v>3</v>
      </c>
      <c r="FK131" s="11" t="n">
        <f aca="false">(FG131+FH131+FI131+FJ131)/4</f>
        <v>4.25</v>
      </c>
      <c r="FL131" s="11" t="n">
        <f aca="false">(FG131/DR131)</f>
        <v>0.0597014925373134</v>
      </c>
      <c r="FM131" s="11" t="n">
        <f aca="false">(FH131/DS131)</f>
        <v>0.147058823529412</v>
      </c>
      <c r="FN131" s="11" t="n">
        <f aca="false">(FI131/DT131)</f>
        <v>0</v>
      </c>
      <c r="FO131" s="11" t="n">
        <f aca="false">(FJ131/DU131)</f>
        <v>0.157894736842105</v>
      </c>
      <c r="FP131" s="11" t="n">
        <f aca="false">(FK131/DV131)</f>
        <v>0.0720338983050848</v>
      </c>
      <c r="FQ131" s="11" t="n">
        <f aca="false">(100*FP131)</f>
        <v>7.20338983050848</v>
      </c>
      <c r="FR131" s="9" t="n">
        <v>1</v>
      </c>
      <c r="FS131" s="9"/>
      <c r="FT131" s="9" t="n">
        <v>40</v>
      </c>
      <c r="FU131" s="9" t="n">
        <v>48.6</v>
      </c>
      <c r="FV131" s="9" t="n">
        <v>75.2</v>
      </c>
      <c r="FW131" s="11" t="n">
        <f aca="false">(FS131+FT131+FU131+FV131)/4</f>
        <v>40.95</v>
      </c>
      <c r="FX131" s="9" t="n">
        <v>0</v>
      </c>
      <c r="FY131" s="9" t="n">
        <v>0</v>
      </c>
      <c r="FZ131" s="9" t="n">
        <v>1</v>
      </c>
      <c r="GA131" s="9" t="n">
        <v>0</v>
      </c>
      <c r="GB131" s="11" t="n">
        <f aca="false">(FX131+FY131+FZ131+GA131)/4</f>
        <v>0.25</v>
      </c>
      <c r="GC131" s="9" t="n">
        <v>0</v>
      </c>
      <c r="GD131" s="9" t="n">
        <v>1</v>
      </c>
      <c r="GE131" s="9" t="n">
        <v>1</v>
      </c>
      <c r="GF131" s="9" t="n">
        <v>0</v>
      </c>
      <c r="GG131" s="11" t="n">
        <f aca="false">(GC131+GD131+GE131+GF131)/4</f>
        <v>0.5</v>
      </c>
      <c r="GH131" s="9" t="n">
        <v>1</v>
      </c>
      <c r="GI131" s="9" t="n">
        <v>0</v>
      </c>
      <c r="GJ131" s="9" t="n">
        <v>0</v>
      </c>
      <c r="GK131" s="9" t="n">
        <v>1</v>
      </c>
      <c r="GL131" s="11" t="n">
        <f aca="false">(GH131+GI131+GJ131+GK131)/4</f>
        <v>0.5</v>
      </c>
      <c r="GM131" s="9" t="n">
        <v>24</v>
      </c>
      <c r="GN131" s="9" t="n">
        <v>30</v>
      </c>
      <c r="GO131" s="9" t="n">
        <v>45</v>
      </c>
      <c r="GP131" s="9" t="n">
        <v>27</v>
      </c>
      <c r="GQ131" s="11" t="n">
        <f aca="false">(GM131+GN131+GO131+GP131)/4</f>
        <v>31.5</v>
      </c>
      <c r="GR131" s="9" t="n">
        <v>7</v>
      </c>
      <c r="GS131" s="9" t="n">
        <v>10</v>
      </c>
      <c r="GT131" s="9" t="n">
        <v>27</v>
      </c>
      <c r="GU131" s="9" t="n">
        <v>14</v>
      </c>
      <c r="GV131" s="11" t="n">
        <f aca="false">(GR131+GS131+GT131+GU131)/4</f>
        <v>14.5</v>
      </c>
      <c r="GW131" s="9" t="n">
        <v>0</v>
      </c>
      <c r="GX131" s="9" t="n">
        <v>0</v>
      </c>
      <c r="GY131" s="9" t="n">
        <v>6</v>
      </c>
      <c r="GZ131" s="9" t="n">
        <v>0</v>
      </c>
      <c r="HA131" s="11" t="n">
        <f aca="false">(GW131+GX131+GY131+GZ131)/4</f>
        <v>1.5</v>
      </c>
      <c r="HB131" s="9" t="n">
        <f aca="false">(GW131/GR131)</f>
        <v>0</v>
      </c>
      <c r="HC131" s="9" t="n">
        <f aca="false">(GX131/GS131)</f>
        <v>0</v>
      </c>
      <c r="HD131" s="9" t="n">
        <f aca="false">(GY131/GT131)</f>
        <v>0.222222222222222</v>
      </c>
      <c r="HE131" s="9" t="n">
        <f aca="false">(GZ131/GU131)/4</f>
        <v>0</v>
      </c>
      <c r="HF131" s="9" t="n">
        <f aca="false">(HB131+HC131+HD131+HE131)/4</f>
        <v>0.0555555555555556</v>
      </c>
      <c r="HG131" s="9" t="n">
        <f aca="false">(100*HF131)</f>
        <v>5.55555555555556</v>
      </c>
      <c r="HH131" s="18" t="n">
        <v>1</v>
      </c>
      <c r="HI131" s="9" t="n">
        <v>0</v>
      </c>
      <c r="HJ131" s="9" t="n">
        <v>4</v>
      </c>
      <c r="HK131" s="9" t="n">
        <v>6</v>
      </c>
      <c r="HL131" s="19" t="n">
        <v>0</v>
      </c>
      <c r="HM131" s="9" t="n">
        <f aca="false">(HI131+HJ131+HK131+HL131)/4</f>
        <v>2.5</v>
      </c>
      <c r="HN131" s="9" t="n">
        <f aca="false">(HI131/GR131)</f>
        <v>0</v>
      </c>
      <c r="HO131" s="9" t="n">
        <f aca="false">(HJ131/GS131)</f>
        <v>0.4</v>
      </c>
      <c r="HP131" s="9" t="n">
        <f aca="false">(HK131/GT131)</f>
        <v>0.222222222222222</v>
      </c>
      <c r="HQ131" s="9" t="n">
        <f aca="false">(HL131/GU131)</f>
        <v>0</v>
      </c>
      <c r="HR131" s="9" t="n">
        <f aca="false">(HM131/GV131)</f>
        <v>0.172413793103448</v>
      </c>
      <c r="HS131" s="9" t="n">
        <f aca="false">(100*HR131)</f>
        <v>17.2413793103448</v>
      </c>
      <c r="HT131" s="18" t="n">
        <v>2</v>
      </c>
      <c r="HU131" s="9" t="n">
        <v>3</v>
      </c>
      <c r="HV131" s="9" t="n">
        <v>0</v>
      </c>
      <c r="HW131" s="9" t="n">
        <v>0</v>
      </c>
      <c r="HX131" s="19" t="n">
        <v>7</v>
      </c>
      <c r="HY131" s="9" t="n">
        <f aca="false">(HU131+HV131+HW131+HX131)/4</f>
        <v>2.5</v>
      </c>
      <c r="HZ131" s="9" t="n">
        <f aca="false">(HU131/GR131)</f>
        <v>0.428571428571429</v>
      </c>
      <c r="IA131" s="9" t="n">
        <f aca="false">HV131/GS131</f>
        <v>0</v>
      </c>
      <c r="IB131" s="9" t="n">
        <f aca="false">(HW131/GT131)</f>
        <v>0</v>
      </c>
      <c r="IC131" s="9" t="n">
        <f aca="false">(HX131/GU131)</f>
        <v>0.5</v>
      </c>
      <c r="ID131" s="9" t="n">
        <f aca="false">(HY131/GV131)</f>
        <v>0.172413793103448</v>
      </c>
      <c r="IE131" s="9" t="n">
        <f aca="false">(100*ID131)</f>
        <v>17.2413793103448</v>
      </c>
      <c r="IF131" s="18" t="n">
        <v>2</v>
      </c>
      <c r="IG131" s="9" t="n">
        <v>5</v>
      </c>
      <c r="IH131" s="9" t="n">
        <v>0</v>
      </c>
      <c r="II131" s="19" t="n">
        <v>0</v>
      </c>
      <c r="IJ131" s="9" t="n">
        <v>7</v>
      </c>
      <c r="IK131" s="9" t="n">
        <f aca="false">(IG131+IH131+II131+IJ131)/4</f>
        <v>3</v>
      </c>
      <c r="IL131" s="9" t="n">
        <f aca="false">(IG131/GM131)</f>
        <v>0.208333333333333</v>
      </c>
      <c r="IM131" s="9" t="n">
        <f aca="false">(IH131/GN131)</f>
        <v>0</v>
      </c>
      <c r="IN131" s="9" t="n">
        <f aca="false">(II131/GO131)</f>
        <v>0</v>
      </c>
      <c r="IO131" s="9" t="n">
        <f aca="false">(IJ131/GP131)</f>
        <v>0.259259259259259</v>
      </c>
      <c r="IP131" s="9" t="n">
        <f aca="false">(IK131/GQ131)</f>
        <v>0.0952380952380952</v>
      </c>
      <c r="IQ131" s="9" t="n">
        <f aca="false">(100*IP131)</f>
        <v>9.52380952380952</v>
      </c>
      <c r="IR131" s="18" t="n">
        <v>1</v>
      </c>
      <c r="IS131" s="9" t="n">
        <v>64.7</v>
      </c>
      <c r="IT131" s="9" t="n">
        <v>70.5</v>
      </c>
      <c r="IU131" s="19" t="n">
        <v>59.9</v>
      </c>
      <c r="IV131" s="9" t="n">
        <v>43.3</v>
      </c>
      <c r="IW131" s="9" t="n">
        <f aca="false">(IS131+IT131+IU131+IV131)/4</f>
        <v>59.6</v>
      </c>
      <c r="IX131" s="16" t="n">
        <v>45210</v>
      </c>
      <c r="IY131" s="10" t="s">
        <v>268</v>
      </c>
    </row>
    <row r="132" customFormat="false" ht="15.75" hidden="false" customHeight="true" outlineLevel="0" collapsed="false">
      <c r="A132" s="9" t="s">
        <v>299</v>
      </c>
      <c r="B132" s="10" t="s">
        <v>568</v>
      </c>
      <c r="C132" s="10" t="s">
        <v>514</v>
      </c>
      <c r="D132" s="9" t="n">
        <v>4</v>
      </c>
      <c r="E132" s="9" t="n">
        <v>44</v>
      </c>
      <c r="F132" s="10" t="s">
        <v>572</v>
      </c>
      <c r="G132" s="10" t="s">
        <v>280</v>
      </c>
      <c r="H132" s="9" t="n">
        <v>21</v>
      </c>
      <c r="I132" s="9" t="n">
        <v>10</v>
      </c>
      <c r="J132" s="12" t="s">
        <v>270</v>
      </c>
      <c r="K132" s="20"/>
      <c r="L132" s="20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 t="n">
        <v>0</v>
      </c>
      <c r="Y132" s="9" t="n">
        <v>0</v>
      </c>
      <c r="Z132" s="9" t="n">
        <v>0</v>
      </c>
      <c r="AA132" s="9" t="n">
        <v>0</v>
      </c>
      <c r="AB132" s="11" t="n">
        <f aca="false">(X132+Y132+Z132+AA132)/4</f>
        <v>0</v>
      </c>
      <c r="AC132" s="9" t="n">
        <v>1</v>
      </c>
      <c r="AD132" s="9" t="n">
        <v>1</v>
      </c>
      <c r="AE132" s="9" t="n">
        <v>1</v>
      </c>
      <c r="AF132" s="9" t="n">
        <v>1</v>
      </c>
      <c r="AG132" s="11" t="n">
        <f aca="false">(AC132+AD132+AE132+AF132)/4</f>
        <v>1</v>
      </c>
      <c r="AH132" s="9" t="n">
        <v>1</v>
      </c>
      <c r="AI132" s="9" t="n">
        <v>1</v>
      </c>
      <c r="AJ132" s="9" t="n">
        <v>1</v>
      </c>
      <c r="AK132" s="9" t="n">
        <v>1</v>
      </c>
      <c r="AL132" s="11" t="n">
        <f aca="false">(AH132+AI132+AJ132+AK132)/4</f>
        <v>1</v>
      </c>
      <c r="AM132" s="9" t="n">
        <v>72</v>
      </c>
      <c r="AN132" s="9" t="n">
        <v>82</v>
      </c>
      <c r="AO132" s="9" t="n">
        <v>14</v>
      </c>
      <c r="AP132" s="9" t="n">
        <v>196</v>
      </c>
      <c r="AQ132" s="11" t="n">
        <f aca="false">(AM132+AN132+AO132+AP132)/4</f>
        <v>91</v>
      </c>
      <c r="AR132" s="9" t="n">
        <v>18</v>
      </c>
      <c r="AS132" s="9" t="n">
        <v>19</v>
      </c>
      <c r="AT132" s="9" t="n">
        <v>41</v>
      </c>
      <c r="AU132" s="9" t="n">
        <v>33</v>
      </c>
      <c r="AV132" s="11" t="n">
        <f aca="false">(AR132+AS132+AT132+AU132)/4</f>
        <v>27.75</v>
      </c>
      <c r="AW132" s="9" t="n">
        <v>0</v>
      </c>
      <c r="AX132" s="9" t="n">
        <v>0</v>
      </c>
      <c r="AY132" s="9" t="n">
        <v>0</v>
      </c>
      <c r="AZ132" s="9" t="n">
        <v>0</v>
      </c>
      <c r="BA132" s="11" t="n">
        <f aca="false">(AW132+AX132+AY132+AZ132)/4</f>
        <v>0</v>
      </c>
      <c r="BB132" s="11" t="n">
        <f aca="false">(AW132/AR132)</f>
        <v>0</v>
      </c>
      <c r="BC132" s="11" t="n">
        <f aca="false">(AX132/AS132)</f>
        <v>0</v>
      </c>
      <c r="BD132" s="11" t="n">
        <f aca="false">(AY132/AT132)</f>
        <v>0</v>
      </c>
      <c r="BE132" s="11" t="n">
        <f aca="false">(AZ132/AU132)</f>
        <v>0</v>
      </c>
      <c r="BF132" s="11" t="n">
        <f aca="false">(BA132/AV132)</f>
        <v>0</v>
      </c>
      <c r="BG132" s="11" t="n">
        <f aca="false">(BF132*100)</f>
        <v>0</v>
      </c>
      <c r="BH132" s="9" t="n">
        <v>0</v>
      </c>
      <c r="BI132" s="9" t="n">
        <v>8</v>
      </c>
      <c r="BJ132" s="9" t="n">
        <v>7</v>
      </c>
      <c r="BK132" s="9" t="n">
        <v>4</v>
      </c>
      <c r="BL132" s="9" t="n">
        <v>8</v>
      </c>
      <c r="BM132" s="11" t="n">
        <f aca="false">(BI132+BJ132+BK132+BL132)/4</f>
        <v>6.75</v>
      </c>
      <c r="BN132" s="11" t="n">
        <f aca="false">(BI132/AR132)</f>
        <v>0.444444444444444</v>
      </c>
      <c r="BO132" s="11" t="n">
        <f aca="false">(BJ132/AS132)</f>
        <v>0.368421052631579</v>
      </c>
      <c r="BP132" s="11" t="n">
        <f aca="false">(BK132/AT132)</f>
        <v>0.0975609756097561</v>
      </c>
      <c r="BQ132" s="11" t="n">
        <f aca="false">(BL132/AU132)</f>
        <v>0.242424242424242</v>
      </c>
      <c r="BR132" s="11" t="n">
        <f aca="false">(BM132/AV132)</f>
        <v>0.243243243243243</v>
      </c>
      <c r="BS132" s="11" t="n">
        <f aca="false">(100*BR132)</f>
        <v>24.3243243243243</v>
      </c>
      <c r="BT132" s="9" t="n">
        <v>2</v>
      </c>
      <c r="BU132" s="9" t="n">
        <v>0</v>
      </c>
      <c r="BV132" s="9" t="n">
        <v>0</v>
      </c>
      <c r="BW132" s="9" t="n">
        <v>0</v>
      </c>
      <c r="BX132" s="9" t="n">
        <v>0</v>
      </c>
      <c r="BY132" s="11" t="n">
        <f aca="false">(BU132+BV132+BW132+BX132)/4</f>
        <v>0</v>
      </c>
      <c r="BZ132" s="11" t="n">
        <f aca="false">(BU132/AR132)</f>
        <v>0</v>
      </c>
      <c r="CA132" s="11" t="n">
        <f aca="false">(BV132/AS132)</f>
        <v>0</v>
      </c>
      <c r="CB132" s="11" t="n">
        <f aca="false">(BW132/AT132)</f>
        <v>0</v>
      </c>
      <c r="CC132" s="11" t="n">
        <f aca="false">(BX132/AU132)</f>
        <v>0</v>
      </c>
      <c r="CD132" s="11" t="n">
        <f aca="false">(BY132/AV132)</f>
        <v>0</v>
      </c>
      <c r="CE132" s="11" t="n">
        <f aca="false">(100*CD132)</f>
        <v>0</v>
      </c>
      <c r="CF132" s="9" t="n">
        <v>0</v>
      </c>
      <c r="CG132" s="9" t="n">
        <v>19</v>
      </c>
      <c r="CH132" s="9" t="n">
        <v>20</v>
      </c>
      <c r="CI132" s="9" t="n">
        <v>3</v>
      </c>
      <c r="CJ132" s="9" t="n">
        <v>2</v>
      </c>
      <c r="CK132" s="11" t="n">
        <f aca="false">(CG132+CH132+CI132+CJ132)/4</f>
        <v>11</v>
      </c>
      <c r="CL132" s="11" t="n">
        <f aca="false">(CG132/AM132)</f>
        <v>0.263888888888889</v>
      </c>
      <c r="CM132" s="11" t="n">
        <f aca="false">(CH132/AN132)</f>
        <v>0.24390243902439</v>
      </c>
      <c r="CN132" s="11" t="n">
        <f aca="false">(CI132/AO132)</f>
        <v>0.214285714285714</v>
      </c>
      <c r="CO132" s="9" t="n">
        <f aca="false">(CJ132/AP132)</f>
        <v>0.0102040816326531</v>
      </c>
      <c r="CP132" s="9" t="n">
        <f aca="false">(CK132/AQ132)</f>
        <v>0.120879120879121</v>
      </c>
      <c r="CQ132" s="9" t="n">
        <f aca="false">(100*CP132)</f>
        <v>12.0879120879121</v>
      </c>
      <c r="CR132" s="18" t="n">
        <v>2</v>
      </c>
      <c r="CS132" s="9" t="n">
        <v>56.1</v>
      </c>
      <c r="CT132" s="9" t="n">
        <v>62.5</v>
      </c>
      <c r="CU132" s="9" t="n">
        <v>65.2</v>
      </c>
      <c r="CV132" s="9" t="n">
        <v>64.9</v>
      </c>
      <c r="CW132" s="11" t="n">
        <f aca="false">(CS132+CT132+CU132+CV132)/4</f>
        <v>62.175</v>
      </c>
      <c r="CX132" s="9" t="n">
        <v>0</v>
      </c>
      <c r="CY132" s="9" t="n">
        <v>0</v>
      </c>
      <c r="CZ132" s="9" t="n">
        <v>0</v>
      </c>
      <c r="DA132" s="9" t="n">
        <v>0</v>
      </c>
      <c r="DB132" s="11" t="n">
        <f aca="false">(CX132+CY132+CZ132+DA132)/4</f>
        <v>0</v>
      </c>
      <c r="DC132" s="9" t="n">
        <v>1</v>
      </c>
      <c r="DD132" s="9" t="n">
        <v>1</v>
      </c>
      <c r="DE132" s="9" t="n">
        <v>1</v>
      </c>
      <c r="DF132" s="9" t="n">
        <v>1</v>
      </c>
      <c r="DG132" s="11" t="n">
        <f aca="false">(DC132+DD132+DE132+DF132)/4</f>
        <v>1</v>
      </c>
      <c r="DH132" s="9" t="n">
        <v>1</v>
      </c>
      <c r="DI132" s="9" t="n">
        <v>1</v>
      </c>
      <c r="DJ132" s="9" t="n">
        <v>1</v>
      </c>
      <c r="DK132" s="9" t="n">
        <v>1</v>
      </c>
      <c r="DL132" s="11" t="n">
        <f aca="false">(DH132+DI132+DJ132+DK132)/4</f>
        <v>1</v>
      </c>
      <c r="DM132" s="9" t="n">
        <v>40</v>
      </c>
      <c r="DN132" s="9" t="n">
        <v>44</v>
      </c>
      <c r="DO132" s="9" t="n">
        <v>154</v>
      </c>
      <c r="DP132" s="9" t="n">
        <v>35</v>
      </c>
      <c r="DQ132" s="11" t="n">
        <f aca="false">(DM132+DN132+DO132+DP132)/4</f>
        <v>68.25</v>
      </c>
      <c r="DR132" s="9" t="n">
        <v>22</v>
      </c>
      <c r="DS132" s="9" t="n">
        <v>15</v>
      </c>
      <c r="DT132" s="9" t="n">
        <v>39</v>
      </c>
      <c r="DU132" s="9" t="n">
        <v>35</v>
      </c>
      <c r="DV132" s="11" t="n">
        <f aca="false">(DR132+DS132+DT132+DU132)/4</f>
        <v>27.75</v>
      </c>
      <c r="DW132" s="9" t="n">
        <v>0</v>
      </c>
      <c r="DX132" s="9" t="n">
        <v>0</v>
      </c>
      <c r="DY132" s="9" t="n">
        <v>0</v>
      </c>
      <c r="DZ132" s="9" t="n">
        <v>0</v>
      </c>
      <c r="EA132" s="11" t="n">
        <f aca="false">(DW132+DX132+DY132+DZ132)/4</f>
        <v>0</v>
      </c>
      <c r="EB132" s="11" t="n">
        <f aca="false">(DW132/DR132)</f>
        <v>0</v>
      </c>
      <c r="EC132" s="11" t="n">
        <f aca="false">(DX132/DS132)</f>
        <v>0</v>
      </c>
      <c r="ED132" s="11" t="n">
        <f aca="false">(DY132/DT132)</f>
        <v>0</v>
      </c>
      <c r="EE132" s="11" t="n">
        <f aca="false">(DZ132/DU132)</f>
        <v>0</v>
      </c>
      <c r="EF132" s="11" t="n">
        <f aca="false">(EA132/DV132)</f>
        <v>0</v>
      </c>
      <c r="EG132" s="11" t="n">
        <f aca="false">(100*EF132)</f>
        <v>0</v>
      </c>
      <c r="EH132" s="9" t="n">
        <v>0</v>
      </c>
      <c r="EI132" s="9" t="n">
        <v>8</v>
      </c>
      <c r="EJ132" s="9" t="n">
        <v>12</v>
      </c>
      <c r="EK132" s="19" t="n">
        <v>13</v>
      </c>
      <c r="EL132" s="9" t="n">
        <v>6</v>
      </c>
      <c r="EM132" s="9" t="n">
        <f aca="false">(EI132+EJ132+EK132+EL132)/4</f>
        <v>9.75</v>
      </c>
      <c r="EN132" s="9" t="n">
        <f aca="false">(EI132/DR132)</f>
        <v>0.363636363636364</v>
      </c>
      <c r="EO132" s="9" t="n">
        <f aca="false">(EJ132/DS132)</f>
        <v>0.8</v>
      </c>
      <c r="EP132" s="9" t="n">
        <f aca="false">(EK132/DT132)</f>
        <v>0.333333333333333</v>
      </c>
      <c r="EQ132" s="9" t="n">
        <f aca="false">(EL132/DU132)</f>
        <v>0.171428571428571</v>
      </c>
      <c r="ER132" s="9" t="n">
        <f aca="false">EM132/DV132</f>
        <v>0.351351351351351</v>
      </c>
      <c r="ES132" s="9" t="n">
        <f aca="false">(100*ER132)</f>
        <v>35.1351351351351</v>
      </c>
      <c r="ET132" s="9" t="n">
        <v>3</v>
      </c>
      <c r="EU132" s="18" t="n">
        <v>0</v>
      </c>
      <c r="EV132" s="9" t="n">
        <v>0</v>
      </c>
      <c r="EW132" s="9" t="n">
        <v>0</v>
      </c>
      <c r="EX132" s="9" t="n">
        <v>0</v>
      </c>
      <c r="EY132" s="11" t="n">
        <f aca="false">(EU132+EV132+EW132+EX132)/4</f>
        <v>0</v>
      </c>
      <c r="EZ132" s="11" t="n">
        <f aca="false">(EU132/DR132)</f>
        <v>0</v>
      </c>
      <c r="FA132" s="11" t="n">
        <f aca="false">(EV132/DS132)</f>
        <v>0</v>
      </c>
      <c r="FB132" s="11" t="n">
        <f aca="false">(EW132/DT132)</f>
        <v>0</v>
      </c>
      <c r="FC132" s="11" t="n">
        <f aca="false">(EX132/DU132)</f>
        <v>0</v>
      </c>
      <c r="FD132" s="11" t="n">
        <f aca="false">(EY132/DV132)</f>
        <v>0</v>
      </c>
      <c r="FE132" s="11" t="n">
        <f aca="false">(100*FD132)</f>
        <v>0</v>
      </c>
      <c r="FF132" s="9" t="n">
        <v>0</v>
      </c>
      <c r="FG132" s="9" t="n">
        <v>3</v>
      </c>
      <c r="FH132" s="9" t="n">
        <v>19</v>
      </c>
      <c r="FI132" s="9" t="n">
        <v>4</v>
      </c>
      <c r="FJ132" s="9" t="n">
        <v>14</v>
      </c>
      <c r="FK132" s="11" t="n">
        <f aca="false">(FG132+FH132+FI132+FJ132)/4</f>
        <v>10</v>
      </c>
      <c r="FL132" s="11" t="n">
        <f aca="false">(FG132/DR132)</f>
        <v>0.136363636363636</v>
      </c>
      <c r="FM132" s="11" t="n">
        <f aca="false">(FH132/DS132)</f>
        <v>1.26666666666667</v>
      </c>
      <c r="FN132" s="11" t="n">
        <f aca="false">(FI132/DT132)</f>
        <v>0.102564102564103</v>
      </c>
      <c r="FO132" s="11" t="n">
        <f aca="false">(FJ132/DU132)</f>
        <v>0.4</v>
      </c>
      <c r="FP132" s="11" t="n">
        <f aca="false">(FK132/DV132)</f>
        <v>0.36036036036036</v>
      </c>
      <c r="FQ132" s="11" t="n">
        <f aca="false">(100*FP132)</f>
        <v>36.036036036036</v>
      </c>
      <c r="FR132" s="9" t="n">
        <v>3</v>
      </c>
      <c r="FS132" s="9" t="n">
        <v>65.6</v>
      </c>
      <c r="FT132" s="9" t="n">
        <v>71.4</v>
      </c>
      <c r="FU132" s="9" t="n">
        <v>60.8</v>
      </c>
      <c r="FV132" s="9" t="n">
        <v>79.2</v>
      </c>
      <c r="FW132" s="11" t="n">
        <f aca="false">(FS132+FT132+FU132+FV132)/4</f>
        <v>69.25</v>
      </c>
      <c r="FX132" s="11" t="n">
        <v>0</v>
      </c>
      <c r="FY132" s="9" t="n">
        <v>0</v>
      </c>
      <c r="FZ132" s="9" t="n">
        <v>0</v>
      </c>
      <c r="GA132" s="9" t="n">
        <v>0</v>
      </c>
      <c r="GB132" s="11" t="n">
        <f aca="false">(FX132+FY132+FZ132+GA132)/4</f>
        <v>0</v>
      </c>
      <c r="GC132" s="9" t="n">
        <v>1</v>
      </c>
      <c r="GD132" s="9" t="n">
        <v>0</v>
      </c>
      <c r="GE132" s="9" t="n">
        <v>1</v>
      </c>
      <c r="GF132" s="9" t="n">
        <v>1</v>
      </c>
      <c r="GG132" s="11" t="n">
        <f aca="false">(GC132+GD132+GE132+GF132)/4</f>
        <v>0.75</v>
      </c>
      <c r="GH132" s="9" t="n">
        <v>1</v>
      </c>
      <c r="GI132" s="9" t="n">
        <v>0</v>
      </c>
      <c r="GJ132" s="9" t="n">
        <v>1</v>
      </c>
      <c r="GK132" s="9" t="n">
        <v>1</v>
      </c>
      <c r="GL132" s="11" t="n">
        <f aca="false">(GH132+GI132+GJ132+GK132)/4</f>
        <v>0.75</v>
      </c>
      <c r="GM132" s="9" t="n">
        <v>86</v>
      </c>
      <c r="GN132" s="9" t="n">
        <v>206</v>
      </c>
      <c r="GO132" s="9" t="n">
        <v>16</v>
      </c>
      <c r="GP132" s="9" t="n">
        <v>45</v>
      </c>
      <c r="GQ132" s="11" t="n">
        <f aca="false">(GM132+GN132+GO132+GP132)/4</f>
        <v>88.25</v>
      </c>
      <c r="GR132" s="9" t="n">
        <v>24</v>
      </c>
      <c r="GS132" s="9" t="n">
        <v>23</v>
      </c>
      <c r="GT132" s="9" t="n">
        <v>5</v>
      </c>
      <c r="GU132" s="9" t="n">
        <v>9</v>
      </c>
      <c r="GV132" s="11" t="n">
        <f aca="false">(GR132+GS132+GT132+GU132)/4</f>
        <v>15.25</v>
      </c>
      <c r="GW132" s="9" t="n">
        <v>0</v>
      </c>
      <c r="GX132" s="9" t="n">
        <v>0</v>
      </c>
      <c r="GY132" s="9" t="n">
        <v>0</v>
      </c>
      <c r="GZ132" s="9" t="n">
        <v>0</v>
      </c>
      <c r="HA132" s="11" t="n">
        <f aca="false">(GW132+GX132+GY132+GZ132)/4</f>
        <v>0</v>
      </c>
      <c r="HB132" s="9" t="n">
        <f aca="false">(GW132/GR132)</f>
        <v>0</v>
      </c>
      <c r="HC132" s="9" t="n">
        <f aca="false">(GX132/GS132)</f>
        <v>0</v>
      </c>
      <c r="HD132" s="9" t="n">
        <f aca="false">(GY132/GT132)</f>
        <v>0</v>
      </c>
      <c r="HE132" s="9" t="n">
        <f aca="false">(GZ132/GU132)/4</f>
        <v>0</v>
      </c>
      <c r="HF132" s="9" t="n">
        <f aca="false">(HB132+HC132+HD132+HE132)/4</f>
        <v>0</v>
      </c>
      <c r="HG132" s="9" t="n">
        <f aca="false">(100*HF132)</f>
        <v>0</v>
      </c>
      <c r="HH132" s="18" t="n">
        <v>0</v>
      </c>
      <c r="HI132" s="9" t="n">
        <v>20</v>
      </c>
      <c r="HJ132" s="9" t="n">
        <v>0</v>
      </c>
      <c r="HK132" s="9" t="n">
        <v>4</v>
      </c>
      <c r="HL132" s="19" t="n">
        <v>3</v>
      </c>
      <c r="HM132" s="9" t="n">
        <f aca="false">(HI132+HJ132+HK132+HL132)/4</f>
        <v>6.75</v>
      </c>
      <c r="HN132" s="9" t="n">
        <f aca="false">(HI132/GR132)</f>
        <v>0.833333333333333</v>
      </c>
      <c r="HO132" s="9" t="n">
        <f aca="false">(HJ132/GS132)</f>
        <v>0</v>
      </c>
      <c r="HP132" s="9" t="n">
        <f aca="false">(HK132/GT132)</f>
        <v>0.8</v>
      </c>
      <c r="HQ132" s="9" t="n">
        <f aca="false">(HL132/GU132)</f>
        <v>0.333333333333333</v>
      </c>
      <c r="HR132" s="9" t="n">
        <f aca="false">(HM132/GV132)</f>
        <v>0.442622950819672</v>
      </c>
      <c r="HS132" s="9" t="n">
        <f aca="false">(100*HR132)</f>
        <v>44.2622950819672</v>
      </c>
      <c r="HT132" s="18" t="n">
        <v>3</v>
      </c>
      <c r="HU132" s="9" t="n">
        <v>0</v>
      </c>
      <c r="HV132" s="9" t="n">
        <v>0</v>
      </c>
      <c r="HW132" s="9" t="n">
        <v>0</v>
      </c>
      <c r="HX132" s="19" t="n">
        <v>0</v>
      </c>
      <c r="HY132" s="9" t="n">
        <f aca="false">(HU132+HV132+HW132+HX132)/4</f>
        <v>0</v>
      </c>
      <c r="HZ132" s="9" t="n">
        <f aca="false">(HU132/GR132)</f>
        <v>0</v>
      </c>
      <c r="IA132" s="9" t="n">
        <f aca="false">HV132/GS132</f>
        <v>0</v>
      </c>
      <c r="IB132" s="9" t="n">
        <f aca="false">(HW132/GT132)</f>
        <v>0</v>
      </c>
      <c r="IC132" s="9" t="n">
        <f aca="false">(HX132/GU132)</f>
        <v>0</v>
      </c>
      <c r="ID132" s="9" t="n">
        <f aca="false">(HY132/GV132)</f>
        <v>0</v>
      </c>
      <c r="IE132" s="9" t="n">
        <f aca="false">(100*ID132)</f>
        <v>0</v>
      </c>
      <c r="IF132" s="18" t="n">
        <v>0</v>
      </c>
      <c r="IG132" s="9" t="n">
        <v>18</v>
      </c>
      <c r="IH132" s="9" t="n">
        <v>0</v>
      </c>
      <c r="II132" s="19" t="n">
        <v>12</v>
      </c>
      <c r="IJ132" s="9" t="n">
        <v>22</v>
      </c>
      <c r="IK132" s="9" t="n">
        <f aca="false">(IG132+IH132+II132+IJ132)/4</f>
        <v>13</v>
      </c>
      <c r="IL132" s="9" t="n">
        <f aca="false">(IG132/GM132)</f>
        <v>0.209302325581395</v>
      </c>
      <c r="IM132" s="9" t="n">
        <f aca="false">(IH132/GN132)</f>
        <v>0</v>
      </c>
      <c r="IN132" s="9" t="n">
        <f aca="false">(II132/GO132)</f>
        <v>0.75</v>
      </c>
      <c r="IO132" s="9" t="n">
        <f aca="false">(IJ132/GP132)</f>
        <v>0.488888888888889</v>
      </c>
      <c r="IP132" s="9" t="n">
        <f aca="false">(IK132/GQ132)</f>
        <v>0.147308781869688</v>
      </c>
      <c r="IQ132" s="9" t="n">
        <f aca="false">(100*IP132)</f>
        <v>14.7308781869688</v>
      </c>
      <c r="IR132" s="18" t="n">
        <v>2</v>
      </c>
      <c r="IS132" s="9" t="n">
        <v>58.7</v>
      </c>
      <c r="IT132" s="9"/>
      <c r="IU132" s="19" t="n">
        <v>58.7</v>
      </c>
      <c r="IV132" s="9" t="n">
        <v>66.6</v>
      </c>
      <c r="IW132" s="9" t="n">
        <f aca="false">(IS132+IT132+IU132+IV132)/4</f>
        <v>46</v>
      </c>
      <c r="IX132" s="16" t="n">
        <v>45210</v>
      </c>
      <c r="IY132" s="10" t="s">
        <v>268</v>
      </c>
    </row>
    <row r="133" customFormat="false" ht="15.75" hidden="false" customHeight="true" outlineLevel="0" collapsed="false">
      <c r="A133" s="9" t="s">
        <v>299</v>
      </c>
      <c r="B133" s="10" t="s">
        <v>568</v>
      </c>
      <c r="C133" s="10" t="s">
        <v>514</v>
      </c>
      <c r="D133" s="9" t="n">
        <v>4</v>
      </c>
      <c r="E133" s="9" t="n">
        <v>44</v>
      </c>
      <c r="F133" s="10" t="s">
        <v>573</v>
      </c>
      <c r="G133" s="10" t="s">
        <v>275</v>
      </c>
      <c r="H133" s="9" t="n">
        <v>21</v>
      </c>
      <c r="I133" s="9" t="n">
        <v>20</v>
      </c>
      <c r="J133" s="10" t="s">
        <v>272</v>
      </c>
      <c r="K133" s="20"/>
      <c r="L133" s="20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 t="n">
        <v>0</v>
      </c>
      <c r="Y133" s="9" t="n">
        <v>0</v>
      </c>
      <c r="Z133" s="9" t="n">
        <v>0</v>
      </c>
      <c r="AA133" s="9" t="n">
        <v>0</v>
      </c>
      <c r="AB133" s="11" t="n">
        <f aca="false">(X133+Y133+Z133+AA133)/4</f>
        <v>0</v>
      </c>
      <c r="AC133" s="9" t="n">
        <v>0</v>
      </c>
      <c r="AD133" s="9" t="n">
        <v>0</v>
      </c>
      <c r="AE133" s="9" t="n">
        <v>1</v>
      </c>
      <c r="AF133" s="9" t="n">
        <v>0</v>
      </c>
      <c r="AG133" s="11" t="n">
        <f aca="false">(AC133+AD133+AE133+AF133)/4</f>
        <v>0.25</v>
      </c>
      <c r="AH133" s="9" t="n">
        <v>0</v>
      </c>
      <c r="AI133" s="9" t="n">
        <v>0</v>
      </c>
      <c r="AJ133" s="9" t="n">
        <v>1</v>
      </c>
      <c r="AK133" s="9" t="n">
        <v>1</v>
      </c>
      <c r="AL133" s="11" t="n">
        <f aca="false">(AH133+AI133+AJ133+AK133)/4</f>
        <v>0.5</v>
      </c>
      <c r="AM133" s="9" t="n">
        <v>14</v>
      </c>
      <c r="AN133" s="9" t="n">
        <v>45</v>
      </c>
      <c r="AO133" s="9" t="n">
        <v>5</v>
      </c>
      <c r="AP133" s="9" t="n">
        <v>50</v>
      </c>
      <c r="AQ133" s="11" t="n">
        <f aca="false">(AM133+AN133+AO133+AP133)/4</f>
        <v>28.5</v>
      </c>
      <c r="AR133" s="9" t="n">
        <v>30</v>
      </c>
      <c r="AS133" s="9" t="n">
        <v>19</v>
      </c>
      <c r="AT133" s="9" t="n">
        <v>26</v>
      </c>
      <c r="AU133" s="9" t="n">
        <v>18</v>
      </c>
      <c r="AV133" s="11" t="n">
        <f aca="false">(AR133+AS133+AT133+AU133)/4</f>
        <v>23.25</v>
      </c>
      <c r="AW133" s="9" t="n">
        <v>0</v>
      </c>
      <c r="AX133" s="9" t="n">
        <v>0</v>
      </c>
      <c r="AY133" s="9" t="n">
        <v>0</v>
      </c>
      <c r="AZ133" s="9" t="n">
        <v>0</v>
      </c>
      <c r="BA133" s="11" t="n">
        <f aca="false">(AW133+AX133+AY133+AZ133)/4</f>
        <v>0</v>
      </c>
      <c r="BB133" s="11" t="n">
        <f aca="false">(AW133/AR133)</f>
        <v>0</v>
      </c>
      <c r="BC133" s="11" t="n">
        <f aca="false">(AX133/AS133)</f>
        <v>0</v>
      </c>
      <c r="BD133" s="11" t="n">
        <f aca="false">(AY133/AT133)</f>
        <v>0</v>
      </c>
      <c r="BE133" s="11" t="n">
        <f aca="false">(AZ133/AU133)</f>
        <v>0</v>
      </c>
      <c r="BF133" s="11" t="n">
        <f aca="false">(BA133/AV133)</f>
        <v>0</v>
      </c>
      <c r="BG133" s="11" t="n">
        <f aca="false">(BF133*100)</f>
        <v>0</v>
      </c>
      <c r="BH133" s="9" t="n">
        <v>0</v>
      </c>
      <c r="BI133" s="9" t="n">
        <v>0</v>
      </c>
      <c r="BJ133" s="9" t="n">
        <v>0</v>
      </c>
      <c r="BK133" s="9" t="n">
        <v>4</v>
      </c>
      <c r="BL133" s="9" t="n">
        <v>0</v>
      </c>
      <c r="BM133" s="11" t="n">
        <f aca="false">(BI133+BJ133+BK133+BL133)/4</f>
        <v>1</v>
      </c>
      <c r="BN133" s="11" t="n">
        <f aca="false">(BI133/AR133)</f>
        <v>0</v>
      </c>
      <c r="BO133" s="11" t="n">
        <f aca="false">(BJ133/AS133)</f>
        <v>0</v>
      </c>
      <c r="BP133" s="11" t="n">
        <f aca="false">(BK133/AT133)</f>
        <v>0.153846153846154</v>
      </c>
      <c r="BQ133" s="11" t="n">
        <f aca="false">(BL133/AU133)</f>
        <v>0</v>
      </c>
      <c r="BR133" s="11" t="n">
        <f aca="false">(BM133/AV133)</f>
        <v>0.043010752688172</v>
      </c>
      <c r="BS133" s="11" t="n">
        <f aca="false">(100*BR133)</f>
        <v>4.30107526881721</v>
      </c>
      <c r="BT133" s="9" t="n">
        <v>1</v>
      </c>
      <c r="BU133" s="9" t="n">
        <v>0</v>
      </c>
      <c r="BV133" s="9" t="n">
        <v>0</v>
      </c>
      <c r="BW133" s="9" t="n">
        <v>0</v>
      </c>
      <c r="BX133" s="9" t="n">
        <v>8</v>
      </c>
      <c r="BY133" s="11" t="n">
        <f aca="false">(BU133+BV133+BW133+BX133)/4</f>
        <v>2</v>
      </c>
      <c r="BZ133" s="11" t="n">
        <f aca="false">(BU133/AR133)</f>
        <v>0</v>
      </c>
      <c r="CA133" s="11" t="n">
        <f aca="false">(BV133/AS133)</f>
        <v>0</v>
      </c>
      <c r="CB133" s="11" t="n">
        <f aca="false">(BW133/AT133)</f>
        <v>0</v>
      </c>
      <c r="CC133" s="11" t="n">
        <f aca="false">(BX133/AU133)</f>
        <v>0.444444444444444</v>
      </c>
      <c r="CD133" s="11" t="n">
        <f aca="false">(BY133/AV133)</f>
        <v>0.0860215053763441</v>
      </c>
      <c r="CE133" s="11" t="n">
        <f aca="false">(100*CD133)</f>
        <v>8.60215053763441</v>
      </c>
      <c r="CF133" s="9" t="n">
        <v>1</v>
      </c>
      <c r="CG133" s="9" t="n">
        <v>0</v>
      </c>
      <c r="CH133" s="9" t="n">
        <v>0</v>
      </c>
      <c r="CI133" s="9" t="n">
        <v>5</v>
      </c>
      <c r="CJ133" s="9" t="n">
        <v>3</v>
      </c>
      <c r="CK133" s="11" t="n">
        <f aca="false">(CG133+CH133+CI133+CJ133)/4</f>
        <v>2</v>
      </c>
      <c r="CL133" s="11" t="n">
        <f aca="false">(CG133/AM133)</f>
        <v>0</v>
      </c>
      <c r="CM133" s="11" t="n">
        <f aca="false">(CH133/AN133)</f>
        <v>0</v>
      </c>
      <c r="CN133" s="11" t="n">
        <f aca="false">(CI133/AO133)</f>
        <v>1</v>
      </c>
      <c r="CO133" s="9" t="n">
        <f aca="false">(CJ133/AP133)</f>
        <v>0.06</v>
      </c>
      <c r="CP133" s="9" t="n">
        <f aca="false">(CK133/AQ133)</f>
        <v>0.0701754385964912</v>
      </c>
      <c r="CQ133" s="9" t="n">
        <f aca="false">(100*CP133)</f>
        <v>7.01754385964912</v>
      </c>
      <c r="CR133" s="18" t="n">
        <v>1</v>
      </c>
      <c r="CS133" s="9" t="n">
        <v>59.7</v>
      </c>
      <c r="CT133" s="9" t="n">
        <v>67.3</v>
      </c>
      <c r="CU133" s="9" t="n">
        <v>67.7</v>
      </c>
      <c r="CV133" s="9" t="n">
        <v>75.3</v>
      </c>
      <c r="CW133" s="11" t="n">
        <f aca="false">(CS133+CT133+CU133+CV133)/4</f>
        <v>67.5</v>
      </c>
      <c r="CX133" s="9" t="n">
        <v>0</v>
      </c>
      <c r="CY133" s="9" t="n">
        <v>0</v>
      </c>
      <c r="CZ133" s="9" t="n">
        <v>0</v>
      </c>
      <c r="DA133" s="9" t="n">
        <v>0</v>
      </c>
      <c r="DB133" s="11" t="n">
        <f aca="false">(CX133+CY133+CZ133+DA133)/4</f>
        <v>0</v>
      </c>
      <c r="DC133" s="9" t="n">
        <v>0</v>
      </c>
      <c r="DD133" s="9" t="n">
        <v>0</v>
      </c>
      <c r="DE133" s="9" t="n">
        <v>1</v>
      </c>
      <c r="DF133" s="9" t="n">
        <v>1</v>
      </c>
      <c r="DG133" s="11" t="n">
        <f aca="false">(DC133+DD133+DE133+DF133)/4</f>
        <v>0.5</v>
      </c>
      <c r="DH133" s="9" t="n">
        <v>1</v>
      </c>
      <c r="DI133" s="9" t="n">
        <v>1</v>
      </c>
      <c r="DJ133" s="9" t="n">
        <v>1</v>
      </c>
      <c r="DK133" s="9" t="n">
        <v>1</v>
      </c>
      <c r="DL133" s="11" t="n">
        <f aca="false">(DH133+DI133+DJ133+DK133)/4</f>
        <v>1</v>
      </c>
      <c r="DM133" s="9" t="n">
        <v>62</v>
      </c>
      <c r="DN133" s="9" t="n">
        <v>60</v>
      </c>
      <c r="DO133" s="9" t="n">
        <v>25</v>
      </c>
      <c r="DP133" s="9" t="n">
        <v>6</v>
      </c>
      <c r="DQ133" s="11" t="n">
        <f aca="false">(DM133+DN133+DO133+DP133)/4</f>
        <v>38.25</v>
      </c>
      <c r="DR133" s="9" t="n">
        <v>20</v>
      </c>
      <c r="DS133" s="9" t="n">
        <v>13</v>
      </c>
      <c r="DT133" s="9" t="n">
        <v>13</v>
      </c>
      <c r="DU133" s="9" t="n">
        <v>18</v>
      </c>
      <c r="DV133" s="11" t="n">
        <f aca="false">(DR133+DS133+DT133+DU133)/4</f>
        <v>16</v>
      </c>
      <c r="DW133" s="9" t="n">
        <v>0</v>
      </c>
      <c r="DX133" s="9" t="n">
        <v>0</v>
      </c>
      <c r="DY133" s="9" t="n">
        <v>0</v>
      </c>
      <c r="DZ133" s="9" t="n">
        <v>0</v>
      </c>
      <c r="EA133" s="11" t="n">
        <f aca="false">(DW133+DX133+DY133+DZ133)/4</f>
        <v>0</v>
      </c>
      <c r="EB133" s="11" t="n">
        <f aca="false">(DW133/DR133)</f>
        <v>0</v>
      </c>
      <c r="EC133" s="11" t="n">
        <f aca="false">(DX133/DS133)</f>
        <v>0</v>
      </c>
      <c r="ED133" s="11" t="n">
        <f aca="false">(DY133/DT133)</f>
        <v>0</v>
      </c>
      <c r="EE133" s="11" t="n">
        <f aca="false">(DZ133/DU133)</f>
        <v>0</v>
      </c>
      <c r="EF133" s="11" t="n">
        <f aca="false">(EA133/DV133)</f>
        <v>0</v>
      </c>
      <c r="EG133" s="11" t="n">
        <f aca="false">(100*EF133)</f>
        <v>0</v>
      </c>
      <c r="EH133" s="9" t="n">
        <v>0</v>
      </c>
      <c r="EI133" s="9" t="n">
        <v>0</v>
      </c>
      <c r="EJ133" s="9" t="n">
        <v>0</v>
      </c>
      <c r="EK133" s="19" t="n">
        <v>2</v>
      </c>
      <c r="EL133" s="9" t="n">
        <v>3</v>
      </c>
      <c r="EM133" s="9" t="n">
        <f aca="false">(EI133+EJ133+EK133+EL133)/4</f>
        <v>1.25</v>
      </c>
      <c r="EN133" s="9" t="n">
        <f aca="false">(EI133/DR133)</f>
        <v>0</v>
      </c>
      <c r="EO133" s="9" t="n">
        <f aca="false">(EJ133/DS133)</f>
        <v>0</v>
      </c>
      <c r="EP133" s="9" t="n">
        <f aca="false">(EK133/DT133)</f>
        <v>0.153846153846154</v>
      </c>
      <c r="EQ133" s="9" t="n">
        <f aca="false">(EL133/DU133)</f>
        <v>0.166666666666667</v>
      </c>
      <c r="ER133" s="9" t="n">
        <f aca="false">EM133/DV133</f>
        <v>0.078125</v>
      </c>
      <c r="ES133" s="9" t="n">
        <f aca="false">(100*ER133)</f>
        <v>7.8125</v>
      </c>
      <c r="ET133" s="9" t="n">
        <v>1</v>
      </c>
      <c r="EU133" s="18" t="n">
        <v>4</v>
      </c>
      <c r="EV133" s="9" t="n">
        <v>6</v>
      </c>
      <c r="EW133" s="9" t="n">
        <v>3</v>
      </c>
      <c r="EX133" s="9" t="n">
        <v>4</v>
      </c>
      <c r="EY133" s="11" t="n">
        <f aca="false">(EU133+EV133+EW133+EX133)/4</f>
        <v>4.25</v>
      </c>
      <c r="EZ133" s="11" t="n">
        <f aca="false">(EU133/DR133)</f>
        <v>0.2</v>
      </c>
      <c r="FA133" s="11" t="n">
        <f aca="false">(EV133/DS133)</f>
        <v>0.461538461538462</v>
      </c>
      <c r="FB133" s="11" t="n">
        <f aca="false">(EW133/DT133)</f>
        <v>0.230769230769231</v>
      </c>
      <c r="FC133" s="11" t="n">
        <f aca="false">(EX133/DU133)</f>
        <v>0.222222222222222</v>
      </c>
      <c r="FD133" s="11" t="n">
        <f aca="false">(EY133/DV133)</f>
        <v>0.265625</v>
      </c>
      <c r="FE133" s="11" t="n">
        <f aca="false">(100*FD133)</f>
        <v>26.5625</v>
      </c>
      <c r="FF133" s="9" t="n">
        <v>2</v>
      </c>
      <c r="FG133" s="9" t="n">
        <v>8</v>
      </c>
      <c r="FH133" s="9" t="n">
        <v>4</v>
      </c>
      <c r="FI133" s="9" t="n">
        <v>0</v>
      </c>
      <c r="FJ133" s="9" t="n">
        <v>0</v>
      </c>
      <c r="FK133" s="11" t="n">
        <f aca="false">(FG133+FH133+FI133+FJ133)/4</f>
        <v>3</v>
      </c>
      <c r="FL133" s="11" t="n">
        <f aca="false">(FG133/DR133)</f>
        <v>0.4</v>
      </c>
      <c r="FM133" s="11" t="n">
        <f aca="false">(FH133/DS133)</f>
        <v>0.307692307692308</v>
      </c>
      <c r="FN133" s="11" t="n">
        <f aca="false">(FI133/DT133)</f>
        <v>0</v>
      </c>
      <c r="FO133" s="11" t="n">
        <f aca="false">(FJ133/DU133)</f>
        <v>0</v>
      </c>
      <c r="FP133" s="11" t="n">
        <f aca="false">(FK133/DV133)</f>
        <v>0.1875</v>
      </c>
      <c r="FQ133" s="11" t="n">
        <f aca="false">(100*FP133)</f>
        <v>18.75</v>
      </c>
      <c r="FR133" s="9" t="n">
        <v>2</v>
      </c>
      <c r="FS133" s="9" t="n">
        <v>53.6</v>
      </c>
      <c r="FT133" s="9" t="n">
        <v>70.4</v>
      </c>
      <c r="FU133" s="9" t="n">
        <v>67.3</v>
      </c>
      <c r="FV133" s="9" t="n">
        <v>82</v>
      </c>
      <c r="FW133" s="11" t="n">
        <f aca="false">(FS133+FT133+FU133+FV133)/4</f>
        <v>68.325</v>
      </c>
      <c r="FX133" s="9" t="n">
        <v>0</v>
      </c>
      <c r="FY133" s="9" t="n">
        <v>0</v>
      </c>
      <c r="FZ133" s="9" t="n">
        <v>0</v>
      </c>
      <c r="GA133" s="9" t="n">
        <v>0</v>
      </c>
      <c r="GB133" s="11" t="n">
        <f aca="false">(FX133+FY133+FZ133+GA133)/4</f>
        <v>0</v>
      </c>
      <c r="GC133" s="9" t="n">
        <v>0</v>
      </c>
      <c r="GD133" s="9" t="n">
        <v>0</v>
      </c>
      <c r="GE133" s="9" t="n">
        <v>0</v>
      </c>
      <c r="GF133" s="9" t="n">
        <v>1</v>
      </c>
      <c r="GG133" s="11" t="n">
        <f aca="false">(GC133+GD133+GE133+GF133)/4</f>
        <v>0.25</v>
      </c>
      <c r="GH133" s="9" t="n">
        <v>1</v>
      </c>
      <c r="GI133" s="9" t="n">
        <v>1</v>
      </c>
      <c r="GJ133" s="9" t="n">
        <v>1</v>
      </c>
      <c r="GK133" s="9" t="n">
        <v>1</v>
      </c>
      <c r="GL133" s="11" t="n">
        <f aca="false">(GH133+GI133+GJ133+GK133)/4</f>
        <v>1</v>
      </c>
      <c r="GM133" s="9" t="n">
        <v>15</v>
      </c>
      <c r="GN133" s="9" t="n">
        <v>36</v>
      </c>
      <c r="GO133" s="9" t="n">
        <v>30</v>
      </c>
      <c r="GP133" s="9" t="n">
        <v>50</v>
      </c>
      <c r="GQ133" s="11" t="n">
        <f aca="false">(GM133+GN133+GO133+GP133)/4</f>
        <v>32.75</v>
      </c>
      <c r="GR133" s="9" t="n">
        <v>13</v>
      </c>
      <c r="GS133" s="9" t="n">
        <v>46</v>
      </c>
      <c r="GT133" s="9" t="n">
        <v>21</v>
      </c>
      <c r="GU133" s="9" t="n">
        <v>13</v>
      </c>
      <c r="GV133" s="11" t="n">
        <f aca="false">(GR133+GS133+GT133+GU133)/4</f>
        <v>23.25</v>
      </c>
      <c r="GW133" s="9" t="n">
        <v>0</v>
      </c>
      <c r="GX133" s="9" t="n">
        <v>0</v>
      </c>
      <c r="GY133" s="9" t="n">
        <v>0</v>
      </c>
      <c r="GZ133" s="9" t="n">
        <v>0</v>
      </c>
      <c r="HA133" s="11" t="n">
        <f aca="false">(GW133+GX133+GY133+GZ133)/4</f>
        <v>0</v>
      </c>
      <c r="HB133" s="9" t="n">
        <f aca="false">(GW133/GR133)</f>
        <v>0</v>
      </c>
      <c r="HC133" s="9" t="n">
        <f aca="false">(GX133/GS133)</f>
        <v>0</v>
      </c>
      <c r="HD133" s="9" t="n">
        <f aca="false">(GY133/GT133)</f>
        <v>0</v>
      </c>
      <c r="HE133" s="9" t="n">
        <f aca="false">(GZ133/GU133)/4</f>
        <v>0</v>
      </c>
      <c r="HF133" s="9" t="n">
        <f aca="false">(HB133+HC133+HD133+HE133)/4</f>
        <v>0</v>
      </c>
      <c r="HG133" s="9" t="n">
        <f aca="false">(100*HF133)</f>
        <v>0</v>
      </c>
      <c r="HH133" s="18" t="n">
        <v>0</v>
      </c>
      <c r="HI133" s="11" t="n">
        <v>0</v>
      </c>
      <c r="HJ133" s="11" t="n">
        <v>0</v>
      </c>
      <c r="HK133" s="11" t="n">
        <v>0</v>
      </c>
      <c r="HL133" s="11" t="n">
        <v>1</v>
      </c>
      <c r="HM133" s="9" t="n">
        <f aca="false">(HI133+HJ133+HK133+HL133)/4</f>
        <v>0.25</v>
      </c>
      <c r="HN133" s="9" t="n">
        <f aca="false">(HI133/GR133)</f>
        <v>0</v>
      </c>
      <c r="HO133" s="9" t="n">
        <f aca="false">(HJ133/GS133)</f>
        <v>0</v>
      </c>
      <c r="HP133" s="9" t="n">
        <f aca="false">(HK133/GT133)</f>
        <v>0</v>
      </c>
      <c r="HQ133" s="9" t="n">
        <f aca="false">(HL133/GU133)</f>
        <v>0.0769230769230769</v>
      </c>
      <c r="HR133" s="9" t="n">
        <f aca="false">(HM133/GV133)</f>
        <v>0.010752688172043</v>
      </c>
      <c r="HS133" s="9" t="n">
        <f aca="false">(100*HR133)</f>
        <v>1.0752688172043</v>
      </c>
      <c r="HT133" s="11" t="n">
        <v>1</v>
      </c>
      <c r="HU133" s="9" t="n">
        <v>4</v>
      </c>
      <c r="HV133" s="9" t="n">
        <v>6</v>
      </c>
      <c r="HW133" s="9" t="n">
        <v>8</v>
      </c>
      <c r="HX133" s="19" t="n">
        <v>1</v>
      </c>
      <c r="HY133" s="9" t="n">
        <f aca="false">(HU133+HV133+HW133+HX133)/4</f>
        <v>4.75</v>
      </c>
      <c r="HZ133" s="9" t="n">
        <f aca="false">(HU133/GR133)</f>
        <v>0.307692307692308</v>
      </c>
      <c r="IA133" s="9" t="n">
        <f aca="false">HV133/GS133</f>
        <v>0.130434782608696</v>
      </c>
      <c r="IB133" s="9" t="n">
        <f aca="false">(HW133/GT133)</f>
        <v>0.380952380952381</v>
      </c>
      <c r="IC133" s="9" t="n">
        <f aca="false">(HX133/GU133)</f>
        <v>0.0769230769230769</v>
      </c>
      <c r="ID133" s="9" t="n">
        <f aca="false">(HY133/GV133)</f>
        <v>0.204301075268817</v>
      </c>
      <c r="IE133" s="9" t="n">
        <f aca="false">(100*ID133)</f>
        <v>20.4301075268817</v>
      </c>
      <c r="IF133" s="18" t="n">
        <v>2</v>
      </c>
      <c r="IG133" s="9" t="n">
        <v>7</v>
      </c>
      <c r="IH133" s="9" t="n">
        <v>10</v>
      </c>
      <c r="II133" s="19" t="n">
        <v>4</v>
      </c>
      <c r="IJ133" s="9" t="n">
        <v>22</v>
      </c>
      <c r="IK133" s="9" t="n">
        <f aca="false">(IG133+IH133+II133+IJ133)/4</f>
        <v>10.75</v>
      </c>
      <c r="IL133" s="9" t="n">
        <f aca="false">(IG133/GM133)</f>
        <v>0.466666666666667</v>
      </c>
      <c r="IM133" s="9" t="n">
        <f aca="false">(IH133/GN133)</f>
        <v>0.277777777777778</v>
      </c>
      <c r="IN133" s="9" t="n">
        <f aca="false">(II133/GO133)</f>
        <v>0.133333333333333</v>
      </c>
      <c r="IO133" s="9" t="n">
        <f aca="false">(IJ133/GP133)</f>
        <v>0.44</v>
      </c>
      <c r="IP133" s="9" t="n">
        <f aca="false">(IK133/GQ133)</f>
        <v>0.32824427480916</v>
      </c>
      <c r="IQ133" s="9" t="n">
        <f aca="false">(100*IP133)</f>
        <v>32.824427480916</v>
      </c>
      <c r="IR133" s="18" t="n">
        <v>3</v>
      </c>
      <c r="IS133" s="9" t="n">
        <v>56.2</v>
      </c>
      <c r="IT133" s="9" t="n">
        <v>78.7</v>
      </c>
      <c r="IU133" s="19" t="n">
        <v>70.5</v>
      </c>
      <c r="IV133" s="9" t="n">
        <v>50.2</v>
      </c>
      <c r="IW133" s="9" t="n">
        <f aca="false">(IS133+IT133+IU133+IV133)/4</f>
        <v>63.9</v>
      </c>
      <c r="IX133" s="16" t="n">
        <v>45210</v>
      </c>
      <c r="IY133" s="10" t="s">
        <v>268</v>
      </c>
    </row>
    <row r="134" customFormat="false" ht="15.75" hidden="false" customHeight="true" outlineLevel="0" collapsed="false">
      <c r="A134" s="9" t="s">
        <v>343</v>
      </c>
      <c r="B134" s="10" t="s">
        <v>574</v>
      </c>
      <c r="C134" s="10" t="s">
        <v>514</v>
      </c>
      <c r="D134" s="9" t="n">
        <v>1</v>
      </c>
      <c r="E134" s="9" t="n">
        <v>45</v>
      </c>
      <c r="F134" s="10" t="s">
        <v>575</v>
      </c>
      <c r="G134" s="11" t="s">
        <v>263</v>
      </c>
      <c r="H134" s="9" t="n">
        <v>21</v>
      </c>
      <c r="I134" s="9" t="n">
        <v>3</v>
      </c>
      <c r="J134" s="12" t="s">
        <v>264</v>
      </c>
      <c r="K134" s="13" t="s">
        <v>576</v>
      </c>
      <c r="L134" s="13" t="s">
        <v>577</v>
      </c>
      <c r="M134" s="14" t="n">
        <v>1288</v>
      </c>
      <c r="N134" s="15" t="n">
        <v>45135</v>
      </c>
      <c r="O134" s="10" t="s">
        <v>267</v>
      </c>
      <c r="P134" s="9"/>
      <c r="Q134" s="9" t="n">
        <v>55.35</v>
      </c>
      <c r="R134" s="9" t="n">
        <v>8</v>
      </c>
      <c r="S134" s="9" t="n">
        <v>-20</v>
      </c>
      <c r="T134" s="9" t="n">
        <v>60</v>
      </c>
      <c r="U134" s="9"/>
      <c r="V134" s="9"/>
      <c r="W134" s="9" t="s">
        <v>578</v>
      </c>
      <c r="X134" s="9" t="n">
        <v>0</v>
      </c>
      <c r="Y134" s="9" t="n">
        <v>1</v>
      </c>
      <c r="Z134" s="9" t="n">
        <v>0</v>
      </c>
      <c r="AA134" s="9" t="n">
        <v>0</v>
      </c>
      <c r="AB134" s="11" t="n">
        <f aca="false">(X134+Y134+Z134+AA134)/4</f>
        <v>0.25</v>
      </c>
      <c r="AC134" s="9" t="n">
        <v>1</v>
      </c>
      <c r="AD134" s="9" t="n">
        <v>1</v>
      </c>
      <c r="AE134" s="9" t="n">
        <v>1</v>
      </c>
      <c r="AF134" s="9" t="n">
        <v>1</v>
      </c>
      <c r="AG134" s="11" t="n">
        <f aca="false">(AC134+AD134+AE134+AF134)/4</f>
        <v>1</v>
      </c>
      <c r="AH134" s="9" t="n">
        <v>1</v>
      </c>
      <c r="AI134" s="9" t="n">
        <v>1</v>
      </c>
      <c r="AJ134" s="9" t="n">
        <v>0</v>
      </c>
      <c r="AK134" s="9" t="n">
        <v>1</v>
      </c>
      <c r="AL134" s="11" t="n">
        <f aca="false">(AH134+AI134+AJ134+AK134)/4</f>
        <v>0.75</v>
      </c>
      <c r="AM134" s="9" t="n">
        <v>34</v>
      </c>
      <c r="AN134" s="9" t="n">
        <v>68</v>
      </c>
      <c r="AO134" s="9" t="n">
        <v>15</v>
      </c>
      <c r="AP134" s="9" t="n">
        <v>8</v>
      </c>
      <c r="AQ134" s="11" t="n">
        <f aca="false">(AM134+AN134+AO134+AP134)/4</f>
        <v>31.25</v>
      </c>
      <c r="AR134" s="9" t="n">
        <v>10</v>
      </c>
      <c r="AS134" s="9" t="n">
        <v>10</v>
      </c>
      <c r="AT134" s="9" t="n">
        <v>9</v>
      </c>
      <c r="AU134" s="9" t="n">
        <v>7</v>
      </c>
      <c r="AV134" s="11" t="n">
        <f aca="false">(AR134+AS134+AT134+AU134)/4</f>
        <v>9</v>
      </c>
      <c r="AW134" s="9" t="n">
        <v>0</v>
      </c>
      <c r="AX134" s="9" t="n">
        <v>2</v>
      </c>
      <c r="AY134" s="9" t="n">
        <v>0</v>
      </c>
      <c r="AZ134" s="9" t="n">
        <v>0</v>
      </c>
      <c r="BA134" s="11" t="n">
        <f aca="false">(AW134+AX134+AY134+AZ134)/4</f>
        <v>0.5</v>
      </c>
      <c r="BB134" s="11" t="n">
        <f aca="false">(AW134/AR134)</f>
        <v>0</v>
      </c>
      <c r="BC134" s="11" t="n">
        <f aca="false">(AX134/AS134)</f>
        <v>0.2</v>
      </c>
      <c r="BD134" s="11" t="n">
        <f aca="false">(AY134/AT134)</f>
        <v>0</v>
      </c>
      <c r="BE134" s="11" t="n">
        <f aca="false">(AZ134/AU134)</f>
        <v>0</v>
      </c>
      <c r="BF134" s="11" t="n">
        <f aca="false">(BA134/AV134)</f>
        <v>0.0555555555555556</v>
      </c>
      <c r="BG134" s="11" t="n">
        <f aca="false">(BF134*100)</f>
        <v>5.55555555555556</v>
      </c>
      <c r="BH134" s="9" t="n">
        <v>1</v>
      </c>
      <c r="BI134" s="9" t="n">
        <v>7</v>
      </c>
      <c r="BJ134" s="9" t="n">
        <v>8</v>
      </c>
      <c r="BK134" s="9" t="n">
        <v>3</v>
      </c>
      <c r="BL134" s="9" t="n">
        <v>6</v>
      </c>
      <c r="BM134" s="11" t="n">
        <f aca="false">(BI134+BJ134+BK134+BL134)/4</f>
        <v>6</v>
      </c>
      <c r="BN134" s="11" t="n">
        <f aca="false">(BI134/AR134)</f>
        <v>0.7</v>
      </c>
      <c r="BO134" s="11" t="n">
        <f aca="false">(BJ134/AS134)</f>
        <v>0.8</v>
      </c>
      <c r="BP134" s="11" t="n">
        <f aca="false">(BK134/AT134)</f>
        <v>0.333333333333333</v>
      </c>
      <c r="BQ134" s="11" t="n">
        <f aca="false">(BL134/AU134)</f>
        <v>0.857142857142857</v>
      </c>
      <c r="BR134" s="11" t="n">
        <f aca="false">(BM134/AV134)</f>
        <v>0.666666666666667</v>
      </c>
      <c r="BS134" s="11" t="n">
        <f aca="false">(100*BR134)</f>
        <v>66.6666666666667</v>
      </c>
      <c r="BT134" s="9" t="n">
        <v>3</v>
      </c>
      <c r="BU134" s="9" t="n">
        <v>0</v>
      </c>
      <c r="BV134" s="9" t="n">
        <v>2</v>
      </c>
      <c r="BW134" s="9" t="n">
        <v>0</v>
      </c>
      <c r="BX134" s="9" t="n">
        <v>1</v>
      </c>
      <c r="BY134" s="11" t="n">
        <f aca="false">(BU134+BV134+BW134+BX134)/4</f>
        <v>0.75</v>
      </c>
      <c r="BZ134" s="11" t="n">
        <f aca="false">(BU134/AR134)</f>
        <v>0</v>
      </c>
      <c r="CA134" s="11" t="n">
        <f aca="false">(BV134/AS134)</f>
        <v>0.2</v>
      </c>
      <c r="CB134" s="11" t="n">
        <f aca="false">(BW134/AT134)</f>
        <v>0</v>
      </c>
      <c r="CC134" s="11" t="n">
        <f aca="false">(BX134/AU134)</f>
        <v>0.142857142857143</v>
      </c>
      <c r="CD134" s="11" t="n">
        <f aca="false">(BY134/AV134)</f>
        <v>0.0833333333333333</v>
      </c>
      <c r="CE134" s="11" t="n">
        <f aca="false">(100*CD134)</f>
        <v>8.33333333333333</v>
      </c>
      <c r="CF134" s="9" t="n">
        <v>1</v>
      </c>
      <c r="CG134" s="9" t="n">
        <v>3</v>
      </c>
      <c r="CH134" s="9" t="n">
        <v>17</v>
      </c>
      <c r="CI134" s="9" t="n">
        <v>0</v>
      </c>
      <c r="CJ134" s="9" t="n">
        <v>3</v>
      </c>
      <c r="CK134" s="11" t="n">
        <f aca="false">(CG134+CH134+CI134+CJ134)/4</f>
        <v>5.75</v>
      </c>
      <c r="CL134" s="11" t="n">
        <f aca="false">(CG134/AM134)</f>
        <v>0.0882352941176471</v>
      </c>
      <c r="CM134" s="11" t="n">
        <f aca="false">(CH134/AN134)</f>
        <v>0.25</v>
      </c>
      <c r="CN134" s="11" t="n">
        <f aca="false">(CI134/AO134)</f>
        <v>0</v>
      </c>
      <c r="CO134" s="9" t="n">
        <f aca="false">(CJ134/AP134)</f>
        <v>0.375</v>
      </c>
      <c r="CP134" s="9" t="n">
        <f aca="false">(CK134/AQ134)</f>
        <v>0.184</v>
      </c>
      <c r="CQ134" s="9" t="n">
        <f aca="false">(100*CP134)</f>
        <v>18.4</v>
      </c>
      <c r="CR134" s="18" t="n">
        <v>2</v>
      </c>
      <c r="CS134" s="9" t="n">
        <v>53.2</v>
      </c>
      <c r="CT134" s="9" t="n">
        <v>64.1</v>
      </c>
      <c r="CU134" s="9" t="n">
        <v>66.5</v>
      </c>
      <c r="CV134" s="9" t="n">
        <v>50.2</v>
      </c>
      <c r="CW134" s="11" t="n">
        <f aca="false">(CS134+CT134+CU134+CV134)/4</f>
        <v>58.5</v>
      </c>
      <c r="CX134" s="9" t="n">
        <v>0</v>
      </c>
      <c r="CY134" s="9" t="n">
        <v>0</v>
      </c>
      <c r="CZ134" s="9" t="n">
        <v>0</v>
      </c>
      <c r="DA134" s="9" t="n">
        <v>0</v>
      </c>
      <c r="DB134" s="11" t="n">
        <f aca="false">(CX134+CY134+CZ134+DA134)/4</f>
        <v>0</v>
      </c>
      <c r="DC134" s="9" t="n">
        <v>1</v>
      </c>
      <c r="DD134" s="9" t="n">
        <v>1</v>
      </c>
      <c r="DE134" s="9" t="n">
        <v>1</v>
      </c>
      <c r="DF134" s="9" t="n">
        <v>1</v>
      </c>
      <c r="DG134" s="11" t="n">
        <f aca="false">(DC134+DD134+DE134+DF134)/4</f>
        <v>1</v>
      </c>
      <c r="DH134" s="9" t="n">
        <v>1</v>
      </c>
      <c r="DI134" s="9" t="n">
        <v>1</v>
      </c>
      <c r="DJ134" s="9" t="n">
        <v>1</v>
      </c>
      <c r="DK134" s="9" t="n">
        <v>1</v>
      </c>
      <c r="DL134" s="11" t="n">
        <f aca="false">(DH134+DI134+DJ134+DK134)/4</f>
        <v>1</v>
      </c>
      <c r="DM134" s="9" t="n">
        <v>4</v>
      </c>
      <c r="DN134" s="9" t="n">
        <v>5</v>
      </c>
      <c r="DO134" s="9" t="n">
        <v>3</v>
      </c>
      <c r="DP134" s="9" t="n">
        <v>26</v>
      </c>
      <c r="DQ134" s="11" t="n">
        <f aca="false">(DM134+DN134+DO134+DP134)/4</f>
        <v>9.5</v>
      </c>
      <c r="DR134" s="9" t="n">
        <v>16</v>
      </c>
      <c r="DS134" s="9" t="n">
        <v>9</v>
      </c>
      <c r="DT134" s="9" t="n">
        <v>12</v>
      </c>
      <c r="DU134" s="9" t="n">
        <v>5</v>
      </c>
      <c r="DV134" s="11" t="n">
        <f aca="false">(DR134+DS134+DT134+DU134)/4</f>
        <v>10.5</v>
      </c>
      <c r="DW134" s="9" t="n">
        <v>0</v>
      </c>
      <c r="DX134" s="9" t="n">
        <v>0</v>
      </c>
      <c r="DY134" s="9" t="n">
        <v>0</v>
      </c>
      <c r="DZ134" s="9" t="n">
        <v>0</v>
      </c>
      <c r="EA134" s="11" t="n">
        <f aca="false">(DW134+DX134+DY134+DZ134)/4</f>
        <v>0</v>
      </c>
      <c r="EB134" s="11" t="n">
        <f aca="false">(DW134/DR134)</f>
        <v>0</v>
      </c>
      <c r="EC134" s="11" t="n">
        <f aca="false">(DX134/DS134)</f>
        <v>0</v>
      </c>
      <c r="ED134" s="11" t="n">
        <f aca="false">(DY134/DT134)</f>
        <v>0</v>
      </c>
      <c r="EE134" s="11" t="n">
        <f aca="false">(DZ134/DU134)</f>
        <v>0</v>
      </c>
      <c r="EF134" s="11" t="n">
        <f aca="false">(EA134/DV134)</f>
        <v>0</v>
      </c>
      <c r="EG134" s="11" t="n">
        <f aca="false">(100*EF134)</f>
        <v>0</v>
      </c>
      <c r="EH134" s="9" t="n">
        <v>0</v>
      </c>
      <c r="EI134" s="9" t="n">
        <v>3</v>
      </c>
      <c r="EJ134" s="9" t="n">
        <v>3</v>
      </c>
      <c r="EK134" s="19" t="n">
        <v>1</v>
      </c>
      <c r="EL134" s="9" t="n">
        <v>2</v>
      </c>
      <c r="EM134" s="9" t="n">
        <f aca="false">(EI134+EJ134+EK134+EL134)/4</f>
        <v>2.25</v>
      </c>
      <c r="EN134" s="9" t="n">
        <f aca="false">(EI134/DR134)</f>
        <v>0.1875</v>
      </c>
      <c r="EO134" s="9" t="n">
        <f aca="false">(EJ134/DS134)</f>
        <v>0.333333333333333</v>
      </c>
      <c r="EP134" s="9" t="n">
        <f aca="false">(EK134/DT134)</f>
        <v>0.0833333333333333</v>
      </c>
      <c r="EQ134" s="9" t="n">
        <f aca="false">(EL134/DU134)</f>
        <v>0.4</v>
      </c>
      <c r="ER134" s="9" t="n">
        <f aca="false">EM134/DV134</f>
        <v>0.214285714285714</v>
      </c>
      <c r="ES134" s="9" t="n">
        <f aca="false">(100*ER134)</f>
        <v>21.4285714285714</v>
      </c>
      <c r="ET134" s="9" t="n">
        <v>2</v>
      </c>
      <c r="EU134" s="18" t="n">
        <v>2</v>
      </c>
      <c r="EV134" s="9" t="n">
        <v>2</v>
      </c>
      <c r="EW134" s="9" t="n">
        <v>3</v>
      </c>
      <c r="EX134" s="9" t="n">
        <v>0</v>
      </c>
      <c r="EY134" s="11" t="n">
        <f aca="false">(EU134+EV134+EW134+EX134)/4</f>
        <v>1.75</v>
      </c>
      <c r="EZ134" s="11" t="n">
        <f aca="false">(EU134/DR134)</f>
        <v>0.125</v>
      </c>
      <c r="FA134" s="11" t="n">
        <f aca="false">(EV134/DS134)</f>
        <v>0.222222222222222</v>
      </c>
      <c r="FB134" s="11" t="n">
        <f aca="false">(EW134/DT134)</f>
        <v>0.25</v>
      </c>
      <c r="FC134" s="11" t="n">
        <f aca="false">(EX134/DU134)</f>
        <v>0</v>
      </c>
      <c r="FD134" s="11" t="n">
        <f aca="false">(EY134/DV134)</f>
        <v>0.166666666666667</v>
      </c>
      <c r="FE134" s="11" t="n">
        <f aca="false">(100*FD134)</f>
        <v>16.6666666666667</v>
      </c>
      <c r="FF134" s="9" t="n">
        <v>2</v>
      </c>
      <c r="FG134" s="9" t="n">
        <v>3</v>
      </c>
      <c r="FH134" s="9" t="n">
        <v>3</v>
      </c>
      <c r="FI134" s="9" t="n">
        <v>0</v>
      </c>
      <c r="FJ134" s="9" t="n">
        <v>1</v>
      </c>
      <c r="FK134" s="11" t="n">
        <f aca="false">(FG134+FH134+FI134+FJ134)/4</f>
        <v>1.75</v>
      </c>
      <c r="FL134" s="11" t="n">
        <f aca="false">(FG134/DR134)</f>
        <v>0.1875</v>
      </c>
      <c r="FM134" s="11" t="n">
        <f aca="false">(FH134/DS134)</f>
        <v>0.333333333333333</v>
      </c>
      <c r="FN134" s="11" t="n">
        <f aca="false">(FI134/DT134)</f>
        <v>0</v>
      </c>
      <c r="FO134" s="11" t="n">
        <f aca="false">(FJ134/DU134)</f>
        <v>0.2</v>
      </c>
      <c r="FP134" s="11" t="n">
        <f aca="false">(FK134/DV134)</f>
        <v>0.166666666666667</v>
      </c>
      <c r="FQ134" s="11" t="n">
        <f aca="false">(100*FP134)</f>
        <v>16.6666666666667</v>
      </c>
      <c r="FR134" s="9" t="n">
        <v>2</v>
      </c>
      <c r="FS134" s="9" t="n">
        <v>59.1</v>
      </c>
      <c r="FT134" s="9" t="n">
        <v>52.3</v>
      </c>
      <c r="FU134" s="9" t="n">
        <v>42.1</v>
      </c>
      <c r="FV134" s="9" t="n">
        <v>42.1</v>
      </c>
      <c r="FW134" s="11" t="n">
        <f aca="false">(FS134+FT134+FU134+FV134)/4</f>
        <v>48.9</v>
      </c>
      <c r="FX134" s="9" t="n">
        <v>1</v>
      </c>
      <c r="FY134" s="9" t="n">
        <v>0</v>
      </c>
      <c r="FZ134" s="9" t="n">
        <v>0</v>
      </c>
      <c r="GA134" s="9" t="n">
        <v>1</v>
      </c>
      <c r="GB134" s="11" t="n">
        <f aca="false">(FX134+FY134+FZ134+GA134)/4</f>
        <v>0.5</v>
      </c>
      <c r="GC134" s="9" t="n">
        <v>1</v>
      </c>
      <c r="GD134" s="9" t="n">
        <v>1</v>
      </c>
      <c r="GE134" s="9" t="n">
        <v>1</v>
      </c>
      <c r="GF134" s="9" t="n">
        <v>1</v>
      </c>
      <c r="GG134" s="11" t="n">
        <f aca="false">(GC134+GD134+GE134+GF134)/4</f>
        <v>1</v>
      </c>
      <c r="GH134" s="9" t="n">
        <v>1</v>
      </c>
      <c r="GI134" s="9" t="n">
        <v>1</v>
      </c>
      <c r="GJ134" s="9" t="n">
        <v>1</v>
      </c>
      <c r="GK134" s="9" t="n">
        <v>0</v>
      </c>
      <c r="GL134" s="11" t="n">
        <f aca="false">(GH134+GI134+GJ134+GK134)/4</f>
        <v>0.75</v>
      </c>
      <c r="GM134" s="9" t="n">
        <v>40</v>
      </c>
      <c r="GN134" s="9" t="n">
        <v>22</v>
      </c>
      <c r="GO134" s="9" t="n">
        <v>35</v>
      </c>
      <c r="GP134" s="9" t="n">
        <v>43</v>
      </c>
      <c r="GQ134" s="11" t="n">
        <f aca="false">(GM134+GN134+GO134+GP134)/4</f>
        <v>35</v>
      </c>
      <c r="GR134" s="9" t="n">
        <v>10</v>
      </c>
      <c r="GS134" s="9" t="n">
        <v>11</v>
      </c>
      <c r="GT134" s="9" t="n">
        <v>1</v>
      </c>
      <c r="GU134" s="9" t="n">
        <v>12</v>
      </c>
      <c r="GV134" s="11" t="n">
        <f aca="false">(GR134+GS134+GT134+GU134)/4</f>
        <v>8.5</v>
      </c>
      <c r="GW134" s="9" t="n">
        <v>1</v>
      </c>
      <c r="GX134" s="9" t="n">
        <v>0</v>
      </c>
      <c r="GY134" s="9" t="n">
        <v>0</v>
      </c>
      <c r="GZ134" s="9" t="n">
        <v>11</v>
      </c>
      <c r="HA134" s="11" t="n">
        <f aca="false">(GW134+GX134+GY134+GZ134)/4</f>
        <v>3</v>
      </c>
      <c r="HB134" s="9" t="n">
        <f aca="false">(GW134/GR134)</f>
        <v>0.1</v>
      </c>
      <c r="HC134" s="9" t="n">
        <f aca="false">(GX134/GS134)</f>
        <v>0</v>
      </c>
      <c r="HD134" s="9" t="n">
        <f aca="false">(GY134/GT134)</f>
        <v>0</v>
      </c>
      <c r="HE134" s="9" t="n">
        <f aca="false">(GZ134/GU134)/4</f>
        <v>0.229166666666667</v>
      </c>
      <c r="HF134" s="9" t="n">
        <f aca="false">(HB134+HC134+HD134+HE134)/4</f>
        <v>0.0822916666666667</v>
      </c>
      <c r="HG134" s="9" t="n">
        <f aca="false">(100*HF134)</f>
        <v>8.22916666666667</v>
      </c>
      <c r="HH134" s="18"/>
      <c r="HI134" s="9" t="n">
        <v>5</v>
      </c>
      <c r="HJ134" s="9" t="n">
        <v>5</v>
      </c>
      <c r="HK134" s="9" t="n">
        <v>0</v>
      </c>
      <c r="HL134" s="19" t="n">
        <v>2</v>
      </c>
      <c r="HM134" s="9" t="n">
        <f aca="false">(HI134+HJ134+HK134+HL134)/4</f>
        <v>3</v>
      </c>
      <c r="HN134" s="9" t="n">
        <f aca="false">(HI134/GR134)</f>
        <v>0.5</v>
      </c>
      <c r="HO134" s="9" t="n">
        <f aca="false">(HJ134/GS134)</f>
        <v>0.454545454545455</v>
      </c>
      <c r="HP134" s="9" t="n">
        <f aca="false">(HK134/GT134)</f>
        <v>0</v>
      </c>
      <c r="HQ134" s="9" t="n">
        <f aca="false">(HL134/GU134)</f>
        <v>0.166666666666667</v>
      </c>
      <c r="HR134" s="9" t="n">
        <f aca="false">(HM134/GV134)</f>
        <v>0.352941176470588</v>
      </c>
      <c r="HS134" s="9" t="n">
        <f aca="false">(100*HR134)</f>
        <v>35.2941176470588</v>
      </c>
      <c r="HT134" s="18" t="n">
        <v>3</v>
      </c>
      <c r="HU134" s="9" t="n">
        <v>6</v>
      </c>
      <c r="HV134" s="9" t="n">
        <v>2</v>
      </c>
      <c r="HW134" s="9" t="n">
        <v>0</v>
      </c>
      <c r="HX134" s="19" t="n">
        <v>0</v>
      </c>
      <c r="HY134" s="9" t="n">
        <f aca="false">(HU134+HV134+HW134+HX134)/4</f>
        <v>2</v>
      </c>
      <c r="HZ134" s="9" t="n">
        <f aca="false">(HU134/GR134)</f>
        <v>0.6</v>
      </c>
      <c r="IA134" s="9" t="n">
        <f aca="false">HV134/GS134</f>
        <v>0.181818181818182</v>
      </c>
      <c r="IB134" s="9" t="n">
        <f aca="false">(HW134/GT134)</f>
        <v>0</v>
      </c>
      <c r="IC134" s="9" t="n">
        <f aca="false">(HX134/GU134)</f>
        <v>0</v>
      </c>
      <c r="ID134" s="9" t="n">
        <f aca="false">(HY134/GV134)</f>
        <v>0.235294117647059</v>
      </c>
      <c r="IE134" s="9" t="n">
        <f aca="false">(100*ID134)</f>
        <v>23.5294117647059</v>
      </c>
      <c r="IF134" s="18" t="n">
        <v>2</v>
      </c>
      <c r="IG134" s="9" t="n">
        <v>0</v>
      </c>
      <c r="IH134" s="9" t="n">
        <v>1</v>
      </c>
      <c r="II134" s="19" t="n">
        <v>2</v>
      </c>
      <c r="IJ134" s="9" t="n">
        <v>0</v>
      </c>
      <c r="IK134" s="9" t="n">
        <f aca="false">(IG134+IH134+II134+IJ134)/4</f>
        <v>0.75</v>
      </c>
      <c r="IL134" s="9" t="n">
        <f aca="false">(IG134/GM134)</f>
        <v>0</v>
      </c>
      <c r="IM134" s="9" t="n">
        <f aca="false">(IH134/GN134)</f>
        <v>0.0454545454545455</v>
      </c>
      <c r="IN134" s="9" t="n">
        <f aca="false">(II134/GO134)</f>
        <v>0.0571428571428571</v>
      </c>
      <c r="IO134" s="9" t="n">
        <f aca="false">(IJ134/GP134)</f>
        <v>0</v>
      </c>
      <c r="IP134" s="9" t="n">
        <f aca="false">(IK134/GQ134)</f>
        <v>0.0214285714285714</v>
      </c>
      <c r="IQ134" s="9" t="n">
        <f aca="false">(100*IP134)</f>
        <v>2.14285714285714</v>
      </c>
      <c r="IR134" s="18" t="n">
        <v>1</v>
      </c>
      <c r="IS134" s="9" t="n">
        <v>58.2</v>
      </c>
      <c r="IT134" s="9" t="n">
        <v>59.4</v>
      </c>
      <c r="IU134" s="19" t="n">
        <v>59.3</v>
      </c>
      <c r="IV134" s="9" t="n">
        <v>59.2</v>
      </c>
      <c r="IW134" s="9" t="n">
        <f aca="false">(IS134+IT134+IU134+IV134)/4</f>
        <v>59.025</v>
      </c>
      <c r="IX134" s="16" t="n">
        <v>45241</v>
      </c>
      <c r="IY134" s="10" t="s">
        <v>268</v>
      </c>
    </row>
    <row r="135" customFormat="false" ht="15.75" hidden="false" customHeight="true" outlineLevel="0" collapsed="false">
      <c r="A135" s="9" t="s">
        <v>343</v>
      </c>
      <c r="B135" s="10" t="s">
        <v>574</v>
      </c>
      <c r="C135" s="10" t="s">
        <v>514</v>
      </c>
      <c r="D135" s="9" t="n">
        <v>1</v>
      </c>
      <c r="E135" s="9" t="n">
        <v>45</v>
      </c>
      <c r="F135" s="10" t="s">
        <v>579</v>
      </c>
      <c r="G135" s="11" t="s">
        <v>263</v>
      </c>
      <c r="H135" s="9" t="n">
        <v>21</v>
      </c>
      <c r="I135" s="9" t="n">
        <v>10</v>
      </c>
      <c r="J135" s="12" t="s">
        <v>270</v>
      </c>
      <c r="K135" s="20"/>
      <c r="L135" s="20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 t="n">
        <v>0</v>
      </c>
      <c r="Y135" s="9" t="n">
        <v>0</v>
      </c>
      <c r="Z135" s="9" t="n">
        <v>0</v>
      </c>
      <c r="AA135" s="9" t="n">
        <v>1</v>
      </c>
      <c r="AB135" s="11" t="n">
        <f aca="false">(X135+Y135+Z135+AA135)/4</f>
        <v>0.25</v>
      </c>
      <c r="AC135" s="9" t="n">
        <v>1</v>
      </c>
      <c r="AD135" s="9" t="n">
        <v>1</v>
      </c>
      <c r="AE135" s="9" t="n">
        <v>1</v>
      </c>
      <c r="AF135" s="9" t="n">
        <v>0</v>
      </c>
      <c r="AG135" s="11" t="n">
        <f aca="false">(AC135+AD135+AE135+AF135)/4</f>
        <v>0.75</v>
      </c>
      <c r="AH135" s="9" t="n">
        <v>1</v>
      </c>
      <c r="AI135" s="9" t="n">
        <v>1</v>
      </c>
      <c r="AJ135" s="9" t="n">
        <v>1</v>
      </c>
      <c r="AK135" s="9" t="n">
        <v>1</v>
      </c>
      <c r="AL135" s="11" t="n">
        <f aca="false">(AH135+AI135+AJ135+AK135)/4</f>
        <v>1</v>
      </c>
      <c r="AM135" s="9" t="n">
        <v>18</v>
      </c>
      <c r="AN135" s="9" t="n">
        <v>3</v>
      </c>
      <c r="AO135" s="9" t="n">
        <v>20</v>
      </c>
      <c r="AP135" s="9" t="n">
        <v>76</v>
      </c>
      <c r="AQ135" s="11" t="n">
        <f aca="false">(AM135+AN135+AO135+AP135)/4</f>
        <v>29.25</v>
      </c>
      <c r="AR135" s="9" t="n">
        <v>6</v>
      </c>
      <c r="AS135" s="9" t="n">
        <v>24</v>
      </c>
      <c r="AT135" s="9" t="n">
        <v>6</v>
      </c>
      <c r="AU135" s="9" t="n">
        <v>8</v>
      </c>
      <c r="AV135" s="11" t="n">
        <f aca="false">(AR135+AS135+AT135+AU135)/4</f>
        <v>11</v>
      </c>
      <c r="AW135" s="9" t="n">
        <v>0</v>
      </c>
      <c r="AX135" s="9" t="n">
        <v>0</v>
      </c>
      <c r="AY135" s="9" t="n">
        <v>0</v>
      </c>
      <c r="AZ135" s="9" t="n">
        <v>4</v>
      </c>
      <c r="BA135" s="11" t="n">
        <f aca="false">(AW135+AX135+AY135+AZ135)/4</f>
        <v>1</v>
      </c>
      <c r="BB135" s="11" t="n">
        <f aca="false">(AW135/AR135)</f>
        <v>0</v>
      </c>
      <c r="BC135" s="11" t="n">
        <f aca="false">(AX135/AS135)</f>
        <v>0</v>
      </c>
      <c r="BD135" s="11" t="n">
        <f aca="false">(AY135/AT135)</f>
        <v>0</v>
      </c>
      <c r="BE135" s="11" t="n">
        <f aca="false">(AZ135/AU135)</f>
        <v>0.5</v>
      </c>
      <c r="BF135" s="11" t="n">
        <f aca="false">(BA135/AV135)</f>
        <v>0.0909090909090909</v>
      </c>
      <c r="BG135" s="11" t="n">
        <f aca="false">(BF135*100)</f>
        <v>9.09090909090909</v>
      </c>
      <c r="BH135" s="9" t="n">
        <v>2</v>
      </c>
      <c r="BI135" s="9" t="n">
        <v>2</v>
      </c>
      <c r="BJ135" s="9" t="n">
        <v>1</v>
      </c>
      <c r="BK135" s="9" t="n">
        <v>2</v>
      </c>
      <c r="BL135" s="9" t="n">
        <v>0</v>
      </c>
      <c r="BM135" s="11" t="n">
        <f aca="false">(BI135+BJ135+BK135+BL135)/4</f>
        <v>1.25</v>
      </c>
      <c r="BN135" s="11" t="n">
        <f aca="false">(BI135/AR135)</f>
        <v>0.333333333333333</v>
      </c>
      <c r="BO135" s="11" t="n">
        <f aca="false">(BJ135/AS135)</f>
        <v>0.0416666666666667</v>
      </c>
      <c r="BP135" s="11" t="n">
        <f aca="false">(BK135/AT135)</f>
        <v>0.333333333333333</v>
      </c>
      <c r="BQ135" s="11" t="n">
        <f aca="false">(BL135/AU135)</f>
        <v>0</v>
      </c>
      <c r="BR135" s="11" t="n">
        <f aca="false">(BM135/AV135)</f>
        <v>0.113636363636364</v>
      </c>
      <c r="BS135" s="11" t="n">
        <f aca="false">(100*BR135)</f>
        <v>11.3636363636364</v>
      </c>
      <c r="BT135" s="9" t="n">
        <v>2</v>
      </c>
      <c r="BU135" s="9" t="n">
        <v>0</v>
      </c>
      <c r="BV135" s="9" t="n">
        <v>1</v>
      </c>
      <c r="BW135" s="9" t="n">
        <v>3</v>
      </c>
      <c r="BX135" s="9" t="n">
        <v>1</v>
      </c>
      <c r="BY135" s="11" t="n">
        <f aca="false">(BU135+BV135+BW135+BX135)/4</f>
        <v>1.25</v>
      </c>
      <c r="BZ135" s="11" t="n">
        <f aca="false">(BU135/AR135)</f>
        <v>0</v>
      </c>
      <c r="CA135" s="11" t="n">
        <f aca="false">(BV135/AS135)</f>
        <v>0.0416666666666667</v>
      </c>
      <c r="CB135" s="11" t="n">
        <f aca="false">(BW135/AT135)</f>
        <v>0.5</v>
      </c>
      <c r="CC135" s="11" t="n">
        <f aca="false">(BX135/AU135)</f>
        <v>0.125</v>
      </c>
      <c r="CD135" s="11" t="n">
        <f aca="false">(BY135/AV135)</f>
        <v>0.113636363636364</v>
      </c>
      <c r="CE135" s="11" t="n">
        <f aca="false">(100*CD135)</f>
        <v>11.3636363636364</v>
      </c>
      <c r="CF135" s="9" t="n">
        <v>2</v>
      </c>
      <c r="CG135" s="9" t="n">
        <v>2</v>
      </c>
      <c r="CH135" s="9" t="n">
        <v>2</v>
      </c>
      <c r="CI135" s="9" t="n">
        <v>0</v>
      </c>
      <c r="CJ135" s="9" t="n">
        <v>1</v>
      </c>
      <c r="CK135" s="11" t="n">
        <f aca="false">(CG135+CH135+CI135+CJ135)/4</f>
        <v>1.25</v>
      </c>
      <c r="CL135" s="11" t="n">
        <f aca="false">(CG135/AM135)</f>
        <v>0.111111111111111</v>
      </c>
      <c r="CM135" s="11" t="n">
        <f aca="false">(CH135/AN135)</f>
        <v>0.666666666666667</v>
      </c>
      <c r="CN135" s="11" t="n">
        <f aca="false">(CI135/AO135)</f>
        <v>0</v>
      </c>
      <c r="CO135" s="9" t="n">
        <f aca="false">(CJ135/AP135)</f>
        <v>0.0131578947368421</v>
      </c>
      <c r="CP135" s="9" t="n">
        <f aca="false">(CK135/AQ135)</f>
        <v>0.0427350427350427</v>
      </c>
      <c r="CQ135" s="9" t="n">
        <f aca="false">(100*CP135)</f>
        <v>4.27350427350427</v>
      </c>
      <c r="CR135" s="18" t="n">
        <v>1</v>
      </c>
      <c r="CS135" s="9" t="n">
        <v>50</v>
      </c>
      <c r="CT135" s="9" t="n">
        <v>77.7</v>
      </c>
      <c r="CU135" s="9" t="n">
        <v>80.6</v>
      </c>
      <c r="CV135" s="9" t="n">
        <v>59.4</v>
      </c>
      <c r="CW135" s="11" t="n">
        <f aca="false">(CS135+CT135+CU135+CV135)/4</f>
        <v>66.925</v>
      </c>
      <c r="CX135" s="9" t="n">
        <v>0</v>
      </c>
      <c r="CY135" s="9" t="n">
        <v>0</v>
      </c>
      <c r="CZ135" s="9" t="n">
        <v>0</v>
      </c>
      <c r="DA135" s="9" t="n">
        <v>1</v>
      </c>
      <c r="DB135" s="11" t="n">
        <f aca="false">(CX135+CY135+CZ135+DA135)/4</f>
        <v>0.25</v>
      </c>
      <c r="DC135" s="9" t="n">
        <v>1</v>
      </c>
      <c r="DD135" s="9" t="n">
        <v>1</v>
      </c>
      <c r="DE135" s="9" t="n">
        <v>1</v>
      </c>
      <c r="DF135" s="9" t="n">
        <v>1</v>
      </c>
      <c r="DG135" s="11" t="n">
        <f aca="false">(DC135+DD135+DE135+DF135)/4</f>
        <v>1</v>
      </c>
      <c r="DH135" s="9" t="n">
        <v>1</v>
      </c>
      <c r="DI135" s="9" t="n">
        <v>1</v>
      </c>
      <c r="DJ135" s="9" t="n">
        <v>1</v>
      </c>
      <c r="DK135" s="9" t="n">
        <v>0</v>
      </c>
      <c r="DL135" s="11" t="n">
        <f aca="false">(DH135+DI135+DJ135+DK135)/4</f>
        <v>0.75</v>
      </c>
      <c r="DM135" s="9" t="n">
        <v>11</v>
      </c>
      <c r="DN135" s="9" t="n">
        <v>21</v>
      </c>
      <c r="DO135" s="9" t="n">
        <v>34</v>
      </c>
      <c r="DP135" s="9" t="n">
        <v>4</v>
      </c>
      <c r="DQ135" s="11" t="n">
        <f aca="false">(DM135+DN135+DO135+DP135)/4</f>
        <v>17.5</v>
      </c>
      <c r="DR135" s="9" t="n">
        <v>6</v>
      </c>
      <c r="DS135" s="9" t="n">
        <v>4</v>
      </c>
      <c r="DT135" s="9" t="n">
        <v>7</v>
      </c>
      <c r="DU135" s="9" t="n">
        <v>2</v>
      </c>
      <c r="DV135" s="11" t="n">
        <f aca="false">(DR135+DS135+DT135+DU135)/4</f>
        <v>4.75</v>
      </c>
      <c r="DW135" s="9" t="n">
        <v>0</v>
      </c>
      <c r="DX135" s="9" t="n">
        <v>0</v>
      </c>
      <c r="DY135" s="9" t="n">
        <v>0</v>
      </c>
      <c r="DZ135" s="9" t="n">
        <v>1</v>
      </c>
      <c r="EA135" s="11" t="n">
        <f aca="false">(DW135+DX135+DY135+DZ135)/4</f>
        <v>0.25</v>
      </c>
      <c r="EB135" s="11" t="n">
        <f aca="false">(DW135/DR135)</f>
        <v>0</v>
      </c>
      <c r="EC135" s="11" t="n">
        <f aca="false">(DX135/DS135)</f>
        <v>0</v>
      </c>
      <c r="ED135" s="11" t="n">
        <f aca="false">(DY135/DT135)</f>
        <v>0</v>
      </c>
      <c r="EE135" s="11" t="n">
        <f aca="false">(DZ135/DU135)</f>
        <v>0.5</v>
      </c>
      <c r="EF135" s="11" t="n">
        <f aca="false">(EA135/DV135)</f>
        <v>0.0526315789473684</v>
      </c>
      <c r="EG135" s="11" t="n">
        <f aca="false">(100*EF135)</f>
        <v>5.26315789473684</v>
      </c>
      <c r="EH135" s="9" t="n">
        <v>1</v>
      </c>
      <c r="EI135" s="9" t="n">
        <v>4</v>
      </c>
      <c r="EJ135" s="9" t="n">
        <v>2</v>
      </c>
      <c r="EK135" s="19" t="n">
        <v>4</v>
      </c>
      <c r="EL135" s="9" t="n">
        <v>1</v>
      </c>
      <c r="EM135" s="9" t="n">
        <f aca="false">(EI135+EJ135+EK135+EL135)/4</f>
        <v>2.75</v>
      </c>
      <c r="EN135" s="9" t="n">
        <f aca="false">(EI135/DR135)</f>
        <v>0.666666666666667</v>
      </c>
      <c r="EO135" s="9" t="n">
        <f aca="false">(EJ135/DS135)</f>
        <v>0.5</v>
      </c>
      <c r="EP135" s="9" t="n">
        <f aca="false">(EK135/DT135)</f>
        <v>0.571428571428571</v>
      </c>
      <c r="EQ135" s="9" t="n">
        <f aca="false">(EL135/DU135)</f>
        <v>0.5</v>
      </c>
      <c r="ER135" s="9" t="n">
        <f aca="false">EM135/DV135</f>
        <v>0.578947368421053</v>
      </c>
      <c r="ES135" s="9" t="n">
        <f aca="false">(100*ER135)</f>
        <v>57.8947368421053</v>
      </c>
      <c r="ET135" s="9" t="n">
        <v>3</v>
      </c>
      <c r="EU135" s="18" t="n">
        <v>1</v>
      </c>
      <c r="EV135" s="9" t="n">
        <v>1</v>
      </c>
      <c r="EW135" s="9" t="n">
        <v>2</v>
      </c>
      <c r="EX135" s="9" t="n">
        <v>0</v>
      </c>
      <c r="EY135" s="11" t="n">
        <f aca="false">(EU135+EV135+EW135+EX135)/4</f>
        <v>1</v>
      </c>
      <c r="EZ135" s="11" t="n">
        <f aca="false">(EU135/DR135)</f>
        <v>0.166666666666667</v>
      </c>
      <c r="FA135" s="11" t="n">
        <f aca="false">(EV135/DS135)</f>
        <v>0.25</v>
      </c>
      <c r="FB135" s="11" t="n">
        <f aca="false">(EW135/DT135)</f>
        <v>0.285714285714286</v>
      </c>
      <c r="FC135" s="11" t="n">
        <f aca="false">(EX135/DU135)</f>
        <v>0</v>
      </c>
      <c r="FD135" s="11" t="n">
        <f aca="false">(EY135/DV135)</f>
        <v>0.210526315789474</v>
      </c>
      <c r="FE135" s="11" t="n">
        <f aca="false">(100*FD135)</f>
        <v>21.0526315789474</v>
      </c>
      <c r="FF135" s="9" t="n">
        <v>2</v>
      </c>
      <c r="FG135" s="9" t="n">
        <v>2</v>
      </c>
      <c r="FH135" s="9" t="n">
        <v>2</v>
      </c>
      <c r="FI135" s="9" t="n">
        <v>1</v>
      </c>
      <c r="FJ135" s="9" t="n">
        <v>0</v>
      </c>
      <c r="FK135" s="11" t="n">
        <f aca="false">(FG135+FH135+FI135+FJ135)/4</f>
        <v>1.25</v>
      </c>
      <c r="FL135" s="11" t="n">
        <f aca="false">(FG135/DR135)</f>
        <v>0.333333333333333</v>
      </c>
      <c r="FM135" s="11" t="n">
        <f aca="false">(FH135/DS135)</f>
        <v>0.5</v>
      </c>
      <c r="FN135" s="11" t="n">
        <f aca="false">(FI135/DT135)</f>
        <v>0.142857142857143</v>
      </c>
      <c r="FO135" s="11" t="n">
        <f aca="false">(FJ135/DU135)</f>
        <v>0</v>
      </c>
      <c r="FP135" s="11" t="n">
        <f aca="false">(FK135/DV135)</f>
        <v>0.263157894736842</v>
      </c>
      <c r="FQ135" s="11" t="n">
        <f aca="false">(100*FP135)</f>
        <v>26.3157894736842</v>
      </c>
      <c r="FR135" s="9" t="n">
        <v>2</v>
      </c>
      <c r="FS135" s="9" t="n">
        <v>60.2</v>
      </c>
      <c r="FT135" s="9" t="n">
        <v>50.1</v>
      </c>
      <c r="FU135" s="9" t="n">
        <v>46.2</v>
      </c>
      <c r="FV135" s="9" t="n">
        <v>74.2</v>
      </c>
      <c r="FW135" s="11" t="n">
        <f aca="false">(FS135+FT135+FU135+FV135)/4</f>
        <v>57.675</v>
      </c>
      <c r="FX135" s="9" t="n">
        <v>0</v>
      </c>
      <c r="FY135" s="9" t="n">
        <v>0</v>
      </c>
      <c r="FZ135" s="9" t="n">
        <v>0</v>
      </c>
      <c r="GA135" s="9" t="n">
        <v>0</v>
      </c>
      <c r="GB135" s="11" t="n">
        <f aca="false">(FX135+FY135+FZ135+GA135)/4</f>
        <v>0</v>
      </c>
      <c r="GC135" s="9" t="n">
        <v>1</v>
      </c>
      <c r="GD135" s="9" t="n">
        <v>1</v>
      </c>
      <c r="GE135" s="9" t="n">
        <v>1</v>
      </c>
      <c r="GF135" s="9" t="n">
        <v>1</v>
      </c>
      <c r="GG135" s="11" t="n">
        <f aca="false">(GC135+GD135+GE135+GF135)/4</f>
        <v>1</v>
      </c>
      <c r="GH135" s="9" t="n">
        <v>1</v>
      </c>
      <c r="GI135" s="9" t="n">
        <v>1</v>
      </c>
      <c r="GJ135" s="9" t="n">
        <v>1</v>
      </c>
      <c r="GK135" s="9" t="n">
        <v>1</v>
      </c>
      <c r="GL135" s="11" t="n">
        <f aca="false">(GH135+GI135+GJ135+GK135)/4</f>
        <v>1</v>
      </c>
      <c r="GM135" s="9" t="n">
        <v>36</v>
      </c>
      <c r="GN135" s="9" t="n">
        <v>14</v>
      </c>
      <c r="GO135" s="9" t="n">
        <v>6</v>
      </c>
      <c r="GP135" s="9" t="n">
        <v>4</v>
      </c>
      <c r="GQ135" s="11" t="n">
        <f aca="false">(GM135+GN135+GO135+GP135)/4</f>
        <v>15</v>
      </c>
      <c r="GR135" s="9" t="n">
        <v>13</v>
      </c>
      <c r="GS135" s="9" t="n">
        <v>7</v>
      </c>
      <c r="GT135" s="9" t="n">
        <v>9</v>
      </c>
      <c r="GU135" s="9" t="n">
        <v>2</v>
      </c>
      <c r="GV135" s="11" t="n">
        <f aca="false">(GR135+GS135+GT135+GU135)/4</f>
        <v>7.75</v>
      </c>
      <c r="GW135" s="9" t="n">
        <v>0</v>
      </c>
      <c r="GX135" s="9" t="n">
        <v>0</v>
      </c>
      <c r="GY135" s="9" t="n">
        <v>0</v>
      </c>
      <c r="GZ135" s="9" t="n">
        <v>0</v>
      </c>
      <c r="HA135" s="11" t="n">
        <f aca="false">(GW135+GX135+GY135+GZ135)/4</f>
        <v>0</v>
      </c>
      <c r="HB135" s="9" t="n">
        <f aca="false">(GW135/GR135)</f>
        <v>0</v>
      </c>
      <c r="HC135" s="9" t="n">
        <f aca="false">(GX135/GS135)</f>
        <v>0</v>
      </c>
      <c r="HD135" s="9" t="n">
        <f aca="false">(GY135/GT135)</f>
        <v>0</v>
      </c>
      <c r="HE135" s="9" t="n">
        <f aca="false">(GZ135/GU135)/4</f>
        <v>0</v>
      </c>
      <c r="HF135" s="9" t="n">
        <f aca="false">(HB135+HC135+HD135+HE135)/4</f>
        <v>0</v>
      </c>
      <c r="HG135" s="9" t="n">
        <f aca="false">(100*HF135)</f>
        <v>0</v>
      </c>
      <c r="HH135" s="18"/>
      <c r="HI135" s="9" t="n">
        <v>10</v>
      </c>
      <c r="HJ135" s="9" t="n">
        <v>1</v>
      </c>
      <c r="HK135" s="9" t="n">
        <v>2</v>
      </c>
      <c r="HL135" s="19" t="n">
        <v>0</v>
      </c>
      <c r="HM135" s="9" t="n">
        <f aca="false">(HI135+HJ135+HK135+HL135)/4</f>
        <v>3.25</v>
      </c>
      <c r="HN135" s="9" t="n">
        <f aca="false">(HI135/GR135)</f>
        <v>0.769230769230769</v>
      </c>
      <c r="HO135" s="9" t="n">
        <f aca="false">(HJ135/GS135)</f>
        <v>0.142857142857143</v>
      </c>
      <c r="HP135" s="9" t="n">
        <f aca="false">(HK135/GT135)</f>
        <v>0.222222222222222</v>
      </c>
      <c r="HQ135" s="9" t="n">
        <f aca="false">(HL135/GU135)</f>
        <v>0</v>
      </c>
      <c r="HR135" s="9" t="n">
        <f aca="false">(HM135/GV135)</f>
        <v>0.419354838709677</v>
      </c>
      <c r="HS135" s="9" t="n">
        <f aca="false">(100*HR135)</f>
        <v>41.9354838709677</v>
      </c>
      <c r="HT135" s="18" t="n">
        <v>3</v>
      </c>
      <c r="HU135" s="9" t="n">
        <v>1</v>
      </c>
      <c r="HV135" s="9" t="n">
        <v>0</v>
      </c>
      <c r="HW135" s="9" t="n">
        <v>1</v>
      </c>
      <c r="HX135" s="19" t="n">
        <v>2</v>
      </c>
      <c r="HY135" s="9" t="n">
        <f aca="false">(HU135+HV135+HW135+HX135)/4</f>
        <v>1</v>
      </c>
      <c r="HZ135" s="9" t="n">
        <f aca="false">(HU135/GR135)</f>
        <v>0.0769230769230769</v>
      </c>
      <c r="IA135" s="9" t="n">
        <f aca="false">HV135/GS135</f>
        <v>0</v>
      </c>
      <c r="IB135" s="9" t="n">
        <f aca="false">(HW135/GT135)</f>
        <v>0.111111111111111</v>
      </c>
      <c r="IC135" s="9" t="n">
        <f aca="false">(HX135/GU135)</f>
        <v>1</v>
      </c>
      <c r="ID135" s="9" t="n">
        <f aca="false">(HY135/GV135)</f>
        <v>0.129032258064516</v>
      </c>
      <c r="IE135" s="9" t="n">
        <f aca="false">(100*ID135)</f>
        <v>12.9032258064516</v>
      </c>
      <c r="IF135" s="18" t="n">
        <v>2</v>
      </c>
      <c r="IG135" s="9" t="n">
        <v>2</v>
      </c>
      <c r="IH135" s="9" t="n">
        <v>2</v>
      </c>
      <c r="II135" s="19" t="n">
        <v>1</v>
      </c>
      <c r="IJ135" s="9" t="n">
        <v>2</v>
      </c>
      <c r="IK135" s="9" t="n">
        <f aca="false">(IG135+IH135+II135+IJ135)/4</f>
        <v>1.75</v>
      </c>
      <c r="IL135" s="9" t="n">
        <f aca="false">(IG135/GM135)</f>
        <v>0.0555555555555556</v>
      </c>
      <c r="IM135" s="9" t="n">
        <f aca="false">(IH135/GN135)</f>
        <v>0.142857142857143</v>
      </c>
      <c r="IN135" s="9" t="n">
        <f aca="false">(II135/GO135)</f>
        <v>0.166666666666667</v>
      </c>
      <c r="IO135" s="9" t="n">
        <f aca="false">(IJ135/GP135)</f>
        <v>0.5</v>
      </c>
      <c r="IP135" s="9" t="n">
        <f aca="false">(IK135/GQ135)</f>
        <v>0.116666666666667</v>
      </c>
      <c r="IQ135" s="9" t="n">
        <f aca="false">(100*IP135)</f>
        <v>11.6666666666667</v>
      </c>
      <c r="IR135" s="18" t="n">
        <v>2</v>
      </c>
      <c r="IS135" s="9" t="n">
        <v>40.2</v>
      </c>
      <c r="IT135" s="9" t="n">
        <v>72.3</v>
      </c>
      <c r="IU135" s="19" t="n">
        <v>50.3</v>
      </c>
      <c r="IV135" s="9" t="n">
        <v>50.6</v>
      </c>
      <c r="IW135" s="9" t="n">
        <f aca="false">(IS135+IT135+IU135+IV135)/4</f>
        <v>53.35</v>
      </c>
      <c r="IX135" s="16" t="n">
        <v>45241</v>
      </c>
      <c r="IY135" s="10" t="s">
        <v>268</v>
      </c>
    </row>
    <row r="136" customFormat="false" ht="15.75" hidden="false" customHeight="true" outlineLevel="0" collapsed="false">
      <c r="A136" s="9" t="s">
        <v>343</v>
      </c>
      <c r="B136" s="10" t="s">
        <v>574</v>
      </c>
      <c r="C136" s="10" t="s">
        <v>514</v>
      </c>
      <c r="D136" s="9" t="n">
        <v>1</v>
      </c>
      <c r="E136" s="9" t="n">
        <v>45</v>
      </c>
      <c r="F136" s="10" t="s">
        <v>580</v>
      </c>
      <c r="G136" s="11" t="s">
        <v>263</v>
      </c>
      <c r="H136" s="9" t="n">
        <v>21</v>
      </c>
      <c r="I136" s="9" t="n">
        <v>19</v>
      </c>
      <c r="J136" s="10" t="s">
        <v>272</v>
      </c>
      <c r="K136" s="20"/>
      <c r="L136" s="20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 t="n">
        <v>0</v>
      </c>
      <c r="Y136" s="9" t="n">
        <v>0</v>
      </c>
      <c r="Z136" s="9" t="n">
        <v>0</v>
      </c>
      <c r="AA136" s="9" t="n">
        <v>0</v>
      </c>
      <c r="AB136" s="11" t="n">
        <f aca="false">(X136+Y136+Z136+AA136)/4</f>
        <v>0</v>
      </c>
      <c r="AC136" s="9" t="n">
        <v>1</v>
      </c>
      <c r="AD136" s="9" t="n">
        <v>1</v>
      </c>
      <c r="AE136" s="9" t="n">
        <v>1</v>
      </c>
      <c r="AF136" s="9" t="n">
        <v>1</v>
      </c>
      <c r="AG136" s="11" t="n">
        <f aca="false">(AC136+AD136+AE136+AF136)/4</f>
        <v>1</v>
      </c>
      <c r="AH136" s="9" t="n">
        <v>1</v>
      </c>
      <c r="AI136" s="9" t="n">
        <v>1</v>
      </c>
      <c r="AJ136" s="9" t="n">
        <v>1</v>
      </c>
      <c r="AK136" s="9" t="n">
        <v>1</v>
      </c>
      <c r="AL136" s="11" t="n">
        <f aca="false">(AH136+AI136+AJ136+AK136)/4</f>
        <v>1</v>
      </c>
      <c r="AM136" s="9" t="n">
        <v>60</v>
      </c>
      <c r="AN136" s="9" t="n">
        <v>46</v>
      </c>
      <c r="AO136" s="9" t="n">
        <v>56</v>
      </c>
      <c r="AP136" s="9" t="n">
        <v>191</v>
      </c>
      <c r="AQ136" s="11" t="n">
        <f aca="false">(AM136+AN136+AO136+AP136)/4</f>
        <v>88.25</v>
      </c>
      <c r="AR136" s="9" t="n">
        <v>10</v>
      </c>
      <c r="AS136" s="9" t="n">
        <v>6</v>
      </c>
      <c r="AT136" s="9" t="n">
        <v>7</v>
      </c>
      <c r="AU136" s="9" t="n">
        <v>26</v>
      </c>
      <c r="AV136" s="11" t="n">
        <f aca="false">(AR136+AS136+AT136+AU136)/4</f>
        <v>12.25</v>
      </c>
      <c r="AW136" s="9" t="n">
        <v>0</v>
      </c>
      <c r="AX136" s="9" t="n">
        <v>0</v>
      </c>
      <c r="AY136" s="9" t="n">
        <v>0</v>
      </c>
      <c r="AZ136" s="9" t="n">
        <v>0</v>
      </c>
      <c r="BA136" s="11" t="n">
        <f aca="false">(AW136+AX136+AY136+AZ136)/4</f>
        <v>0</v>
      </c>
      <c r="BB136" s="11" t="n">
        <f aca="false">(AW136/AR136)</f>
        <v>0</v>
      </c>
      <c r="BC136" s="11" t="n">
        <f aca="false">(AX136/AS136)</f>
        <v>0</v>
      </c>
      <c r="BD136" s="11" t="n">
        <f aca="false">(AY136/AT136)</f>
        <v>0</v>
      </c>
      <c r="BE136" s="11" t="n">
        <f aca="false">(AZ136/AU136)</f>
        <v>0</v>
      </c>
      <c r="BF136" s="11" t="n">
        <f aca="false">(BA136/AV136)</f>
        <v>0</v>
      </c>
      <c r="BG136" s="11" t="n">
        <f aca="false">(BF136*100)</f>
        <v>0</v>
      </c>
      <c r="BH136" s="9" t="n">
        <v>0</v>
      </c>
      <c r="BI136" s="9" t="n">
        <v>3</v>
      </c>
      <c r="BJ136" s="9" t="n">
        <v>1</v>
      </c>
      <c r="BK136" s="9" t="n">
        <v>4</v>
      </c>
      <c r="BL136" s="9" t="n">
        <v>7</v>
      </c>
      <c r="BM136" s="11" t="n">
        <f aca="false">(BI136+BJ136+BK136+BL136)/4</f>
        <v>3.75</v>
      </c>
      <c r="BN136" s="11" t="n">
        <f aca="false">(BI136/AR136)</f>
        <v>0.3</v>
      </c>
      <c r="BO136" s="11" t="n">
        <f aca="false">(BJ136/AS136)</f>
        <v>0.166666666666667</v>
      </c>
      <c r="BP136" s="11" t="n">
        <f aca="false">(BK136/AT136)</f>
        <v>0.571428571428571</v>
      </c>
      <c r="BQ136" s="11" t="n">
        <f aca="false">(BL136/AU136)</f>
        <v>0.269230769230769</v>
      </c>
      <c r="BR136" s="11" t="n">
        <f aca="false">(BM136/AV136)</f>
        <v>0.306122448979592</v>
      </c>
      <c r="BS136" s="11" t="n">
        <f aca="false">(100*BR136)</f>
        <v>30.6122448979592</v>
      </c>
      <c r="BT136" s="9" t="n">
        <v>3</v>
      </c>
      <c r="BU136" s="9" t="n">
        <v>0</v>
      </c>
      <c r="BV136" s="9" t="n">
        <v>1</v>
      </c>
      <c r="BW136" s="9" t="n">
        <v>1</v>
      </c>
      <c r="BX136" s="9" t="n">
        <v>1</v>
      </c>
      <c r="BY136" s="11" t="n">
        <f aca="false">(BU136+BV136+BW136+BX136)/4</f>
        <v>0.75</v>
      </c>
      <c r="BZ136" s="11" t="n">
        <f aca="false">(BU136/AR136)</f>
        <v>0</v>
      </c>
      <c r="CA136" s="11" t="n">
        <f aca="false">(BV136/AS136)</f>
        <v>0.166666666666667</v>
      </c>
      <c r="CB136" s="11" t="n">
        <f aca="false">(BW136/AT136)</f>
        <v>0.142857142857143</v>
      </c>
      <c r="CC136" s="11" t="n">
        <f aca="false">(BX136/AU136)</f>
        <v>0.0384615384615385</v>
      </c>
      <c r="CD136" s="11" t="n">
        <f aca="false">(BY136/AV136)</f>
        <v>0.0612244897959184</v>
      </c>
      <c r="CE136" s="11" t="n">
        <f aca="false">(100*CD136)</f>
        <v>6.12244897959184</v>
      </c>
      <c r="CF136" s="9" t="n">
        <v>1</v>
      </c>
      <c r="CG136" s="9" t="n">
        <v>2</v>
      </c>
      <c r="CH136" s="9" t="n">
        <v>2</v>
      </c>
      <c r="CI136" s="9" t="n">
        <v>3</v>
      </c>
      <c r="CJ136" s="9" t="n">
        <v>4</v>
      </c>
      <c r="CK136" s="11" t="n">
        <f aca="false">(CG136+CH136+CI136+CJ136)/4</f>
        <v>2.75</v>
      </c>
      <c r="CL136" s="11" t="n">
        <f aca="false">(CG136/AM136)</f>
        <v>0.0333333333333333</v>
      </c>
      <c r="CM136" s="11" t="n">
        <f aca="false">(CH136/AN136)</f>
        <v>0.0434782608695652</v>
      </c>
      <c r="CN136" s="11" t="n">
        <f aca="false">(CI136/AO136)</f>
        <v>0.0535714285714286</v>
      </c>
      <c r="CO136" s="9" t="n">
        <f aca="false">(CJ136/AP136)</f>
        <v>0.0209424083769634</v>
      </c>
      <c r="CP136" s="9" t="n">
        <f aca="false">(CK136/AQ136)</f>
        <v>0.0311614730878187</v>
      </c>
      <c r="CQ136" s="9" t="n">
        <f aca="false">(100*CP136)</f>
        <v>3.11614730878187</v>
      </c>
      <c r="CR136" s="18" t="n">
        <v>1</v>
      </c>
      <c r="CS136" s="9" t="n">
        <v>50.8</v>
      </c>
      <c r="CT136" s="9" t="n">
        <v>70.7</v>
      </c>
      <c r="CU136" s="9" t="n">
        <v>61.3</v>
      </c>
      <c r="CV136" s="9" t="n">
        <v>73.4</v>
      </c>
      <c r="CW136" s="11" t="n">
        <f aca="false">(CS136+CT136+CU136+CV136)/4</f>
        <v>64.05</v>
      </c>
      <c r="CX136" s="9" t="n">
        <v>0</v>
      </c>
      <c r="CY136" s="9" t="n">
        <v>0</v>
      </c>
      <c r="CZ136" s="9" t="n">
        <v>0</v>
      </c>
      <c r="DA136" s="9" t="n">
        <v>0</v>
      </c>
      <c r="DB136" s="11" t="n">
        <f aca="false">(CX136+CY136+CZ136+DA136)/4</f>
        <v>0</v>
      </c>
      <c r="DC136" s="9" t="n">
        <v>1</v>
      </c>
      <c r="DD136" s="9" t="n">
        <v>1</v>
      </c>
      <c r="DE136" s="9" t="n">
        <v>1</v>
      </c>
      <c r="DF136" s="9" t="n">
        <v>1</v>
      </c>
      <c r="DG136" s="11" t="n">
        <f aca="false">(DC136+DD136+DE136+DF136)/4</f>
        <v>1</v>
      </c>
      <c r="DH136" s="9" t="n">
        <v>1</v>
      </c>
      <c r="DI136" s="9" t="n">
        <v>1</v>
      </c>
      <c r="DJ136" s="9" t="n">
        <v>1</v>
      </c>
      <c r="DK136" s="9" t="n">
        <v>1</v>
      </c>
      <c r="DL136" s="11" t="n">
        <f aca="false">(DH136+DI136+DJ136+DK136)/4</f>
        <v>1</v>
      </c>
      <c r="DM136" s="9" t="n">
        <v>22</v>
      </c>
      <c r="DN136" s="9" t="n">
        <v>36</v>
      </c>
      <c r="DO136" s="9" t="n">
        <v>47</v>
      </c>
      <c r="DP136" s="9" t="n">
        <v>12</v>
      </c>
      <c r="DQ136" s="11" t="n">
        <f aca="false">(DM136+DN136+DO136+DP136)/4</f>
        <v>29.25</v>
      </c>
      <c r="DR136" s="9" t="n">
        <v>22</v>
      </c>
      <c r="DS136" s="9" t="n">
        <v>11</v>
      </c>
      <c r="DT136" s="9" t="n">
        <v>32</v>
      </c>
      <c r="DU136" s="9" t="n">
        <v>6</v>
      </c>
      <c r="DV136" s="11" t="n">
        <f aca="false">(DR136+DS136+DT136+DU136)/4</f>
        <v>17.75</v>
      </c>
      <c r="DW136" s="9" t="n">
        <v>0</v>
      </c>
      <c r="DX136" s="9" t="n">
        <v>0</v>
      </c>
      <c r="DY136" s="9" t="n">
        <v>0</v>
      </c>
      <c r="DZ136" s="9" t="n">
        <v>0</v>
      </c>
      <c r="EA136" s="11" t="n">
        <f aca="false">(DW136+DX136+DY136+DZ136)/4</f>
        <v>0</v>
      </c>
      <c r="EB136" s="11" t="n">
        <f aca="false">(DW136/DR136)</f>
        <v>0</v>
      </c>
      <c r="EC136" s="11" t="n">
        <f aca="false">(DX136/DS136)</f>
        <v>0</v>
      </c>
      <c r="ED136" s="11" t="n">
        <f aca="false">(DY136/DT136)</f>
        <v>0</v>
      </c>
      <c r="EE136" s="11" t="n">
        <f aca="false">(DZ136/DU136)</f>
        <v>0</v>
      </c>
      <c r="EF136" s="11" t="n">
        <f aca="false">(EA136/DV136)</f>
        <v>0</v>
      </c>
      <c r="EG136" s="11" t="n">
        <f aca="false">(100*EF136)</f>
        <v>0</v>
      </c>
      <c r="EH136" s="9" t="n">
        <v>0</v>
      </c>
      <c r="EI136" s="9" t="n">
        <v>17</v>
      </c>
      <c r="EJ136" s="9" t="n">
        <v>3</v>
      </c>
      <c r="EK136" s="19" t="n">
        <v>15</v>
      </c>
      <c r="EL136" s="9" t="n">
        <v>4</v>
      </c>
      <c r="EM136" s="9" t="n">
        <f aca="false">(EI136+EJ136+EK136+EL136)/4</f>
        <v>9.75</v>
      </c>
      <c r="EN136" s="9" t="n">
        <f aca="false">(EI136/DR136)</f>
        <v>0.772727272727273</v>
      </c>
      <c r="EO136" s="9" t="n">
        <f aca="false">(EJ136/DS136)</f>
        <v>0.272727272727273</v>
      </c>
      <c r="EP136" s="9" t="n">
        <f aca="false">(EK136/DT136)</f>
        <v>0.46875</v>
      </c>
      <c r="EQ136" s="9" t="n">
        <f aca="false">(EL136/DU136)</f>
        <v>0.666666666666667</v>
      </c>
      <c r="ER136" s="9" t="n">
        <f aca="false">EM136/DV136</f>
        <v>0.549295774647887</v>
      </c>
      <c r="ES136" s="9" t="n">
        <f aca="false">(100*ER136)</f>
        <v>54.9295774647887</v>
      </c>
      <c r="ET136" s="9" t="n">
        <v>3</v>
      </c>
      <c r="EU136" s="18" t="n">
        <v>1</v>
      </c>
      <c r="EV136" s="9" t="n">
        <v>2</v>
      </c>
      <c r="EW136" s="9" t="n">
        <v>1</v>
      </c>
      <c r="EX136" s="9" t="n">
        <v>1</v>
      </c>
      <c r="EY136" s="11" t="n">
        <f aca="false">(EU136+EV136+EW136+EX136)/4</f>
        <v>1.25</v>
      </c>
      <c r="EZ136" s="11" t="n">
        <f aca="false">(EU136/DR136)</f>
        <v>0.0454545454545455</v>
      </c>
      <c r="FA136" s="11" t="n">
        <f aca="false">(EV136/DS136)</f>
        <v>0.181818181818182</v>
      </c>
      <c r="FB136" s="11" t="n">
        <f aca="false">(EW136/DT136)</f>
        <v>0.03125</v>
      </c>
      <c r="FC136" s="11" t="n">
        <f aca="false">(EX136/DU136)</f>
        <v>0.166666666666667</v>
      </c>
      <c r="FD136" s="11" t="n">
        <f aca="false">(EY136/DV136)</f>
        <v>0.0704225352112676</v>
      </c>
      <c r="FE136" s="11" t="n">
        <f aca="false">(100*FD136)</f>
        <v>7.04225352112676</v>
      </c>
      <c r="FF136" s="9" t="n">
        <v>2</v>
      </c>
      <c r="FG136" s="9" t="n">
        <v>4</v>
      </c>
      <c r="FH136" s="9" t="n">
        <v>5</v>
      </c>
      <c r="FI136" s="9" t="n">
        <v>6</v>
      </c>
      <c r="FJ136" s="9" t="n">
        <v>1</v>
      </c>
      <c r="FK136" s="11" t="n">
        <f aca="false">(FG136+FH136+FI136+FJ136)/4</f>
        <v>4</v>
      </c>
      <c r="FL136" s="11" t="n">
        <f aca="false">(FG136/DR136)</f>
        <v>0.181818181818182</v>
      </c>
      <c r="FM136" s="11" t="n">
        <f aca="false">(FH136/DS136)</f>
        <v>0.454545454545455</v>
      </c>
      <c r="FN136" s="11" t="n">
        <f aca="false">(FI136/DT136)</f>
        <v>0.1875</v>
      </c>
      <c r="FO136" s="11" t="n">
        <f aca="false">(FJ136/DU136)</f>
        <v>0.166666666666667</v>
      </c>
      <c r="FP136" s="11" t="n">
        <f aca="false">(FK136/DV136)</f>
        <v>0.225352112676056</v>
      </c>
      <c r="FQ136" s="11" t="n">
        <f aca="false">(100*FP136)</f>
        <v>22.5352112676056</v>
      </c>
      <c r="FR136" s="9" t="n">
        <v>3</v>
      </c>
      <c r="FS136" s="9" t="n">
        <v>34.9</v>
      </c>
      <c r="FT136" s="9" t="n">
        <v>55.2</v>
      </c>
      <c r="FU136" s="9" t="n">
        <v>61.6</v>
      </c>
      <c r="FV136" s="9"/>
      <c r="FW136" s="11" t="n">
        <f aca="false">(FS136+FT136+FU136+FV136)/4</f>
        <v>37.925</v>
      </c>
      <c r="FX136" s="9" t="n">
        <v>0</v>
      </c>
      <c r="FY136" s="9" t="n">
        <v>0</v>
      </c>
      <c r="FZ136" s="9" t="n">
        <v>0</v>
      </c>
      <c r="GA136" s="9" t="n">
        <v>0</v>
      </c>
      <c r="GB136" s="11" t="n">
        <f aca="false">(FX136+FY136+FZ136+GA136)/4</f>
        <v>0</v>
      </c>
      <c r="GC136" s="9" t="n">
        <v>1</v>
      </c>
      <c r="GD136" s="9" t="n">
        <v>1</v>
      </c>
      <c r="GE136" s="9" t="n">
        <v>1</v>
      </c>
      <c r="GF136" s="9" t="n">
        <v>1</v>
      </c>
      <c r="GG136" s="11" t="n">
        <f aca="false">(GC136+GD136+GE136+GF136)/4</f>
        <v>1</v>
      </c>
      <c r="GH136" s="9" t="n">
        <v>0</v>
      </c>
      <c r="GI136" s="9" t="n">
        <v>1</v>
      </c>
      <c r="GJ136" s="9" t="n">
        <v>0</v>
      </c>
      <c r="GK136" s="9" t="n">
        <v>1</v>
      </c>
      <c r="GL136" s="11" t="n">
        <f aca="false">(GH136+GI136+GJ136+GK136)/4</f>
        <v>0.5</v>
      </c>
      <c r="GM136" s="9" t="n">
        <v>20</v>
      </c>
      <c r="GN136" s="9" t="n">
        <v>11</v>
      </c>
      <c r="GO136" s="9" t="n">
        <v>17</v>
      </c>
      <c r="GP136" s="9" t="n">
        <v>17</v>
      </c>
      <c r="GQ136" s="11" t="n">
        <f aca="false">(GM136+GN136+GO136+GP136)/4</f>
        <v>16.25</v>
      </c>
      <c r="GR136" s="9" t="n">
        <v>13</v>
      </c>
      <c r="GS136" s="9" t="n">
        <v>6</v>
      </c>
      <c r="GT136" s="9" t="n">
        <v>8</v>
      </c>
      <c r="GU136" s="9" t="n">
        <v>16</v>
      </c>
      <c r="GV136" s="11" t="n">
        <f aca="false">(GR136+GS136+GT136+GU136)/4</f>
        <v>10.75</v>
      </c>
      <c r="GW136" s="9" t="n">
        <v>0</v>
      </c>
      <c r="GX136" s="9" t="n">
        <v>0</v>
      </c>
      <c r="GY136" s="9" t="n">
        <v>0</v>
      </c>
      <c r="GZ136" s="9" t="n">
        <v>0</v>
      </c>
      <c r="HA136" s="11" t="n">
        <f aca="false">(GW136+GX136+GY136+GZ136)/4</f>
        <v>0</v>
      </c>
      <c r="HB136" s="9" t="n">
        <f aca="false">(GW136/GR136)</f>
        <v>0</v>
      </c>
      <c r="HC136" s="9" t="n">
        <f aca="false">(GX136/GS136)</f>
        <v>0</v>
      </c>
      <c r="HD136" s="9" t="n">
        <f aca="false">(GY136/GT136)</f>
        <v>0</v>
      </c>
      <c r="HE136" s="9" t="n">
        <f aca="false">(GZ136/GU136)/4</f>
        <v>0</v>
      </c>
      <c r="HF136" s="9" t="n">
        <f aca="false">(HB136+HC136+HD136+HE136)/4</f>
        <v>0</v>
      </c>
      <c r="HG136" s="9" t="n">
        <f aca="false">(100*HF136)</f>
        <v>0</v>
      </c>
      <c r="HH136" s="18" t="n">
        <v>0</v>
      </c>
      <c r="HI136" s="9" t="n">
        <v>10</v>
      </c>
      <c r="HJ136" s="9" t="n">
        <v>2</v>
      </c>
      <c r="HK136" s="9" t="n">
        <v>3</v>
      </c>
      <c r="HL136" s="19" t="n">
        <v>4</v>
      </c>
      <c r="HM136" s="9" t="n">
        <f aca="false">(HI136+HJ136+HK136+HL136)/4</f>
        <v>4.75</v>
      </c>
      <c r="HN136" s="9" t="n">
        <f aca="false">(HI136/GR136)</f>
        <v>0.769230769230769</v>
      </c>
      <c r="HO136" s="9" t="n">
        <f aca="false">(HJ136/GS136)</f>
        <v>0.333333333333333</v>
      </c>
      <c r="HP136" s="9" t="n">
        <f aca="false">(HK136/GT136)</f>
        <v>0.375</v>
      </c>
      <c r="HQ136" s="9" t="n">
        <f aca="false">(HL136/GU136)</f>
        <v>0.25</v>
      </c>
      <c r="HR136" s="9" t="n">
        <f aca="false">(HM136/GV136)</f>
        <v>0.441860465116279</v>
      </c>
      <c r="HS136" s="9" t="n">
        <f aca="false">(100*HR136)</f>
        <v>44.1860465116279</v>
      </c>
      <c r="HT136" s="18" t="n">
        <v>3</v>
      </c>
      <c r="HU136" s="9" t="n">
        <v>0</v>
      </c>
      <c r="HV136" s="9" t="n">
        <v>0</v>
      </c>
      <c r="HW136" s="9" t="n">
        <v>0</v>
      </c>
      <c r="HX136" s="19" t="n">
        <v>2</v>
      </c>
      <c r="HY136" s="9" t="n">
        <f aca="false">(HU136+HV136+HW136+HX136)/4</f>
        <v>0.5</v>
      </c>
      <c r="HZ136" s="9" t="n">
        <f aca="false">(HU136/GR136)</f>
        <v>0</v>
      </c>
      <c r="IA136" s="9" t="n">
        <f aca="false">HV136/GS136</f>
        <v>0</v>
      </c>
      <c r="IB136" s="9" t="n">
        <f aca="false">(HW136/GT136)</f>
        <v>0</v>
      </c>
      <c r="IC136" s="9" t="n">
        <f aca="false">(HX136/GU136)</f>
        <v>0.125</v>
      </c>
      <c r="ID136" s="9" t="n">
        <f aca="false">(HY136/GV136)</f>
        <v>0.0465116279069767</v>
      </c>
      <c r="IE136" s="9" t="n">
        <f aca="false">(100*ID136)</f>
        <v>4.65116279069768</v>
      </c>
      <c r="IF136" s="18" t="n">
        <v>1</v>
      </c>
      <c r="IG136" s="9" t="n">
        <v>0</v>
      </c>
      <c r="IH136" s="9" t="n">
        <v>1</v>
      </c>
      <c r="II136" s="19" t="n">
        <v>0</v>
      </c>
      <c r="IJ136" s="9" t="n">
        <v>1</v>
      </c>
      <c r="IK136" s="9" t="n">
        <f aca="false">(IG136+IH136+II136+IJ136)/4</f>
        <v>0.5</v>
      </c>
      <c r="IL136" s="9" t="n">
        <f aca="false">(IG136/GM136)</f>
        <v>0</v>
      </c>
      <c r="IM136" s="9" t="n">
        <f aca="false">(IH136/GN136)</f>
        <v>0.0909090909090909</v>
      </c>
      <c r="IN136" s="9" t="n">
        <f aca="false">(II136/GO136)</f>
        <v>0</v>
      </c>
      <c r="IO136" s="9" t="n">
        <f aca="false">(IJ136/GP136)</f>
        <v>0.0588235294117647</v>
      </c>
      <c r="IP136" s="9" t="n">
        <f aca="false">(IK136/GQ136)</f>
        <v>0.0307692307692308</v>
      </c>
      <c r="IQ136" s="9" t="n">
        <f aca="false">(100*IP136)</f>
        <v>3.07692307692308</v>
      </c>
      <c r="IR136" s="18" t="n">
        <v>1</v>
      </c>
      <c r="IS136" s="9" t="n">
        <v>80.3</v>
      </c>
      <c r="IT136" s="9" t="n">
        <v>90.2</v>
      </c>
      <c r="IU136" s="19" t="n">
        <v>80.3</v>
      </c>
      <c r="IV136" s="9" t="n">
        <v>79.2</v>
      </c>
      <c r="IW136" s="9" t="n">
        <f aca="false">(IS136+IT136+IU136+IV136)/4</f>
        <v>82.5</v>
      </c>
      <c r="IX136" s="16" t="n">
        <v>45241</v>
      </c>
      <c r="IY136" s="10" t="s">
        <v>268</v>
      </c>
    </row>
    <row r="137" customFormat="false" ht="15.75" hidden="false" customHeight="true" outlineLevel="0" collapsed="false">
      <c r="A137" s="9" t="s">
        <v>343</v>
      </c>
      <c r="B137" s="10" t="s">
        <v>581</v>
      </c>
      <c r="C137" s="10" t="s">
        <v>514</v>
      </c>
      <c r="D137" s="9" t="n">
        <v>2</v>
      </c>
      <c r="E137" s="9" t="n">
        <v>46</v>
      </c>
      <c r="F137" s="10" t="s">
        <v>582</v>
      </c>
      <c r="G137" s="11" t="s">
        <v>263</v>
      </c>
      <c r="H137" s="9" t="n">
        <v>21</v>
      </c>
      <c r="I137" s="9" t="n">
        <v>3</v>
      </c>
      <c r="J137" s="12" t="s">
        <v>264</v>
      </c>
      <c r="K137" s="23" t="s">
        <v>583</v>
      </c>
      <c r="L137" s="13" t="s">
        <v>584</v>
      </c>
      <c r="M137" s="32" t="n">
        <v>1294</v>
      </c>
      <c r="N137" s="15" t="n">
        <v>45154</v>
      </c>
      <c r="O137" s="10" t="s">
        <v>294</v>
      </c>
      <c r="P137" s="9"/>
      <c r="Q137" s="9" t="n">
        <v>7.23</v>
      </c>
      <c r="R137" s="9" t="n">
        <v>12</v>
      </c>
      <c r="S137" s="9" t="n">
        <v>-13</v>
      </c>
      <c r="T137" s="9" t="n">
        <v>90</v>
      </c>
      <c r="U137" s="9"/>
      <c r="V137" s="9" t="n">
        <f aca="false">(24.74/100)</f>
        <v>0.2474</v>
      </c>
      <c r="W137" s="9" t="s">
        <v>585</v>
      </c>
      <c r="X137" s="9" t="n">
        <v>0</v>
      </c>
      <c r="Y137" s="9" t="n">
        <v>0</v>
      </c>
      <c r="Z137" s="9" t="n">
        <v>0</v>
      </c>
      <c r="AA137" s="9" t="n">
        <v>0</v>
      </c>
      <c r="AB137" s="11" t="n">
        <f aca="false">(X137+Y137+Z137+AA137)/4</f>
        <v>0</v>
      </c>
      <c r="AC137" s="9" t="n">
        <v>1</v>
      </c>
      <c r="AD137" s="9" t="n">
        <v>1</v>
      </c>
      <c r="AE137" s="9" t="n">
        <v>1</v>
      </c>
      <c r="AF137" s="9" t="n">
        <v>1</v>
      </c>
      <c r="AG137" s="11" t="n">
        <f aca="false">(AC137+AD137+AE137+AF137)/4</f>
        <v>1</v>
      </c>
      <c r="AH137" s="9" t="n">
        <v>1</v>
      </c>
      <c r="AI137" s="9" t="n">
        <v>1</v>
      </c>
      <c r="AJ137" s="9" t="n">
        <v>1</v>
      </c>
      <c r="AK137" s="9" t="n">
        <v>1</v>
      </c>
      <c r="AL137" s="11" t="n">
        <f aca="false">(AH137+AI137+AJ137+AK137)/4</f>
        <v>1</v>
      </c>
      <c r="AM137" s="9" t="n">
        <v>39</v>
      </c>
      <c r="AN137" s="9" t="n">
        <v>4</v>
      </c>
      <c r="AO137" s="9" t="n">
        <v>26</v>
      </c>
      <c r="AP137" s="9" t="n">
        <v>16</v>
      </c>
      <c r="AQ137" s="11" t="n">
        <f aca="false">(AM137+AN137+AO137+AP137)/4</f>
        <v>21.25</v>
      </c>
      <c r="AR137" s="9" t="n">
        <v>14</v>
      </c>
      <c r="AS137" s="9" t="n">
        <v>26</v>
      </c>
      <c r="AT137" s="9" t="n">
        <v>30</v>
      </c>
      <c r="AU137" s="9" t="n">
        <v>50</v>
      </c>
      <c r="AV137" s="11" t="n">
        <f aca="false">(AR137+AS137+AT137+AU137)/4</f>
        <v>30</v>
      </c>
      <c r="AW137" s="9" t="n">
        <v>0</v>
      </c>
      <c r="AX137" s="9" t="n">
        <v>0</v>
      </c>
      <c r="AY137" s="9" t="n">
        <v>0</v>
      </c>
      <c r="AZ137" s="9" t="n">
        <v>0</v>
      </c>
      <c r="BA137" s="11" t="n">
        <f aca="false">(AW137+AX137+AY137+AZ137)/4</f>
        <v>0</v>
      </c>
      <c r="BB137" s="11" t="n">
        <f aca="false">(AW137/AR137)</f>
        <v>0</v>
      </c>
      <c r="BC137" s="11" t="n">
        <f aca="false">(AX137/AS137)</f>
        <v>0</v>
      </c>
      <c r="BD137" s="11" t="n">
        <f aca="false">(AY137/AT137)</f>
        <v>0</v>
      </c>
      <c r="BE137" s="11" t="n">
        <f aca="false">(AZ137/AU137)</f>
        <v>0</v>
      </c>
      <c r="BF137" s="11" t="n">
        <f aca="false">(BA137/AV137)</f>
        <v>0</v>
      </c>
      <c r="BG137" s="11" t="n">
        <f aca="false">(BF137*100)</f>
        <v>0</v>
      </c>
      <c r="BH137" s="9" t="n">
        <v>0</v>
      </c>
      <c r="BI137" s="9" t="n">
        <v>2</v>
      </c>
      <c r="BJ137" s="9" t="n">
        <v>3</v>
      </c>
      <c r="BK137" s="9" t="n">
        <v>7</v>
      </c>
      <c r="BL137" s="9" t="n">
        <v>2</v>
      </c>
      <c r="BM137" s="11" t="n">
        <f aca="false">(BI137+BJ137+BK137+BL137)/4</f>
        <v>3.5</v>
      </c>
      <c r="BN137" s="11" t="n">
        <f aca="false">(BI137/AR137)</f>
        <v>0.142857142857143</v>
      </c>
      <c r="BO137" s="11" t="n">
        <f aca="false">(BJ137/AS137)</f>
        <v>0.115384615384615</v>
      </c>
      <c r="BP137" s="11" t="n">
        <f aca="false">(BK137/AT137)</f>
        <v>0.233333333333333</v>
      </c>
      <c r="BQ137" s="11" t="n">
        <f aca="false">(BL137/AU137)</f>
        <v>0.04</v>
      </c>
      <c r="BR137" s="11" t="n">
        <f aca="false">(BM137/AV137)</f>
        <v>0.116666666666667</v>
      </c>
      <c r="BS137" s="11" t="n">
        <f aca="false">(100*BR137)</f>
        <v>11.6666666666667</v>
      </c>
      <c r="BT137" s="9" t="n">
        <v>2</v>
      </c>
      <c r="BU137" s="9" t="n">
        <v>3</v>
      </c>
      <c r="BV137" s="9" t="n">
        <v>5</v>
      </c>
      <c r="BW137" s="9" t="n">
        <v>2</v>
      </c>
      <c r="BX137" s="9" t="n">
        <v>1</v>
      </c>
      <c r="BY137" s="11" t="n">
        <f aca="false">(BU137+BV137+BW137+BX137)/4</f>
        <v>2.75</v>
      </c>
      <c r="BZ137" s="11" t="n">
        <f aca="false">(BU137/AR137)</f>
        <v>0.214285714285714</v>
      </c>
      <c r="CA137" s="11" t="n">
        <f aca="false">(BV137/AS137)</f>
        <v>0.192307692307692</v>
      </c>
      <c r="CB137" s="11" t="n">
        <f aca="false">(BW137/AT137)</f>
        <v>0.0666666666666667</v>
      </c>
      <c r="CC137" s="11" t="n">
        <f aca="false">(BX137/AU137)</f>
        <v>0.02</v>
      </c>
      <c r="CD137" s="11" t="n">
        <f aca="false">(BY137/AV137)</f>
        <v>0.0916666666666667</v>
      </c>
      <c r="CE137" s="11" t="n">
        <f aca="false">(100*CD137)</f>
        <v>9.16666666666667</v>
      </c>
      <c r="CF137" s="9" t="n">
        <v>1</v>
      </c>
      <c r="CG137" s="9" t="n">
        <v>0</v>
      </c>
      <c r="CH137" s="9" t="n">
        <v>1</v>
      </c>
      <c r="CI137" s="9" t="n">
        <v>1</v>
      </c>
      <c r="CJ137" s="9" t="n">
        <v>2</v>
      </c>
      <c r="CK137" s="11" t="n">
        <f aca="false">(CG137+CH137+CI137+CJ137)/4</f>
        <v>1</v>
      </c>
      <c r="CL137" s="11" t="n">
        <f aca="false">(CG137/AM137)</f>
        <v>0</v>
      </c>
      <c r="CM137" s="11" t="n">
        <f aca="false">(CH137/AN137)</f>
        <v>0.25</v>
      </c>
      <c r="CN137" s="11" t="n">
        <f aca="false">(CI137/AO137)</f>
        <v>0.0384615384615385</v>
      </c>
      <c r="CO137" s="9" t="n">
        <f aca="false">(CJ137/AP137)</f>
        <v>0.125</v>
      </c>
      <c r="CP137" s="9" t="n">
        <f aca="false">(CK137/AQ137)</f>
        <v>0.0470588235294118</v>
      </c>
      <c r="CQ137" s="9" t="n">
        <f aca="false">(100*CP137)</f>
        <v>4.70588235294118</v>
      </c>
      <c r="CR137" s="18" t="n">
        <v>1</v>
      </c>
      <c r="CS137" s="9" t="n">
        <v>65.5</v>
      </c>
      <c r="CT137" s="9" t="n">
        <v>60.3</v>
      </c>
      <c r="CU137" s="9" t="n">
        <v>70.3</v>
      </c>
      <c r="CV137" s="9" t="n">
        <v>67</v>
      </c>
      <c r="CW137" s="11" t="n">
        <f aca="false">(CS137+CT137+CU137+CV137)/4</f>
        <v>65.775</v>
      </c>
      <c r="CX137" s="9" t="n">
        <v>0</v>
      </c>
      <c r="CY137" s="9" t="n">
        <v>0</v>
      </c>
      <c r="CZ137" s="9" t="n">
        <v>0</v>
      </c>
      <c r="DA137" s="9" t="n">
        <v>0</v>
      </c>
      <c r="DB137" s="11" t="n">
        <f aca="false">(CX137+CY137+CZ137+DA137)/4</f>
        <v>0</v>
      </c>
      <c r="DC137" s="9" t="n">
        <v>1</v>
      </c>
      <c r="DD137" s="9" t="n">
        <v>1</v>
      </c>
      <c r="DE137" s="9" t="n">
        <v>1</v>
      </c>
      <c r="DF137" s="9" t="n">
        <v>1</v>
      </c>
      <c r="DG137" s="11" t="n">
        <f aca="false">(DC137+DD137+DE137+DF137)/4</f>
        <v>1</v>
      </c>
      <c r="DH137" s="9" t="n">
        <v>1</v>
      </c>
      <c r="DI137" s="9" t="n">
        <v>1</v>
      </c>
      <c r="DJ137" s="9" t="n">
        <v>1</v>
      </c>
      <c r="DK137" s="9" t="n">
        <v>1</v>
      </c>
      <c r="DL137" s="11" t="n">
        <f aca="false">(DH137+DI137+DJ137+DK137)/4</f>
        <v>1</v>
      </c>
      <c r="DM137" s="9" t="n">
        <v>62</v>
      </c>
      <c r="DN137" s="9" t="n">
        <v>77</v>
      </c>
      <c r="DO137" s="9" t="n">
        <v>18</v>
      </c>
      <c r="DP137" s="9" t="n">
        <v>13</v>
      </c>
      <c r="DQ137" s="11" t="n">
        <f aca="false">(DM137+DN137+DO137+DP137)/4</f>
        <v>42.5</v>
      </c>
      <c r="DR137" s="9" t="n">
        <v>20</v>
      </c>
      <c r="DS137" s="9" t="n">
        <v>32</v>
      </c>
      <c r="DT137" s="9" t="n">
        <v>13</v>
      </c>
      <c r="DU137" s="9" t="n">
        <v>42</v>
      </c>
      <c r="DV137" s="11" t="n">
        <f aca="false">(DR137+DS137+DT137+DU137)/4</f>
        <v>26.75</v>
      </c>
      <c r="DW137" s="9" t="n">
        <v>0</v>
      </c>
      <c r="DX137" s="9" t="n">
        <v>0</v>
      </c>
      <c r="DY137" s="9" t="n">
        <v>0</v>
      </c>
      <c r="DZ137" s="9" t="n">
        <v>0</v>
      </c>
      <c r="EA137" s="11" t="n">
        <f aca="false">(DW137+DX137+DY137+DZ137)/4</f>
        <v>0</v>
      </c>
      <c r="EB137" s="11" t="n">
        <f aca="false">(DW137/DR137)</f>
        <v>0</v>
      </c>
      <c r="EC137" s="11" t="n">
        <f aca="false">(DX137/DS137)</f>
        <v>0</v>
      </c>
      <c r="ED137" s="11" t="n">
        <f aca="false">(DY137/DT137)</f>
        <v>0</v>
      </c>
      <c r="EE137" s="11" t="n">
        <f aca="false">(DZ137/DU137)</f>
        <v>0</v>
      </c>
      <c r="EF137" s="11" t="n">
        <f aca="false">(EA137/DV137)</f>
        <v>0</v>
      </c>
      <c r="EG137" s="11" t="n">
        <f aca="false">(100*EF137)</f>
        <v>0</v>
      </c>
      <c r="EH137" s="9" t="n">
        <v>0</v>
      </c>
      <c r="EI137" s="9" t="n">
        <v>2</v>
      </c>
      <c r="EJ137" s="9" t="n">
        <v>3</v>
      </c>
      <c r="EK137" s="19" t="n">
        <v>1</v>
      </c>
      <c r="EL137" s="9" t="n">
        <v>4</v>
      </c>
      <c r="EM137" s="9" t="n">
        <f aca="false">(EI137+EJ137+EK137+EL137)/4</f>
        <v>2.5</v>
      </c>
      <c r="EN137" s="9" t="n">
        <f aca="false">(EI137/DR137)</f>
        <v>0.1</v>
      </c>
      <c r="EO137" s="9" t="n">
        <f aca="false">(EJ137/DS137)</f>
        <v>0.09375</v>
      </c>
      <c r="EP137" s="9" t="n">
        <f aca="false">(EK137/DT137)</f>
        <v>0.0769230769230769</v>
      </c>
      <c r="EQ137" s="9" t="n">
        <f aca="false">(EL137/DU137)</f>
        <v>0.0952380952380952</v>
      </c>
      <c r="ER137" s="9" t="n">
        <f aca="false">EM137/DV137</f>
        <v>0.0934579439252336</v>
      </c>
      <c r="ES137" s="9" t="n">
        <f aca="false">(100*ER137)</f>
        <v>9.34579439252337</v>
      </c>
      <c r="ET137" s="9" t="n">
        <v>1</v>
      </c>
      <c r="EU137" s="18" t="n">
        <v>1</v>
      </c>
      <c r="EV137" s="9" t="n">
        <v>0</v>
      </c>
      <c r="EW137" s="9" t="n">
        <v>3</v>
      </c>
      <c r="EX137" s="9" t="n">
        <v>4</v>
      </c>
      <c r="EY137" s="11" t="n">
        <f aca="false">(EU137+EV137+EW137+EX137)/4</f>
        <v>2</v>
      </c>
      <c r="EZ137" s="11" t="n">
        <f aca="false">(EU137/DR137)</f>
        <v>0.05</v>
      </c>
      <c r="FA137" s="11" t="n">
        <f aca="false">(EV137/DS137)</f>
        <v>0</v>
      </c>
      <c r="FB137" s="11" t="n">
        <f aca="false">(EW137/DT137)</f>
        <v>0.230769230769231</v>
      </c>
      <c r="FC137" s="11" t="n">
        <f aca="false">(EX137/DU137)</f>
        <v>0.0952380952380952</v>
      </c>
      <c r="FD137" s="11" t="n">
        <f aca="false">(EY137/DV137)</f>
        <v>0.0747663551401869</v>
      </c>
      <c r="FE137" s="11" t="n">
        <f aca="false">(100*FD137)</f>
        <v>7.47663551401869</v>
      </c>
      <c r="FF137" s="9" t="n">
        <v>1</v>
      </c>
      <c r="FG137" s="9" t="n">
        <v>2</v>
      </c>
      <c r="FH137" s="9" t="n">
        <v>6</v>
      </c>
      <c r="FI137" s="9" t="n">
        <v>4</v>
      </c>
      <c r="FJ137" s="9" t="n">
        <v>5</v>
      </c>
      <c r="FK137" s="11" t="n">
        <f aca="false">(FG137+FH137+FI137+FJ137)/4</f>
        <v>4.25</v>
      </c>
      <c r="FL137" s="11" t="n">
        <f aca="false">(FG137/DR137)</f>
        <v>0.1</v>
      </c>
      <c r="FM137" s="11" t="n">
        <f aca="false">(FH137/DS137)</f>
        <v>0.1875</v>
      </c>
      <c r="FN137" s="11" t="n">
        <f aca="false">(FI137/DT137)</f>
        <v>0.307692307692308</v>
      </c>
      <c r="FO137" s="11" t="n">
        <f aca="false">(FJ137/DU137)</f>
        <v>0.119047619047619</v>
      </c>
      <c r="FP137" s="11" t="n">
        <f aca="false">(FK137/DV137)</f>
        <v>0.158878504672897</v>
      </c>
      <c r="FQ137" s="11" t="n">
        <f aca="false">(100*FP137)</f>
        <v>15.8878504672897</v>
      </c>
      <c r="FR137" s="9" t="n">
        <v>2</v>
      </c>
      <c r="FS137" s="9" t="n">
        <v>49.6</v>
      </c>
      <c r="FT137" s="9" t="n">
        <v>51.8</v>
      </c>
      <c r="FU137" s="9" t="n">
        <v>57.5</v>
      </c>
      <c r="FV137" s="9" t="n">
        <v>65.5</v>
      </c>
      <c r="FW137" s="11" t="n">
        <f aca="false">(FS137+FT137+FU137+FV137)/4</f>
        <v>56.1</v>
      </c>
      <c r="FX137" s="9" t="n">
        <v>0</v>
      </c>
      <c r="FY137" s="9" t="n">
        <v>1</v>
      </c>
      <c r="FZ137" s="9" t="n">
        <v>0</v>
      </c>
      <c r="GA137" s="9" t="n">
        <v>0</v>
      </c>
      <c r="GB137" s="11" t="n">
        <f aca="false">(FX137+FY137+FZ137+GA137)/4</f>
        <v>0.25</v>
      </c>
      <c r="GC137" s="9" t="n">
        <v>1</v>
      </c>
      <c r="GD137" s="9" t="n">
        <v>1</v>
      </c>
      <c r="GE137" s="9" t="n">
        <v>1</v>
      </c>
      <c r="GF137" s="9" t="n">
        <v>1</v>
      </c>
      <c r="GG137" s="11" t="n">
        <f aca="false">(GC137+GD137+GE137+GF137)/4</f>
        <v>1</v>
      </c>
      <c r="GH137" s="9" t="n">
        <v>1</v>
      </c>
      <c r="GI137" s="9" t="n">
        <v>1</v>
      </c>
      <c r="GJ137" s="9" t="n">
        <v>1</v>
      </c>
      <c r="GK137" s="9" t="n">
        <v>1</v>
      </c>
      <c r="GL137" s="11" t="n">
        <f aca="false">(GH137+GI137+GJ137+GK137)/4</f>
        <v>1</v>
      </c>
      <c r="GM137" s="9" t="n">
        <v>54</v>
      </c>
      <c r="GN137" s="9" t="n">
        <v>25</v>
      </c>
      <c r="GO137" s="9" t="n">
        <v>29</v>
      </c>
      <c r="GP137" s="9" t="n">
        <v>19</v>
      </c>
      <c r="GQ137" s="11" t="n">
        <f aca="false">(GM137+GN137+GO137+GP137)/4</f>
        <v>31.75</v>
      </c>
      <c r="GR137" s="9" t="n">
        <v>21</v>
      </c>
      <c r="GS137" s="9" t="n">
        <v>15</v>
      </c>
      <c r="GT137" s="9" t="n">
        <v>18</v>
      </c>
      <c r="GU137" s="9" t="n">
        <v>12</v>
      </c>
      <c r="GV137" s="11" t="n">
        <f aca="false">(GR137+GS137+GT137+GU137)/4</f>
        <v>16.5</v>
      </c>
      <c r="GW137" s="9" t="n">
        <v>0</v>
      </c>
      <c r="GX137" s="9" t="n">
        <v>1</v>
      </c>
      <c r="GY137" s="9" t="n">
        <v>0</v>
      </c>
      <c r="GZ137" s="9" t="n">
        <v>0</v>
      </c>
      <c r="HA137" s="11" t="n">
        <f aca="false">(GW137+GX137+GY137+GZ137)/4</f>
        <v>0.25</v>
      </c>
      <c r="HB137" s="9" t="n">
        <f aca="false">(GW137/GR137)</f>
        <v>0</v>
      </c>
      <c r="HC137" s="9" t="n">
        <f aca="false">(GX137/GS137)</f>
        <v>0.0666666666666667</v>
      </c>
      <c r="HD137" s="9" t="n">
        <f aca="false">(GY137/GT137)</f>
        <v>0</v>
      </c>
      <c r="HE137" s="9" t="n">
        <f aca="false">(GZ137/GU137)/4</f>
        <v>0</v>
      </c>
      <c r="HF137" s="9" t="n">
        <f aca="false">(HB137+HC137+HD137+HE137)/4</f>
        <v>0.0166666666666667</v>
      </c>
      <c r="HG137" s="9" t="n">
        <f aca="false">(100*HF137)</f>
        <v>1.66666666666667</v>
      </c>
      <c r="HH137" s="18" t="n">
        <v>1</v>
      </c>
      <c r="HI137" s="9" t="n">
        <v>3</v>
      </c>
      <c r="HJ137" s="9" t="n">
        <v>2</v>
      </c>
      <c r="HK137" s="9" t="n">
        <v>1</v>
      </c>
      <c r="HL137" s="19" t="n">
        <v>4</v>
      </c>
      <c r="HM137" s="9" t="n">
        <f aca="false">(HI137+HJ137+HK137+HL137)/4</f>
        <v>2.5</v>
      </c>
      <c r="HN137" s="9" t="n">
        <f aca="false">(HI137/GR137)</f>
        <v>0.142857142857143</v>
      </c>
      <c r="HO137" s="9" t="n">
        <f aca="false">(HJ137/GS137)</f>
        <v>0.133333333333333</v>
      </c>
      <c r="HP137" s="9" t="n">
        <f aca="false">(HK137/GT137)</f>
        <v>0.0555555555555556</v>
      </c>
      <c r="HQ137" s="9" t="n">
        <f aca="false">(HL137/GU137)</f>
        <v>0.333333333333333</v>
      </c>
      <c r="HR137" s="9" t="n">
        <f aca="false">(HM137/GV137)</f>
        <v>0.151515151515152</v>
      </c>
      <c r="HS137" s="9" t="n">
        <f aca="false">(100*HR137)</f>
        <v>15.1515151515152</v>
      </c>
      <c r="HT137" s="18" t="n">
        <v>2</v>
      </c>
      <c r="HU137" s="9" t="n">
        <v>14</v>
      </c>
      <c r="HV137" s="9" t="n">
        <v>2</v>
      </c>
      <c r="HW137" s="9" t="n">
        <v>2</v>
      </c>
      <c r="HX137" s="19" t="n">
        <v>5</v>
      </c>
      <c r="HY137" s="9" t="n">
        <f aca="false">(HU137+HV137+HW137+HX137)/4</f>
        <v>5.75</v>
      </c>
      <c r="HZ137" s="9" t="n">
        <f aca="false">(HU137/GR137)</f>
        <v>0.666666666666667</v>
      </c>
      <c r="IA137" s="9" t="n">
        <f aca="false">HV137/GS137</f>
        <v>0.133333333333333</v>
      </c>
      <c r="IB137" s="9" t="n">
        <f aca="false">(HW137/GT137)</f>
        <v>0.111111111111111</v>
      </c>
      <c r="IC137" s="9" t="n">
        <f aca="false">(HX137/GU137)</f>
        <v>0.416666666666667</v>
      </c>
      <c r="ID137" s="9" t="n">
        <f aca="false">(HY137/GV137)</f>
        <v>0.348484848484849</v>
      </c>
      <c r="IE137" s="9" t="n">
        <f aca="false">(100*ID137)</f>
        <v>34.8484848484849</v>
      </c>
      <c r="IF137" s="18" t="n">
        <v>3</v>
      </c>
      <c r="IG137" s="9" t="n">
        <v>8</v>
      </c>
      <c r="IH137" s="9" t="n">
        <v>3</v>
      </c>
      <c r="II137" s="19" t="n">
        <v>3</v>
      </c>
      <c r="IJ137" s="9" t="n">
        <v>1</v>
      </c>
      <c r="IK137" s="9" t="n">
        <f aca="false">(IG137+IH137+II137+IJ137)/4</f>
        <v>3.75</v>
      </c>
      <c r="IL137" s="9" t="n">
        <f aca="false">(IG137/GM137)</f>
        <v>0.148148148148148</v>
      </c>
      <c r="IM137" s="9" t="n">
        <f aca="false">(IH137/GN137)</f>
        <v>0.12</v>
      </c>
      <c r="IN137" s="9" t="n">
        <f aca="false">(II137/GO137)</f>
        <v>0.103448275862069</v>
      </c>
      <c r="IO137" s="9" t="n">
        <f aca="false">(IJ137/GP137)</f>
        <v>0.0526315789473684</v>
      </c>
      <c r="IP137" s="9" t="n">
        <f aca="false">(IK137/GQ137)</f>
        <v>0.118110236220472</v>
      </c>
      <c r="IQ137" s="9" t="n">
        <f aca="false">(100*IP137)</f>
        <v>11.8110236220472</v>
      </c>
      <c r="IR137" s="18" t="n">
        <v>2</v>
      </c>
      <c r="IS137" s="9" t="n">
        <v>76.8</v>
      </c>
      <c r="IT137" s="9" t="n">
        <v>65.8</v>
      </c>
      <c r="IU137" s="19" t="n">
        <v>55.9</v>
      </c>
      <c r="IV137" s="9" t="n">
        <v>61.8</v>
      </c>
      <c r="IW137" s="9" t="n">
        <f aca="false">(IS137+IT137+IU137+IV137)/4</f>
        <v>65.075</v>
      </c>
      <c r="IX137" s="16" t="n">
        <v>45242</v>
      </c>
      <c r="IY137" s="10" t="s">
        <v>268</v>
      </c>
    </row>
    <row r="138" customFormat="false" ht="15.75" hidden="false" customHeight="true" outlineLevel="0" collapsed="false">
      <c r="A138" s="9" t="s">
        <v>343</v>
      </c>
      <c r="B138" s="10" t="s">
        <v>581</v>
      </c>
      <c r="C138" s="10" t="s">
        <v>514</v>
      </c>
      <c r="D138" s="9" t="n">
        <v>2</v>
      </c>
      <c r="E138" s="9" t="n">
        <v>46</v>
      </c>
      <c r="F138" s="10" t="s">
        <v>586</v>
      </c>
      <c r="G138" s="11" t="s">
        <v>263</v>
      </c>
      <c r="H138" s="9" t="n">
        <v>21</v>
      </c>
      <c r="I138" s="9" t="n">
        <v>10</v>
      </c>
      <c r="J138" s="12" t="s">
        <v>270</v>
      </c>
      <c r="K138" s="20"/>
      <c r="L138" s="20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 t="n">
        <v>0</v>
      </c>
      <c r="Y138" s="9" t="n">
        <v>0</v>
      </c>
      <c r="Z138" s="9" t="n">
        <v>0</v>
      </c>
      <c r="AA138" s="9" t="n">
        <v>0</v>
      </c>
      <c r="AB138" s="11" t="n">
        <f aca="false">(X138+Y138+Z138+AA138)/4</f>
        <v>0</v>
      </c>
      <c r="AC138" s="9" t="n">
        <v>1</v>
      </c>
      <c r="AD138" s="9" t="n">
        <v>1</v>
      </c>
      <c r="AE138" s="9" t="n">
        <v>1</v>
      </c>
      <c r="AF138" s="9" t="n">
        <v>1</v>
      </c>
      <c r="AG138" s="11" t="n">
        <f aca="false">(AC138+AD138+AE138+AF138)/4</f>
        <v>1</v>
      </c>
      <c r="AH138" s="9" t="n">
        <v>1</v>
      </c>
      <c r="AI138" s="9" t="n">
        <v>1</v>
      </c>
      <c r="AJ138" s="9" t="n">
        <v>0</v>
      </c>
      <c r="AK138" s="9" t="n">
        <v>1</v>
      </c>
      <c r="AL138" s="11" t="n">
        <f aca="false">(AH138+AI138+AJ138+AK138)/4</f>
        <v>0.75</v>
      </c>
      <c r="AM138" s="9" t="n">
        <v>4</v>
      </c>
      <c r="AN138" s="9" t="n">
        <v>20</v>
      </c>
      <c r="AO138" s="9" t="n">
        <v>5</v>
      </c>
      <c r="AP138" s="9" t="n">
        <v>6</v>
      </c>
      <c r="AQ138" s="11" t="n">
        <f aca="false">(AM138+AN138+AO138+AP138)/4</f>
        <v>8.75</v>
      </c>
      <c r="AR138" s="9" t="n">
        <v>10</v>
      </c>
      <c r="AS138" s="9" t="n">
        <v>12</v>
      </c>
      <c r="AT138" s="9" t="n">
        <v>2</v>
      </c>
      <c r="AU138" s="9" t="n">
        <v>4</v>
      </c>
      <c r="AV138" s="11" t="n">
        <f aca="false">(AR138+AS138+AT138+AU138)/4</f>
        <v>7</v>
      </c>
      <c r="AW138" s="9" t="n">
        <v>0</v>
      </c>
      <c r="AX138" s="9" t="n">
        <v>0</v>
      </c>
      <c r="AY138" s="9" t="n">
        <v>0</v>
      </c>
      <c r="AZ138" s="9" t="n">
        <v>0</v>
      </c>
      <c r="BA138" s="11" t="n">
        <f aca="false">(AW138+AX138+AY138+AZ138)/4</f>
        <v>0</v>
      </c>
      <c r="BB138" s="11" t="n">
        <f aca="false">(AW138/AR138)</f>
        <v>0</v>
      </c>
      <c r="BC138" s="11" t="n">
        <f aca="false">(AX138/AS138)</f>
        <v>0</v>
      </c>
      <c r="BD138" s="11" t="n">
        <f aca="false">(AY138/AT138)</f>
        <v>0</v>
      </c>
      <c r="BE138" s="11" t="n">
        <f aca="false">(AZ138/AU138)</f>
        <v>0</v>
      </c>
      <c r="BF138" s="11" t="n">
        <f aca="false">(BA138/AV138)</f>
        <v>0</v>
      </c>
      <c r="BG138" s="11" t="n">
        <f aca="false">(BF138*100)</f>
        <v>0</v>
      </c>
      <c r="BH138" s="9" t="n">
        <v>0</v>
      </c>
      <c r="BI138" s="9" t="n">
        <v>3</v>
      </c>
      <c r="BJ138" s="9" t="n">
        <v>5</v>
      </c>
      <c r="BK138" s="9" t="n">
        <v>2</v>
      </c>
      <c r="BL138" s="9" t="n">
        <v>1</v>
      </c>
      <c r="BM138" s="11" t="n">
        <f aca="false">(BI138+BJ138+BK138+BL138)/4</f>
        <v>2.75</v>
      </c>
      <c r="BN138" s="11" t="n">
        <f aca="false">(BI138/AR138)</f>
        <v>0.3</v>
      </c>
      <c r="BO138" s="11" t="n">
        <f aca="false">(BJ138/AS138)</f>
        <v>0.416666666666667</v>
      </c>
      <c r="BP138" s="11" t="n">
        <f aca="false">(BK138/AT138)</f>
        <v>1</v>
      </c>
      <c r="BQ138" s="11" t="n">
        <f aca="false">(BL138/AU138)</f>
        <v>0.25</v>
      </c>
      <c r="BR138" s="11" t="n">
        <f aca="false">(BM138/AV138)</f>
        <v>0.392857142857143</v>
      </c>
      <c r="BS138" s="11" t="n">
        <f aca="false">(100*BR138)</f>
        <v>39.2857142857143</v>
      </c>
      <c r="BT138" s="9" t="n">
        <v>3</v>
      </c>
      <c r="BU138" s="9" t="n">
        <v>0</v>
      </c>
      <c r="BV138" s="9" t="n">
        <v>1</v>
      </c>
      <c r="BW138" s="9" t="n">
        <v>0</v>
      </c>
      <c r="BX138" s="9" t="n">
        <v>1</v>
      </c>
      <c r="BY138" s="11" t="n">
        <f aca="false">(BU138+BV138+BW138+BX138)/4</f>
        <v>0.5</v>
      </c>
      <c r="BZ138" s="11" t="n">
        <f aca="false">(BU138/AR138)</f>
        <v>0</v>
      </c>
      <c r="CA138" s="11" t="n">
        <f aca="false">(BV138/AS138)</f>
        <v>0.0833333333333333</v>
      </c>
      <c r="CB138" s="11" t="n">
        <f aca="false">(BW138/AT138)</f>
        <v>0</v>
      </c>
      <c r="CC138" s="11" t="n">
        <f aca="false">(BX138/AU138)</f>
        <v>0.25</v>
      </c>
      <c r="CD138" s="11" t="n">
        <f aca="false">(BY138/AV138)</f>
        <v>0.0714285714285714</v>
      </c>
      <c r="CE138" s="11" t="n">
        <f aca="false">(100*CD138)</f>
        <v>7.14285714285714</v>
      </c>
      <c r="CF138" s="9" t="n">
        <v>1</v>
      </c>
      <c r="CG138" s="9" t="n">
        <v>4</v>
      </c>
      <c r="CH138" s="9" t="n">
        <v>3</v>
      </c>
      <c r="CI138" s="9" t="n">
        <v>0</v>
      </c>
      <c r="CJ138" s="9" t="n">
        <v>2</v>
      </c>
      <c r="CK138" s="11" t="n">
        <f aca="false">(CG138+CH138+CI138+CJ138)/4</f>
        <v>2.25</v>
      </c>
      <c r="CL138" s="11" t="n">
        <f aca="false">(CG138/AM138)</f>
        <v>1</v>
      </c>
      <c r="CM138" s="11" t="n">
        <f aca="false">(CH138/AN138)</f>
        <v>0.15</v>
      </c>
      <c r="CN138" s="11" t="n">
        <f aca="false">(CI138/AO138)</f>
        <v>0</v>
      </c>
      <c r="CO138" s="9" t="n">
        <f aca="false">(CJ138/AP138)</f>
        <v>0.333333333333333</v>
      </c>
      <c r="CP138" s="9" t="n">
        <f aca="false">(CK138/AQ138)</f>
        <v>0.257142857142857</v>
      </c>
      <c r="CQ138" s="9" t="n">
        <f aca="false">(100*CP138)</f>
        <v>25.7142857142857</v>
      </c>
      <c r="CR138" s="18" t="n">
        <v>2</v>
      </c>
      <c r="CS138" s="9" t="n">
        <v>75</v>
      </c>
      <c r="CT138" s="9" t="n">
        <v>75.2</v>
      </c>
      <c r="CU138" s="9" t="n">
        <v>43.2</v>
      </c>
      <c r="CV138" s="9" t="n">
        <v>43.2</v>
      </c>
      <c r="CW138" s="11" t="n">
        <f aca="false">(CS138+CT138+CU138+CV138)/4</f>
        <v>59.15</v>
      </c>
      <c r="CX138" s="9" t="n">
        <v>0</v>
      </c>
      <c r="CY138" s="9" t="n">
        <v>0</v>
      </c>
      <c r="CZ138" s="9" t="n">
        <v>0</v>
      </c>
      <c r="DA138" s="9" t="n">
        <v>0</v>
      </c>
      <c r="DB138" s="11" t="n">
        <f aca="false">(CX138+CY138+CZ138+DA138)/4</f>
        <v>0</v>
      </c>
      <c r="DC138" s="9" t="n">
        <v>1</v>
      </c>
      <c r="DD138" s="9" t="n">
        <v>1</v>
      </c>
      <c r="DE138" s="9" t="n">
        <v>1</v>
      </c>
      <c r="DF138" s="9" t="n">
        <v>1</v>
      </c>
      <c r="DG138" s="11" t="n">
        <f aca="false">(DC138+DD138+DE138+DF138)/4</f>
        <v>1</v>
      </c>
      <c r="DH138" s="9" t="n">
        <v>1</v>
      </c>
      <c r="DI138" s="9" t="n">
        <v>1</v>
      </c>
      <c r="DJ138" s="9" t="n">
        <v>1</v>
      </c>
      <c r="DK138" s="9" t="n">
        <v>1</v>
      </c>
      <c r="DL138" s="11" t="n">
        <f aca="false">(DH138+DI138+DJ138+DK138)/4</f>
        <v>1</v>
      </c>
      <c r="DM138" s="9" t="n">
        <v>33</v>
      </c>
      <c r="DN138" s="9" t="n">
        <v>35</v>
      </c>
      <c r="DO138" s="9" t="n">
        <v>50</v>
      </c>
      <c r="DP138" s="9" t="n">
        <v>17</v>
      </c>
      <c r="DQ138" s="11" t="n">
        <f aca="false">(DM138+DN138+DO138+DP138)/4</f>
        <v>33.75</v>
      </c>
      <c r="DR138" s="9" t="n">
        <v>15</v>
      </c>
      <c r="DS138" s="9" t="n">
        <v>20</v>
      </c>
      <c r="DT138" s="9" t="n">
        <v>13</v>
      </c>
      <c r="DU138" s="9" t="n">
        <v>12</v>
      </c>
      <c r="DV138" s="11" t="n">
        <f aca="false">(DR138+DS138+DT138+DU138)/4</f>
        <v>15</v>
      </c>
      <c r="DW138" s="9" t="n">
        <v>0</v>
      </c>
      <c r="DX138" s="9" t="n">
        <v>0</v>
      </c>
      <c r="DY138" s="9" t="n">
        <v>0</v>
      </c>
      <c r="DZ138" s="9" t="n">
        <v>0</v>
      </c>
      <c r="EA138" s="11" t="n">
        <f aca="false">(DW138+DX138+DY138+DZ138)/4</f>
        <v>0</v>
      </c>
      <c r="EB138" s="11" t="n">
        <f aca="false">(DW138/DR138)</f>
        <v>0</v>
      </c>
      <c r="EC138" s="11" t="n">
        <f aca="false">(DX138/DS138)</f>
        <v>0</v>
      </c>
      <c r="ED138" s="11" t="n">
        <f aca="false">(DY138/DT138)</f>
        <v>0</v>
      </c>
      <c r="EE138" s="11" t="n">
        <f aca="false">(DZ138/DU138)</f>
        <v>0</v>
      </c>
      <c r="EF138" s="11" t="n">
        <f aca="false">(EA138/DV138)</f>
        <v>0</v>
      </c>
      <c r="EG138" s="11" t="n">
        <f aca="false">(100*EF138)</f>
        <v>0</v>
      </c>
      <c r="EH138" s="9" t="n">
        <v>0</v>
      </c>
      <c r="EI138" s="9" t="n">
        <v>14</v>
      </c>
      <c r="EJ138" s="9" t="n">
        <v>4</v>
      </c>
      <c r="EK138" s="19" t="n">
        <v>3</v>
      </c>
      <c r="EL138" s="9" t="n">
        <v>1</v>
      </c>
      <c r="EM138" s="9" t="n">
        <f aca="false">(EI138+EJ138+EK138+EL138)/4</f>
        <v>5.5</v>
      </c>
      <c r="EN138" s="9" t="n">
        <f aca="false">(EI138/DR138)</f>
        <v>0.933333333333333</v>
      </c>
      <c r="EO138" s="9" t="n">
        <f aca="false">(EJ138/DS138)</f>
        <v>0.2</v>
      </c>
      <c r="EP138" s="9" t="n">
        <f aca="false">(EK138/DT138)</f>
        <v>0.230769230769231</v>
      </c>
      <c r="EQ138" s="9" t="n">
        <f aca="false">(EL138/DU138)</f>
        <v>0.0833333333333333</v>
      </c>
      <c r="ER138" s="9" t="n">
        <f aca="false">EM138/DV138</f>
        <v>0.366666666666667</v>
      </c>
      <c r="ES138" s="9" t="n">
        <f aca="false">(100*ER138)</f>
        <v>36.6666666666667</v>
      </c>
      <c r="ET138" s="9" t="n">
        <v>3</v>
      </c>
      <c r="EU138" s="18" t="n">
        <v>4</v>
      </c>
      <c r="EV138" s="9" t="n">
        <v>0</v>
      </c>
      <c r="EW138" s="9" t="n">
        <v>1</v>
      </c>
      <c r="EX138" s="9" t="n">
        <v>2</v>
      </c>
      <c r="EY138" s="11" t="n">
        <f aca="false">(EU138+EV138+EW138+EX138)/4</f>
        <v>1.75</v>
      </c>
      <c r="EZ138" s="11" t="n">
        <f aca="false">(EU138/DR138)</f>
        <v>0.266666666666667</v>
      </c>
      <c r="FA138" s="11" t="n">
        <f aca="false">(EV138/DS138)</f>
        <v>0</v>
      </c>
      <c r="FB138" s="11" t="n">
        <f aca="false">(EW138/DT138)</f>
        <v>0.0769230769230769</v>
      </c>
      <c r="FC138" s="11" t="n">
        <f aca="false">(EX138/DU138)</f>
        <v>0.166666666666667</v>
      </c>
      <c r="FD138" s="11" t="n">
        <f aca="false">(EY138/DV138)</f>
        <v>0.116666666666667</v>
      </c>
      <c r="FE138" s="11" t="n">
        <f aca="false">(100*FD138)</f>
        <v>11.6666666666667</v>
      </c>
      <c r="FF138" s="9" t="n">
        <v>2</v>
      </c>
      <c r="FG138" s="9" t="n">
        <v>5</v>
      </c>
      <c r="FH138" s="9" t="n">
        <v>8</v>
      </c>
      <c r="FI138" s="9" t="n">
        <v>1</v>
      </c>
      <c r="FJ138" s="9" t="n">
        <v>0</v>
      </c>
      <c r="FK138" s="11" t="n">
        <f aca="false">(FG138+FH138+FI138+FJ138)/4</f>
        <v>3.5</v>
      </c>
      <c r="FL138" s="11" t="n">
        <f aca="false">(FG138/DR138)</f>
        <v>0.333333333333333</v>
      </c>
      <c r="FM138" s="11" t="n">
        <f aca="false">(FH138/DS138)</f>
        <v>0.4</v>
      </c>
      <c r="FN138" s="11" t="n">
        <f aca="false">(FI138/DT138)</f>
        <v>0.0769230769230769</v>
      </c>
      <c r="FO138" s="11" t="n">
        <f aca="false">(FJ138/DU138)</f>
        <v>0</v>
      </c>
      <c r="FP138" s="11" t="n">
        <f aca="false">(FK138/DV138)</f>
        <v>0.233333333333333</v>
      </c>
      <c r="FQ138" s="11" t="n">
        <f aca="false">(100*FP138)</f>
        <v>23.3333333333333</v>
      </c>
      <c r="FR138" s="9" t="n">
        <v>2</v>
      </c>
      <c r="FS138" s="9" t="n">
        <v>72.4</v>
      </c>
      <c r="FT138" s="9" t="n">
        <v>78.6</v>
      </c>
      <c r="FU138" s="9" t="n">
        <v>79.2</v>
      </c>
      <c r="FV138" s="9" t="n">
        <v>11.2</v>
      </c>
      <c r="FW138" s="11" t="n">
        <f aca="false">(FS138+FT138+FU138+FV138)/4</f>
        <v>60.35</v>
      </c>
      <c r="FX138" s="9" t="n">
        <v>0</v>
      </c>
      <c r="FY138" s="9" t="n">
        <v>0</v>
      </c>
      <c r="FZ138" s="9" t="n">
        <v>0</v>
      </c>
      <c r="GA138" s="9" t="n">
        <v>0</v>
      </c>
      <c r="GB138" s="11" t="n">
        <f aca="false">(FX138+FY138+FZ138+GA138)/4</f>
        <v>0</v>
      </c>
      <c r="GC138" s="9" t="n">
        <v>1</v>
      </c>
      <c r="GD138" s="9" t="n">
        <v>1</v>
      </c>
      <c r="GE138" s="9" t="n">
        <v>1</v>
      </c>
      <c r="GF138" s="9" t="n">
        <v>1</v>
      </c>
      <c r="GG138" s="11" t="n">
        <f aca="false">(GC138+GD138+GE138+GF138)/4</f>
        <v>1</v>
      </c>
      <c r="GH138" s="9" t="n">
        <v>1</v>
      </c>
      <c r="GI138" s="9" t="n">
        <v>1</v>
      </c>
      <c r="GJ138" s="9" t="n">
        <v>1</v>
      </c>
      <c r="GK138" s="9" t="n">
        <v>1</v>
      </c>
      <c r="GL138" s="11" t="n">
        <f aca="false">(GH138+GI138+GJ138+GK138)/4</f>
        <v>1</v>
      </c>
      <c r="GM138" s="11" t="n">
        <v>36</v>
      </c>
      <c r="GN138" s="11" t="n">
        <v>19</v>
      </c>
      <c r="GO138" s="11" t="n">
        <v>18</v>
      </c>
      <c r="GP138" s="11" t="n">
        <v>11</v>
      </c>
      <c r="GQ138" s="11" t="n">
        <f aca="false">(GM138+GN138+GO138+GP138)/4</f>
        <v>21</v>
      </c>
      <c r="GR138" s="11" t="n">
        <v>11</v>
      </c>
      <c r="GS138" s="11" t="n">
        <v>17</v>
      </c>
      <c r="GT138" s="11" t="n">
        <v>13</v>
      </c>
      <c r="GU138" s="11" t="n">
        <v>17</v>
      </c>
      <c r="GV138" s="11" t="n">
        <f aca="false">(GR138+GS138+GT138+GU138)/4</f>
        <v>14.5</v>
      </c>
      <c r="GW138" s="11" t="n">
        <v>0</v>
      </c>
      <c r="GX138" s="11" t="n">
        <v>0</v>
      </c>
      <c r="GY138" s="11" t="n">
        <v>0</v>
      </c>
      <c r="GZ138" s="11" t="n">
        <v>0</v>
      </c>
      <c r="HA138" s="11" t="n">
        <f aca="false">(GW138+GX138+GY138+GZ138)/4</f>
        <v>0</v>
      </c>
      <c r="HB138" s="9" t="n">
        <f aca="false">(GW138/GR138)</f>
        <v>0</v>
      </c>
      <c r="HC138" s="9" t="n">
        <f aca="false">(GX138/GS138)</f>
        <v>0</v>
      </c>
      <c r="HD138" s="9" t="n">
        <f aca="false">(GY138/GT138)</f>
        <v>0</v>
      </c>
      <c r="HE138" s="9" t="n">
        <f aca="false">(GZ138/GU138)/4</f>
        <v>0</v>
      </c>
      <c r="HF138" s="9" t="n">
        <f aca="false">(HB138+HC138+HD138+HE138)/4</f>
        <v>0</v>
      </c>
      <c r="HG138" s="9" t="n">
        <f aca="false">(100*HF138)</f>
        <v>0</v>
      </c>
      <c r="HH138" s="11" t="n">
        <v>0</v>
      </c>
      <c r="HI138" s="11" t="n">
        <v>2</v>
      </c>
      <c r="HJ138" s="11" t="n">
        <v>1</v>
      </c>
      <c r="HK138" s="11" t="n">
        <v>2</v>
      </c>
      <c r="HL138" s="11" t="n">
        <v>6</v>
      </c>
      <c r="HM138" s="9" t="n">
        <f aca="false">(HI138+HJ138+HK138+HL138)/4</f>
        <v>2.75</v>
      </c>
      <c r="HN138" s="9" t="n">
        <f aca="false">(HI138/GR138)</f>
        <v>0.181818181818182</v>
      </c>
      <c r="HO138" s="9" t="n">
        <f aca="false">(HJ138/GS138)</f>
        <v>0.0588235294117647</v>
      </c>
      <c r="HP138" s="9" t="n">
        <f aca="false">(HK138/GT138)</f>
        <v>0.153846153846154</v>
      </c>
      <c r="HQ138" s="9" t="n">
        <f aca="false">(HL138/GU138)</f>
        <v>0.352941176470588</v>
      </c>
      <c r="HR138" s="9" t="n">
        <f aca="false">(HM138/GV138)</f>
        <v>0.189655172413793</v>
      </c>
      <c r="HS138" s="9" t="n">
        <f aca="false">(100*HR138)</f>
        <v>18.9655172413793</v>
      </c>
      <c r="HT138" s="11" t="n">
        <v>2</v>
      </c>
      <c r="HU138" s="11" t="n">
        <v>4</v>
      </c>
      <c r="HV138" s="11" t="n">
        <v>1</v>
      </c>
      <c r="HW138" s="11" t="n">
        <v>1</v>
      </c>
      <c r="HX138" s="11" t="n">
        <v>1</v>
      </c>
      <c r="HY138" s="9" t="n">
        <f aca="false">(HU138+HV138+HW138+HX138)/4</f>
        <v>1.75</v>
      </c>
      <c r="HZ138" s="9" t="n">
        <f aca="false">(HU138/GR138)</f>
        <v>0.363636363636364</v>
      </c>
      <c r="IA138" s="9" t="n">
        <f aca="false">HV138/GS138</f>
        <v>0.0588235294117647</v>
      </c>
      <c r="IB138" s="9" t="n">
        <f aca="false">(HW138/GT138)</f>
        <v>0.0769230769230769</v>
      </c>
      <c r="IC138" s="9" t="n">
        <f aca="false">(HX138/GU138)</f>
        <v>0.0588235294117647</v>
      </c>
      <c r="ID138" s="9" t="n">
        <f aca="false">(HY138/GV138)</f>
        <v>0.120689655172414</v>
      </c>
      <c r="IE138" s="9" t="n">
        <f aca="false">(100*ID138)</f>
        <v>12.0689655172414</v>
      </c>
      <c r="IF138" s="11" t="n">
        <v>2</v>
      </c>
      <c r="IG138" s="11" t="n">
        <v>4</v>
      </c>
      <c r="IH138" s="11" t="n">
        <v>2</v>
      </c>
      <c r="II138" s="11" t="n">
        <v>3</v>
      </c>
      <c r="IJ138" s="9" t="n">
        <v>1</v>
      </c>
      <c r="IK138" s="9" t="n">
        <f aca="false">(IG138+IH138+II138+IJ138)/4</f>
        <v>2.5</v>
      </c>
      <c r="IL138" s="9" t="n">
        <f aca="false">(IG138/GM138)</f>
        <v>0.111111111111111</v>
      </c>
      <c r="IM138" s="9" t="n">
        <f aca="false">(IH138/GN138)</f>
        <v>0.105263157894737</v>
      </c>
      <c r="IN138" s="9" t="n">
        <f aca="false">(II138/GO138)</f>
        <v>0.166666666666667</v>
      </c>
      <c r="IO138" s="9" t="n">
        <f aca="false">(IJ138/GP138)</f>
        <v>0.0909090909090909</v>
      </c>
      <c r="IP138" s="9" t="n">
        <f aca="false">(IK138/GQ138)</f>
        <v>0.119047619047619</v>
      </c>
      <c r="IQ138" s="9" t="n">
        <f aca="false">(100*IP138)</f>
        <v>11.9047619047619</v>
      </c>
      <c r="IR138" s="11" t="n">
        <v>2</v>
      </c>
      <c r="IS138" s="11" t="n">
        <v>67.7</v>
      </c>
      <c r="IT138" s="11" t="n">
        <v>64.2</v>
      </c>
      <c r="IU138" s="11" t="n">
        <v>42.5</v>
      </c>
      <c r="IV138" s="11" t="n">
        <v>43.1</v>
      </c>
      <c r="IW138" s="9" t="n">
        <f aca="false">(IS138+IT138+IU138+IV138)/4</f>
        <v>54.375</v>
      </c>
      <c r="IX138" s="16" t="n">
        <v>45242</v>
      </c>
      <c r="IY138" s="10" t="s">
        <v>268</v>
      </c>
    </row>
    <row r="139" customFormat="false" ht="15.75" hidden="false" customHeight="true" outlineLevel="0" collapsed="false">
      <c r="A139" s="9" t="s">
        <v>343</v>
      </c>
      <c r="B139" s="10" t="s">
        <v>581</v>
      </c>
      <c r="C139" s="10" t="s">
        <v>514</v>
      </c>
      <c r="D139" s="9" t="n">
        <v>2</v>
      </c>
      <c r="E139" s="9" t="n">
        <v>46</v>
      </c>
      <c r="F139" s="10" t="s">
        <v>587</v>
      </c>
      <c r="G139" s="11" t="s">
        <v>263</v>
      </c>
      <c r="H139" s="9" t="n">
        <v>21</v>
      </c>
      <c r="I139" s="9" t="n">
        <v>18</v>
      </c>
      <c r="J139" s="10" t="s">
        <v>272</v>
      </c>
      <c r="K139" s="20"/>
      <c r="L139" s="20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 t="n">
        <v>0</v>
      </c>
      <c r="Y139" s="9" t="n">
        <v>0</v>
      </c>
      <c r="Z139" s="9" t="n">
        <v>0</v>
      </c>
      <c r="AA139" s="9" t="n">
        <v>0</v>
      </c>
      <c r="AB139" s="11" t="n">
        <f aca="false">(X139+Y139+Z139+AA139)/4</f>
        <v>0</v>
      </c>
      <c r="AC139" s="9" t="n">
        <v>0</v>
      </c>
      <c r="AD139" s="9" t="n">
        <v>0</v>
      </c>
      <c r="AE139" s="9" t="n">
        <v>1</v>
      </c>
      <c r="AF139" s="9" t="n">
        <v>1</v>
      </c>
      <c r="AG139" s="11" t="n">
        <f aca="false">(AC139+AD139+AE139+AF139)/4</f>
        <v>0.5</v>
      </c>
      <c r="AH139" s="9" t="n">
        <v>1</v>
      </c>
      <c r="AI139" s="9" t="n">
        <v>1</v>
      </c>
      <c r="AJ139" s="9" t="n">
        <v>1</v>
      </c>
      <c r="AK139" s="9" t="n">
        <v>1</v>
      </c>
      <c r="AL139" s="11" t="n">
        <f aca="false">(AH139+AI139+AJ139+AK139)/4</f>
        <v>1</v>
      </c>
      <c r="AM139" s="9" t="n">
        <v>29</v>
      </c>
      <c r="AN139" s="9" t="n">
        <v>43</v>
      </c>
      <c r="AO139" s="9" t="n">
        <v>35</v>
      </c>
      <c r="AP139" s="9" t="n">
        <v>3</v>
      </c>
      <c r="AQ139" s="11" t="n">
        <f aca="false">(AM139+AN139+AO139+AP139)/4</f>
        <v>27.5</v>
      </c>
      <c r="AR139" s="9" t="n">
        <v>5</v>
      </c>
      <c r="AS139" s="9" t="n">
        <v>35</v>
      </c>
      <c r="AT139" s="9" t="n">
        <v>8</v>
      </c>
      <c r="AU139" s="9" t="n">
        <v>12</v>
      </c>
      <c r="AV139" s="11" t="n">
        <f aca="false">(AR139+AS139+AT139+AU139)/4</f>
        <v>15</v>
      </c>
      <c r="AW139" s="9" t="n">
        <v>0</v>
      </c>
      <c r="AX139" s="9" t="n">
        <v>0</v>
      </c>
      <c r="AY139" s="9" t="n">
        <v>0</v>
      </c>
      <c r="AZ139" s="9" t="n">
        <v>0</v>
      </c>
      <c r="BA139" s="11" t="n">
        <f aca="false">(AW139+AX139+AY139+AZ139)/4</f>
        <v>0</v>
      </c>
      <c r="BB139" s="11" t="n">
        <f aca="false">(AW139/AR139)</f>
        <v>0</v>
      </c>
      <c r="BC139" s="11" t="n">
        <f aca="false">(AX139/AS139)</f>
        <v>0</v>
      </c>
      <c r="BD139" s="11" t="n">
        <f aca="false">(AY139/AT139)</f>
        <v>0</v>
      </c>
      <c r="BE139" s="11" t="n">
        <f aca="false">(AZ139/AU139)</f>
        <v>0</v>
      </c>
      <c r="BF139" s="11" t="n">
        <f aca="false">(BA139/AV139)</f>
        <v>0</v>
      </c>
      <c r="BG139" s="11" t="n">
        <f aca="false">(BF139*100)</f>
        <v>0</v>
      </c>
      <c r="BH139" s="9" t="n">
        <v>0</v>
      </c>
      <c r="BI139" s="9" t="n">
        <v>0</v>
      </c>
      <c r="BJ139" s="9" t="n">
        <v>0</v>
      </c>
      <c r="BK139" s="9" t="n">
        <v>6</v>
      </c>
      <c r="BL139" s="9" t="n">
        <v>1</v>
      </c>
      <c r="BM139" s="11" t="n">
        <f aca="false">(BI139+BJ139+BK139+BL139)/4</f>
        <v>1.75</v>
      </c>
      <c r="BN139" s="11" t="n">
        <f aca="false">(BI139/AR139)</f>
        <v>0</v>
      </c>
      <c r="BO139" s="11" t="n">
        <f aca="false">(BJ139/AS139)</f>
        <v>0</v>
      </c>
      <c r="BP139" s="11" t="n">
        <f aca="false">(BK139/AT139)</f>
        <v>0.75</v>
      </c>
      <c r="BQ139" s="11" t="n">
        <f aca="false">(BL139/AU139)</f>
        <v>0.0833333333333333</v>
      </c>
      <c r="BR139" s="11" t="n">
        <f aca="false">(BM139/AV139)</f>
        <v>0.116666666666667</v>
      </c>
      <c r="BS139" s="11" t="n">
        <f aca="false">(100*BR139)</f>
        <v>11.6666666666667</v>
      </c>
      <c r="BT139" s="9" t="n">
        <v>2</v>
      </c>
      <c r="BU139" s="9" t="n">
        <v>0</v>
      </c>
      <c r="BV139" s="9" t="n">
        <v>0</v>
      </c>
      <c r="BW139" s="9" t="n">
        <v>0</v>
      </c>
      <c r="BX139" s="9" t="n">
        <v>1</v>
      </c>
      <c r="BY139" s="11" t="n">
        <f aca="false">(BU139+BV139+BW139+BX139)/4</f>
        <v>0.25</v>
      </c>
      <c r="BZ139" s="11" t="n">
        <f aca="false">(BU139/AR139)</f>
        <v>0</v>
      </c>
      <c r="CA139" s="11" t="n">
        <f aca="false">(BV139/AS139)</f>
        <v>0</v>
      </c>
      <c r="CB139" s="11" t="n">
        <f aca="false">(BW139/AT139)</f>
        <v>0</v>
      </c>
      <c r="CC139" s="11" t="n">
        <f aca="false">(BX139/AU139)</f>
        <v>0.0833333333333333</v>
      </c>
      <c r="CD139" s="11" t="n">
        <f aca="false">(BY139/AV139)</f>
        <v>0.0166666666666667</v>
      </c>
      <c r="CE139" s="11" t="n">
        <f aca="false">(100*CD139)</f>
        <v>1.66666666666667</v>
      </c>
      <c r="CF139" s="9" t="n">
        <v>1</v>
      </c>
      <c r="CG139" s="9" t="n">
        <v>14</v>
      </c>
      <c r="CH139" s="9" t="n">
        <v>15</v>
      </c>
      <c r="CI139" s="9" t="n">
        <v>11</v>
      </c>
      <c r="CJ139" s="9" t="n">
        <v>0</v>
      </c>
      <c r="CK139" s="11" t="n">
        <f aca="false">(CG139+CH139+CI139+CJ139)/4</f>
        <v>10</v>
      </c>
      <c r="CL139" s="11" t="n">
        <f aca="false">(CG139/AM139)</f>
        <v>0.482758620689655</v>
      </c>
      <c r="CM139" s="11" t="n">
        <f aca="false">(CH139/AN139)</f>
        <v>0.348837209302326</v>
      </c>
      <c r="CN139" s="11" t="n">
        <f aca="false">(CI139/AO139)</f>
        <v>0.314285714285714</v>
      </c>
      <c r="CO139" s="9" t="n">
        <f aca="false">(CJ139/AP139)</f>
        <v>0</v>
      </c>
      <c r="CP139" s="9" t="n">
        <f aca="false">(CK139/AQ139)</f>
        <v>0.363636363636364</v>
      </c>
      <c r="CQ139" s="9" t="n">
        <f aca="false">(100*CP139)</f>
        <v>36.3636363636364</v>
      </c>
      <c r="CR139" s="18" t="n">
        <v>3</v>
      </c>
      <c r="CS139" s="9" t="n">
        <v>53.2</v>
      </c>
      <c r="CT139" s="9" t="n">
        <v>46.2</v>
      </c>
      <c r="CU139" s="9" t="n">
        <v>47.9</v>
      </c>
      <c r="CV139" s="9" t="n">
        <v>58.9</v>
      </c>
      <c r="CW139" s="11" t="n">
        <f aca="false">(CS139+CT139+CU139+CV139)/4</f>
        <v>51.55</v>
      </c>
      <c r="CX139" s="9" t="n">
        <v>0</v>
      </c>
      <c r="CY139" s="9" t="n">
        <v>0</v>
      </c>
      <c r="CZ139" s="9" t="n">
        <v>0</v>
      </c>
      <c r="DA139" s="9" t="n">
        <v>0</v>
      </c>
      <c r="DB139" s="11" t="n">
        <f aca="false">(CX139+CY139+CZ139+DA139)/4</f>
        <v>0</v>
      </c>
      <c r="DC139" s="9" t="n">
        <v>1</v>
      </c>
      <c r="DD139" s="9" t="n">
        <v>1</v>
      </c>
      <c r="DE139" s="9" t="n">
        <v>1</v>
      </c>
      <c r="DF139" s="9" t="n">
        <v>1</v>
      </c>
      <c r="DG139" s="11" t="n">
        <f aca="false">(DC139+DD139+DE139+DF139)/4</f>
        <v>1</v>
      </c>
      <c r="DH139" s="9" t="n">
        <v>1</v>
      </c>
      <c r="DI139" s="9" t="n">
        <v>1</v>
      </c>
      <c r="DJ139" s="9" t="n">
        <v>0</v>
      </c>
      <c r="DK139" s="9" t="n">
        <v>1</v>
      </c>
      <c r="DL139" s="11" t="n">
        <f aca="false">(DH139+DI139+DJ139+DK139)/4</f>
        <v>0.75</v>
      </c>
      <c r="DM139" s="9" t="n">
        <v>28</v>
      </c>
      <c r="DN139" s="9" t="n">
        <v>12</v>
      </c>
      <c r="DO139" s="9" t="n">
        <v>33</v>
      </c>
      <c r="DP139" s="9" t="n">
        <v>58</v>
      </c>
      <c r="DQ139" s="11" t="n">
        <f aca="false">(DM139+DN139+DO139+DP139)/4</f>
        <v>32.75</v>
      </c>
      <c r="DR139" s="9" t="n">
        <v>21</v>
      </c>
      <c r="DS139" s="9" t="n">
        <v>6</v>
      </c>
      <c r="DT139" s="9" t="n">
        <v>9</v>
      </c>
      <c r="DU139" s="9" t="n">
        <v>12</v>
      </c>
      <c r="DV139" s="11" t="n">
        <f aca="false">(DR139+DS139+DT139+DU139)/4</f>
        <v>12</v>
      </c>
      <c r="DW139" s="9" t="n">
        <v>0</v>
      </c>
      <c r="DX139" s="9" t="n">
        <v>0</v>
      </c>
      <c r="DY139" s="9" t="n">
        <v>0</v>
      </c>
      <c r="DZ139" s="9" t="n">
        <v>0</v>
      </c>
      <c r="EA139" s="11" t="n">
        <f aca="false">(DW139+DX139+DY139+DZ139)/4</f>
        <v>0</v>
      </c>
      <c r="EB139" s="11" t="n">
        <f aca="false">(DW139/DR139)</f>
        <v>0</v>
      </c>
      <c r="EC139" s="11" t="n">
        <f aca="false">(DX139/DS139)</f>
        <v>0</v>
      </c>
      <c r="ED139" s="11" t="n">
        <f aca="false">(DY139/DT139)</f>
        <v>0</v>
      </c>
      <c r="EE139" s="11" t="n">
        <f aca="false">(DZ139/DU139)</f>
        <v>0</v>
      </c>
      <c r="EF139" s="11" t="n">
        <f aca="false">(EA139/DV139)</f>
        <v>0</v>
      </c>
      <c r="EG139" s="11" t="n">
        <f aca="false">(100*EF139)</f>
        <v>0</v>
      </c>
      <c r="EH139" s="9" t="n">
        <v>0</v>
      </c>
      <c r="EI139" s="9" t="n">
        <v>1</v>
      </c>
      <c r="EJ139" s="9" t="n">
        <v>2</v>
      </c>
      <c r="EK139" s="19" t="n">
        <v>3</v>
      </c>
      <c r="EL139" s="9" t="n">
        <v>2</v>
      </c>
      <c r="EM139" s="9" t="n">
        <f aca="false">(EI139+EJ139+EK139+EL139)/4</f>
        <v>2</v>
      </c>
      <c r="EN139" s="9" t="n">
        <f aca="false">(EI139/DR139)</f>
        <v>0.0476190476190476</v>
      </c>
      <c r="EO139" s="9" t="n">
        <f aca="false">(EJ139/DS139)</f>
        <v>0.333333333333333</v>
      </c>
      <c r="EP139" s="9" t="n">
        <f aca="false">(EK139/DT139)</f>
        <v>0.333333333333333</v>
      </c>
      <c r="EQ139" s="9" t="n">
        <f aca="false">(EL139/DU139)</f>
        <v>0.166666666666667</v>
      </c>
      <c r="ER139" s="9" t="n">
        <f aca="false">EM139/DV139</f>
        <v>0.166666666666667</v>
      </c>
      <c r="ES139" s="9" t="n">
        <f aca="false">(100*ER139)</f>
        <v>16.6666666666667</v>
      </c>
      <c r="ET139" s="9" t="n">
        <v>2</v>
      </c>
      <c r="EU139" s="18" t="n">
        <v>2</v>
      </c>
      <c r="EV139" s="9" t="n">
        <v>2</v>
      </c>
      <c r="EW139" s="9" t="n">
        <v>0</v>
      </c>
      <c r="EX139" s="9" t="n">
        <v>1</v>
      </c>
      <c r="EY139" s="11" t="n">
        <f aca="false">(EU139+EV139+EW139+EX139)/4</f>
        <v>1.25</v>
      </c>
      <c r="EZ139" s="11" t="n">
        <f aca="false">(EU139/DR139)</f>
        <v>0.0952380952380952</v>
      </c>
      <c r="FA139" s="11" t="n">
        <f aca="false">(EV139/DS139)</f>
        <v>0.333333333333333</v>
      </c>
      <c r="FB139" s="11" t="n">
        <f aca="false">(EW139/DT139)</f>
        <v>0</v>
      </c>
      <c r="FC139" s="11" t="n">
        <f aca="false">(EX139/DU139)</f>
        <v>0.0833333333333333</v>
      </c>
      <c r="FD139" s="11" t="n">
        <f aca="false">(EY139/DV139)</f>
        <v>0.104166666666667</v>
      </c>
      <c r="FE139" s="11" t="n">
        <f aca="false">(100*FD139)</f>
        <v>10.4166666666667</v>
      </c>
      <c r="FF139" s="9" t="n">
        <v>2</v>
      </c>
      <c r="FG139" s="9" t="n">
        <v>1</v>
      </c>
      <c r="FH139" s="9" t="n">
        <v>0</v>
      </c>
      <c r="FI139" s="9" t="n">
        <v>0</v>
      </c>
      <c r="FJ139" s="9" t="n">
        <v>43</v>
      </c>
      <c r="FK139" s="11" t="n">
        <f aca="false">(FG139+FH139+FI139+FJ139)/4</f>
        <v>11</v>
      </c>
      <c r="FL139" s="11" t="n">
        <f aca="false">(FG139/DR139)</f>
        <v>0.0476190476190476</v>
      </c>
      <c r="FM139" s="11" t="n">
        <f aca="false">(FH139/DS139)</f>
        <v>0</v>
      </c>
      <c r="FN139" s="11" t="n">
        <f aca="false">(FI139/DT139)</f>
        <v>0</v>
      </c>
      <c r="FO139" s="11" t="n">
        <f aca="false">(FJ139/DU139)</f>
        <v>3.58333333333333</v>
      </c>
      <c r="FP139" s="11" t="n">
        <f aca="false">(FK139/DV139)</f>
        <v>0.916666666666667</v>
      </c>
      <c r="FQ139" s="11" t="n">
        <f aca="false">(100*FP139)</f>
        <v>91.6666666666667</v>
      </c>
      <c r="FR139" s="9" t="n">
        <v>3</v>
      </c>
      <c r="FS139" s="9" t="n">
        <v>72.6</v>
      </c>
      <c r="FT139" s="9" t="n">
        <v>61.8</v>
      </c>
      <c r="FU139" s="9" t="n">
        <v>51.2</v>
      </c>
      <c r="FV139" s="9" t="n">
        <v>61.2</v>
      </c>
      <c r="FW139" s="11" t="n">
        <f aca="false">(FS139+FT139+FU139+FV139)/4</f>
        <v>61.7</v>
      </c>
      <c r="FX139" s="9" t="n">
        <v>0</v>
      </c>
      <c r="FY139" s="9" t="n">
        <v>0</v>
      </c>
      <c r="FZ139" s="9" t="n">
        <v>0</v>
      </c>
      <c r="GA139" s="9" t="n">
        <v>0</v>
      </c>
      <c r="GB139" s="11" t="n">
        <f aca="false">(FX139+FY139+FZ139+GA139)/4</f>
        <v>0</v>
      </c>
      <c r="GC139" s="9" t="n">
        <v>1</v>
      </c>
      <c r="GD139" s="9" t="n">
        <v>1</v>
      </c>
      <c r="GE139" s="9" t="n">
        <v>1</v>
      </c>
      <c r="GF139" s="9" t="n">
        <v>1</v>
      </c>
      <c r="GG139" s="11" t="n">
        <f aca="false">(GC139+GD139+GE139+GF139)/4</f>
        <v>1</v>
      </c>
      <c r="GH139" s="9" t="n">
        <v>1</v>
      </c>
      <c r="GI139" s="9" t="n">
        <v>1</v>
      </c>
      <c r="GJ139" s="9" t="n">
        <v>1</v>
      </c>
      <c r="GK139" s="9" t="n">
        <v>1</v>
      </c>
      <c r="GL139" s="11" t="n">
        <f aca="false">(GH139+GI139+GJ139+GK139)/4</f>
        <v>1</v>
      </c>
      <c r="GM139" s="9" t="n">
        <v>130</v>
      </c>
      <c r="GN139" s="9" t="n">
        <v>119</v>
      </c>
      <c r="GO139" s="9" t="n">
        <v>19</v>
      </c>
      <c r="GP139" s="9" t="n">
        <v>56</v>
      </c>
      <c r="GQ139" s="11" t="n">
        <f aca="false">(GM139+GN139+GO139+GP139)/4</f>
        <v>81</v>
      </c>
      <c r="GR139" s="9" t="n">
        <v>12</v>
      </c>
      <c r="GS139" s="9" t="n">
        <v>2</v>
      </c>
      <c r="GT139" s="9" t="n">
        <v>12</v>
      </c>
      <c r="GU139" s="9" t="n">
        <v>32</v>
      </c>
      <c r="GV139" s="11" t="n">
        <f aca="false">(GR139+GS139+GT139+GU139)/4</f>
        <v>14.5</v>
      </c>
      <c r="GW139" s="9" t="n">
        <v>0</v>
      </c>
      <c r="GX139" s="9" t="n">
        <v>0</v>
      </c>
      <c r="GY139" s="9" t="n">
        <v>0</v>
      </c>
      <c r="GZ139" s="9" t="n">
        <v>0</v>
      </c>
      <c r="HA139" s="11" t="n">
        <f aca="false">(GW139+GX139+GY139+GZ139)/4</f>
        <v>0</v>
      </c>
      <c r="HB139" s="9" t="n">
        <f aca="false">(GW139/GR139)</f>
        <v>0</v>
      </c>
      <c r="HC139" s="9" t="n">
        <f aca="false">(GX139/GS139)</f>
        <v>0</v>
      </c>
      <c r="HD139" s="9" t="n">
        <f aca="false">(GY139/GT139)</f>
        <v>0</v>
      </c>
      <c r="HE139" s="9" t="n">
        <f aca="false">(GZ139/GU139)/4</f>
        <v>0</v>
      </c>
      <c r="HF139" s="9" t="n">
        <f aca="false">(HB139+HC139+HD139+HE139)/4</f>
        <v>0</v>
      </c>
      <c r="HG139" s="9" t="n">
        <f aca="false">(100*HF139)</f>
        <v>0</v>
      </c>
      <c r="HH139" s="18" t="n">
        <v>0</v>
      </c>
      <c r="HI139" s="9" t="n">
        <v>4</v>
      </c>
      <c r="HJ139" s="9" t="n">
        <v>2</v>
      </c>
      <c r="HK139" s="9" t="n">
        <v>4</v>
      </c>
      <c r="HL139" s="19" t="n">
        <v>3</v>
      </c>
      <c r="HM139" s="9" t="n">
        <f aca="false">(HI139+HJ139+HK139+HL139)/4</f>
        <v>3.25</v>
      </c>
      <c r="HN139" s="9" t="n">
        <f aca="false">(HI139/GR139)</f>
        <v>0.333333333333333</v>
      </c>
      <c r="HO139" s="9" t="n">
        <f aca="false">(HJ139/GS139)</f>
        <v>1</v>
      </c>
      <c r="HP139" s="9" t="n">
        <f aca="false">(HK139/GT139)</f>
        <v>0.333333333333333</v>
      </c>
      <c r="HQ139" s="9" t="n">
        <f aca="false">(HL139/GU139)</f>
        <v>0.09375</v>
      </c>
      <c r="HR139" s="9" t="n">
        <f aca="false">(HM139/GV139)</f>
        <v>0.224137931034483</v>
      </c>
      <c r="HS139" s="9" t="n">
        <f aca="false">(100*HR139)</f>
        <v>22.4137931034483</v>
      </c>
      <c r="HT139" s="18" t="n">
        <v>2</v>
      </c>
      <c r="HU139" s="9" t="n">
        <v>0</v>
      </c>
      <c r="HV139" s="9" t="n">
        <v>1</v>
      </c>
      <c r="HW139" s="9" t="n">
        <v>1</v>
      </c>
      <c r="HX139" s="19" t="n">
        <v>2</v>
      </c>
      <c r="HY139" s="9" t="n">
        <f aca="false">(HU139+HV139+HW139+HX139)/4</f>
        <v>1</v>
      </c>
      <c r="HZ139" s="9" t="n">
        <f aca="false">(HU139/GR139)</f>
        <v>0</v>
      </c>
      <c r="IA139" s="9" t="n">
        <f aca="false">HV139/GS139</f>
        <v>0.5</v>
      </c>
      <c r="IB139" s="9" t="n">
        <f aca="false">(HW139/GT139)</f>
        <v>0.0833333333333333</v>
      </c>
      <c r="IC139" s="9" t="n">
        <f aca="false">(HX139/GU139)</f>
        <v>0.0625</v>
      </c>
      <c r="ID139" s="9" t="n">
        <f aca="false">(HY139/GV139)</f>
        <v>0.0689655172413793</v>
      </c>
      <c r="IE139" s="9" t="n">
        <f aca="false">(100*ID139)</f>
        <v>6.89655172413793</v>
      </c>
      <c r="IF139" s="18" t="n">
        <v>1</v>
      </c>
      <c r="IG139" s="9" t="n">
        <v>4</v>
      </c>
      <c r="IH139" s="9" t="n">
        <v>2</v>
      </c>
      <c r="II139" s="19" t="n">
        <v>3</v>
      </c>
      <c r="IJ139" s="9" t="n">
        <v>3</v>
      </c>
      <c r="IK139" s="9" t="n">
        <f aca="false">(IG139+IH139+II139+IJ139)/4</f>
        <v>3</v>
      </c>
      <c r="IL139" s="9" t="n">
        <f aca="false">(IG139/GM139)</f>
        <v>0.0307692307692308</v>
      </c>
      <c r="IM139" s="9" t="n">
        <f aca="false">(IH139/GN139)</f>
        <v>0.0168067226890756</v>
      </c>
      <c r="IN139" s="9" t="n">
        <f aca="false">(II139/GO139)</f>
        <v>0.157894736842105</v>
      </c>
      <c r="IO139" s="9" t="n">
        <f aca="false">(IJ139/GP139)</f>
        <v>0.0535714285714286</v>
      </c>
      <c r="IP139" s="9" t="n">
        <f aca="false">(IK139/GQ139)</f>
        <v>0.037037037037037</v>
      </c>
      <c r="IQ139" s="9" t="n">
        <f aca="false">(100*IP139)</f>
        <v>3.7037037037037</v>
      </c>
      <c r="IR139" s="18" t="n">
        <v>1</v>
      </c>
      <c r="IS139" s="9" t="n">
        <v>46.8</v>
      </c>
      <c r="IT139" s="9" t="n">
        <v>69.9</v>
      </c>
      <c r="IU139" s="19" t="n">
        <v>60.8</v>
      </c>
      <c r="IV139" s="9" t="n">
        <v>57.8</v>
      </c>
      <c r="IW139" s="9" t="n">
        <f aca="false">(IS139+IT139+IU139+IV139)/4</f>
        <v>58.825</v>
      </c>
      <c r="IX139" s="16" t="n">
        <v>45242</v>
      </c>
      <c r="IY139" s="10" t="s">
        <v>268</v>
      </c>
    </row>
    <row r="140" customFormat="false" ht="15.75" hidden="false" customHeight="true" outlineLevel="0" collapsed="false">
      <c r="A140" s="9" t="s">
        <v>343</v>
      </c>
      <c r="B140" s="10" t="s">
        <v>588</v>
      </c>
      <c r="C140" s="10" t="s">
        <v>514</v>
      </c>
      <c r="D140" s="9" t="n">
        <v>3</v>
      </c>
      <c r="E140" s="9" t="n">
        <v>47</v>
      </c>
      <c r="F140" s="10" t="s">
        <v>589</v>
      </c>
      <c r="G140" s="11" t="s">
        <v>263</v>
      </c>
      <c r="H140" s="9" t="n">
        <v>21</v>
      </c>
      <c r="I140" s="9" t="n">
        <v>6</v>
      </c>
      <c r="J140" s="12" t="s">
        <v>264</v>
      </c>
      <c r="K140" s="13" t="s">
        <v>590</v>
      </c>
      <c r="L140" s="13" t="s">
        <v>591</v>
      </c>
      <c r="M140" s="14" t="n">
        <v>1289</v>
      </c>
      <c r="N140" s="15" t="n">
        <v>45154</v>
      </c>
      <c r="O140" s="10" t="s">
        <v>294</v>
      </c>
      <c r="P140" s="9"/>
      <c r="Q140" s="9" t="n">
        <v>23.55</v>
      </c>
      <c r="R140" s="9" t="n">
        <v>10</v>
      </c>
      <c r="S140" s="9" t="n">
        <v>-5</v>
      </c>
      <c r="T140" s="9" t="n">
        <v>55</v>
      </c>
      <c r="U140" s="9"/>
      <c r="V140" s="9" t="n">
        <f aca="false">(18.2/100)</f>
        <v>0.182</v>
      </c>
      <c r="W140" s="22" t="s">
        <v>592</v>
      </c>
      <c r="X140" s="9" t="n">
        <v>0</v>
      </c>
      <c r="Y140" s="9" t="n">
        <v>0</v>
      </c>
      <c r="Z140" s="9" t="n">
        <v>0</v>
      </c>
      <c r="AA140" s="9" t="n">
        <v>0</v>
      </c>
      <c r="AB140" s="11" t="n">
        <f aca="false">(X140+Y140+Z140+AA140)/4</f>
        <v>0</v>
      </c>
      <c r="AC140" s="9" t="n">
        <v>1</v>
      </c>
      <c r="AD140" s="9" t="n">
        <v>1</v>
      </c>
      <c r="AE140" s="9" t="n">
        <v>1</v>
      </c>
      <c r="AF140" s="9" t="n">
        <v>1</v>
      </c>
      <c r="AG140" s="11" t="n">
        <f aca="false">(AC140+AD140+AE140+AF140)/4</f>
        <v>1</v>
      </c>
      <c r="AH140" s="9" t="n">
        <v>1</v>
      </c>
      <c r="AI140" s="9" t="n">
        <v>1</v>
      </c>
      <c r="AJ140" s="9" t="n">
        <v>1</v>
      </c>
      <c r="AK140" s="9" t="n">
        <v>1</v>
      </c>
      <c r="AL140" s="11" t="n">
        <f aca="false">(AH140+AI140+AJ140+AK140)/4</f>
        <v>1</v>
      </c>
      <c r="AM140" s="9" t="n">
        <v>10</v>
      </c>
      <c r="AN140" s="9" t="n">
        <v>16</v>
      </c>
      <c r="AO140" s="9" t="n">
        <v>20</v>
      </c>
      <c r="AP140" s="9" t="n">
        <v>6</v>
      </c>
      <c r="AQ140" s="11" t="n">
        <f aca="false">(AM140+AN140+AO140+AP140)/4</f>
        <v>13</v>
      </c>
      <c r="AR140" s="9" t="n">
        <v>11</v>
      </c>
      <c r="AS140" s="9" t="n">
        <v>15</v>
      </c>
      <c r="AT140" s="9" t="n">
        <v>16</v>
      </c>
      <c r="AU140" s="9" t="n">
        <v>7</v>
      </c>
      <c r="AV140" s="11" t="n">
        <f aca="false">(AR140+AS140+AT140+AU140)/4</f>
        <v>12.25</v>
      </c>
      <c r="AW140" s="9" t="n">
        <v>0</v>
      </c>
      <c r="AX140" s="9" t="n">
        <v>0</v>
      </c>
      <c r="AY140" s="9" t="n">
        <v>0</v>
      </c>
      <c r="AZ140" s="9" t="n">
        <v>0</v>
      </c>
      <c r="BA140" s="11" t="n">
        <f aca="false">(AW140+AX140+AY140+AZ140)/4</f>
        <v>0</v>
      </c>
      <c r="BB140" s="11" t="n">
        <f aca="false">(AW140/AR140)</f>
        <v>0</v>
      </c>
      <c r="BC140" s="11" t="n">
        <f aca="false">(AX140/AS140)</f>
        <v>0</v>
      </c>
      <c r="BD140" s="11" t="n">
        <f aca="false">(AY140/AT140)</f>
        <v>0</v>
      </c>
      <c r="BE140" s="11" t="n">
        <f aca="false">(AZ140/AU140)</f>
        <v>0</v>
      </c>
      <c r="BF140" s="11" t="n">
        <f aca="false">(BA140/AV140)</f>
        <v>0</v>
      </c>
      <c r="BG140" s="11" t="n">
        <f aca="false">(BF140*100)</f>
        <v>0</v>
      </c>
      <c r="BH140" s="9" t="n">
        <v>0</v>
      </c>
      <c r="BI140" s="9" t="n">
        <v>1</v>
      </c>
      <c r="BJ140" s="9" t="n">
        <v>2</v>
      </c>
      <c r="BK140" s="9" t="n">
        <v>3</v>
      </c>
      <c r="BL140" s="9" t="n">
        <v>5</v>
      </c>
      <c r="BM140" s="11" t="n">
        <f aca="false">(BI140+BJ140+BK140+BL140)/4</f>
        <v>2.75</v>
      </c>
      <c r="BN140" s="11" t="n">
        <f aca="false">(BI140/AR140)</f>
        <v>0.0909090909090909</v>
      </c>
      <c r="BO140" s="11" t="n">
        <f aca="false">(BJ140/AS140)</f>
        <v>0.133333333333333</v>
      </c>
      <c r="BP140" s="11" t="n">
        <f aca="false">(BK140/AT140)</f>
        <v>0.1875</v>
      </c>
      <c r="BQ140" s="11" t="n">
        <f aca="false">(BL140/AU140)</f>
        <v>0.714285714285714</v>
      </c>
      <c r="BR140" s="11" t="n">
        <f aca="false">(BM140/AV140)</f>
        <v>0.224489795918367</v>
      </c>
      <c r="BS140" s="11" t="n">
        <f aca="false">(100*BR140)</f>
        <v>22.4489795918367</v>
      </c>
      <c r="BT140" s="9" t="n">
        <v>2</v>
      </c>
      <c r="BU140" s="9" t="n">
        <v>1</v>
      </c>
      <c r="BV140" s="9" t="n">
        <v>0</v>
      </c>
      <c r="BW140" s="9" t="n">
        <v>1</v>
      </c>
      <c r="BX140" s="9" t="n">
        <v>0</v>
      </c>
      <c r="BY140" s="11" t="n">
        <f aca="false">(BU140+BV140+BW140+BX140)/4</f>
        <v>0.5</v>
      </c>
      <c r="BZ140" s="11" t="n">
        <f aca="false">(BU140/AR140)</f>
        <v>0.0909090909090909</v>
      </c>
      <c r="CA140" s="11" t="n">
        <f aca="false">(BV140/AS140)</f>
        <v>0</v>
      </c>
      <c r="CB140" s="11" t="n">
        <f aca="false">(BW140/AT140)</f>
        <v>0.0625</v>
      </c>
      <c r="CC140" s="11" t="n">
        <f aca="false">(BX140/AU140)</f>
        <v>0</v>
      </c>
      <c r="CD140" s="11" t="n">
        <f aca="false">(BY140/AV140)</f>
        <v>0.0408163265306122</v>
      </c>
      <c r="CE140" s="11" t="n">
        <f aca="false">(100*CD140)</f>
        <v>4.08163265306123</v>
      </c>
      <c r="CF140" s="9" t="n">
        <v>1</v>
      </c>
      <c r="CG140" s="9" t="n">
        <v>2</v>
      </c>
      <c r="CH140" s="9" t="n">
        <v>3</v>
      </c>
      <c r="CI140" s="9" t="n">
        <v>2</v>
      </c>
      <c r="CJ140" s="9" t="n">
        <v>3</v>
      </c>
      <c r="CK140" s="11" t="n">
        <f aca="false">(CG140+CH140+CI140+CJ140)/4</f>
        <v>2.5</v>
      </c>
      <c r="CL140" s="11" t="n">
        <f aca="false">(CG140/AM140)</f>
        <v>0.2</v>
      </c>
      <c r="CM140" s="11" t="n">
        <f aca="false">(CH140/AN140)</f>
        <v>0.1875</v>
      </c>
      <c r="CN140" s="11" t="n">
        <f aca="false">(CI140/AO140)</f>
        <v>0.1</v>
      </c>
      <c r="CO140" s="9" t="n">
        <f aca="false">(CJ140/AP140)</f>
        <v>0.5</v>
      </c>
      <c r="CP140" s="9" t="n">
        <f aca="false">(CK140/AQ140)</f>
        <v>0.192307692307692</v>
      </c>
      <c r="CQ140" s="9" t="n">
        <f aca="false">(100*CP140)</f>
        <v>19.2307692307692</v>
      </c>
      <c r="CR140" s="18" t="n">
        <v>2</v>
      </c>
      <c r="CS140" s="9" t="n">
        <v>60.4</v>
      </c>
      <c r="CT140" s="9" t="n">
        <v>42.2</v>
      </c>
      <c r="CU140" s="9" t="n">
        <v>60.6</v>
      </c>
      <c r="CV140" s="9" t="n">
        <v>55.9</v>
      </c>
      <c r="CW140" s="11" t="n">
        <f aca="false">(CS140+CT140+CU140+CV140)/4</f>
        <v>54.775</v>
      </c>
      <c r="CX140" s="9" t="n">
        <v>0</v>
      </c>
      <c r="CY140" s="9" t="n">
        <v>0</v>
      </c>
      <c r="CZ140" s="9" t="n">
        <v>0</v>
      </c>
      <c r="DA140" s="9" t="n">
        <v>0</v>
      </c>
      <c r="DB140" s="11" t="n">
        <f aca="false">(CX140+CY140+CZ140+DA140)/4</f>
        <v>0</v>
      </c>
      <c r="DC140" s="9" t="n">
        <v>0</v>
      </c>
      <c r="DD140" s="9" t="n">
        <v>1</v>
      </c>
      <c r="DE140" s="9" t="n">
        <v>1</v>
      </c>
      <c r="DF140" s="9" t="n">
        <v>1</v>
      </c>
      <c r="DG140" s="11" t="n">
        <f aca="false">(DC140+DD140+DE140+DF140)/4</f>
        <v>0.75</v>
      </c>
      <c r="DH140" s="9" t="n">
        <v>1</v>
      </c>
      <c r="DI140" s="9" t="n">
        <v>1</v>
      </c>
      <c r="DJ140" s="9" t="n">
        <v>1</v>
      </c>
      <c r="DK140" s="9" t="n">
        <v>1</v>
      </c>
      <c r="DL140" s="11" t="n">
        <f aca="false">(DH140+DI140+DJ140+DK140)/4</f>
        <v>1</v>
      </c>
      <c r="DM140" s="9" t="n">
        <v>36</v>
      </c>
      <c r="DN140" s="9" t="n">
        <v>10</v>
      </c>
      <c r="DO140" s="9" t="n">
        <v>34</v>
      </c>
      <c r="DP140" s="9" t="n">
        <v>16</v>
      </c>
      <c r="DQ140" s="11" t="n">
        <f aca="false">(DM140+DN140+DO140+DP140)/4</f>
        <v>24</v>
      </c>
      <c r="DR140" s="9" t="n">
        <v>18</v>
      </c>
      <c r="DS140" s="9" t="n">
        <v>21</v>
      </c>
      <c r="DT140" s="9" t="n">
        <v>37</v>
      </c>
      <c r="DU140" s="9" t="n">
        <v>18</v>
      </c>
      <c r="DV140" s="11" t="n">
        <f aca="false">(DR140+DS140+DT140+DU140)/4</f>
        <v>23.5</v>
      </c>
      <c r="DW140" s="9" t="n">
        <v>0</v>
      </c>
      <c r="DX140" s="9" t="n">
        <v>0</v>
      </c>
      <c r="DY140" s="9" t="n">
        <v>0</v>
      </c>
      <c r="DZ140" s="9" t="n">
        <v>0</v>
      </c>
      <c r="EA140" s="11" t="n">
        <f aca="false">(DW140+DX140+DY140+DZ140)/4</f>
        <v>0</v>
      </c>
      <c r="EB140" s="11" t="n">
        <f aca="false">(DW140/DR140)</f>
        <v>0</v>
      </c>
      <c r="EC140" s="11" t="n">
        <f aca="false">(DX140/DS140)</f>
        <v>0</v>
      </c>
      <c r="ED140" s="11" t="n">
        <f aca="false">(DY140/DT140)</f>
        <v>0</v>
      </c>
      <c r="EE140" s="11" t="n">
        <f aca="false">(DZ140/DU140)</f>
        <v>0</v>
      </c>
      <c r="EF140" s="11" t="n">
        <f aca="false">(EA140/DV140)</f>
        <v>0</v>
      </c>
      <c r="EG140" s="11" t="n">
        <f aca="false">(100*EF140)</f>
        <v>0</v>
      </c>
      <c r="EH140" s="9" t="n">
        <v>0</v>
      </c>
      <c r="EI140" s="9" t="n">
        <v>0</v>
      </c>
      <c r="EJ140" s="9" t="n">
        <v>4</v>
      </c>
      <c r="EK140" s="19" t="n">
        <v>5</v>
      </c>
      <c r="EL140" s="9" t="n">
        <v>10</v>
      </c>
      <c r="EM140" s="9" t="n">
        <f aca="false">(EI140+EJ140+EK140+EL140)/4</f>
        <v>4.75</v>
      </c>
      <c r="EN140" s="9" t="n">
        <f aca="false">(EI140/DR140)</f>
        <v>0</v>
      </c>
      <c r="EO140" s="9" t="n">
        <f aca="false">(EJ140/DS140)</f>
        <v>0.19047619047619</v>
      </c>
      <c r="EP140" s="9" t="n">
        <f aca="false">(EK140/DT140)</f>
        <v>0.135135135135135</v>
      </c>
      <c r="EQ140" s="9" t="n">
        <f aca="false">(EL140/DU140)</f>
        <v>0.555555555555556</v>
      </c>
      <c r="ER140" s="9" t="n">
        <f aca="false">EM140/DV140</f>
        <v>0.202127659574468</v>
      </c>
      <c r="ES140" s="9" t="n">
        <f aca="false">(100*ER140)</f>
        <v>20.2127659574468</v>
      </c>
      <c r="ET140" s="9" t="n">
        <v>2</v>
      </c>
      <c r="EU140" s="18" t="n">
        <v>0</v>
      </c>
      <c r="EV140" s="9" t="n">
        <v>3</v>
      </c>
      <c r="EW140" s="9" t="n">
        <v>1</v>
      </c>
      <c r="EX140" s="9" t="n">
        <v>1</v>
      </c>
      <c r="EY140" s="11" t="n">
        <f aca="false">(EU140+EV140+EW140+EX140)/4</f>
        <v>1.25</v>
      </c>
      <c r="EZ140" s="11" t="n">
        <f aca="false">(EU140/DR140)</f>
        <v>0</v>
      </c>
      <c r="FA140" s="11" t="n">
        <f aca="false">(EV140/DS140)</f>
        <v>0.142857142857143</v>
      </c>
      <c r="FB140" s="11" t="n">
        <f aca="false">(EW140/DT140)</f>
        <v>0.027027027027027</v>
      </c>
      <c r="FC140" s="11" t="n">
        <f aca="false">(EX140/DU140)</f>
        <v>0.0555555555555556</v>
      </c>
      <c r="FD140" s="11" t="n">
        <f aca="false">(EY140/DV140)</f>
        <v>0.0531914893617021</v>
      </c>
      <c r="FE140" s="11" t="n">
        <f aca="false">(100*FD140)</f>
        <v>5.31914893617021</v>
      </c>
      <c r="FF140" s="9" t="n">
        <v>1</v>
      </c>
      <c r="FG140" s="9" t="n">
        <v>2</v>
      </c>
      <c r="FH140" s="9" t="n">
        <v>2</v>
      </c>
      <c r="FI140" s="9" t="n">
        <v>3</v>
      </c>
      <c r="FJ140" s="9" t="n">
        <v>4</v>
      </c>
      <c r="FK140" s="11" t="n">
        <f aca="false">(FG140+FH140+FI140+FJ140)/4</f>
        <v>2.75</v>
      </c>
      <c r="FL140" s="11" t="n">
        <f aca="false">(FG140/DR140)</f>
        <v>0.111111111111111</v>
      </c>
      <c r="FM140" s="11" t="n">
        <f aca="false">(FH140/DS140)</f>
        <v>0.0952380952380952</v>
      </c>
      <c r="FN140" s="11" t="n">
        <f aca="false">(FI140/DT140)</f>
        <v>0.0810810810810811</v>
      </c>
      <c r="FO140" s="11" t="n">
        <f aca="false">(FJ140/DU140)</f>
        <v>0.222222222222222</v>
      </c>
      <c r="FP140" s="11" t="n">
        <f aca="false">(FK140/DV140)</f>
        <v>0.117021276595745</v>
      </c>
      <c r="FQ140" s="11" t="n">
        <f aca="false">(100*FP140)</f>
        <v>11.7021276595745</v>
      </c>
      <c r="FR140" s="9" t="n">
        <v>2</v>
      </c>
      <c r="FS140" s="9" t="n">
        <v>46.7</v>
      </c>
      <c r="FT140" s="9" t="n">
        <v>57.8</v>
      </c>
      <c r="FU140" s="9" t="n">
        <v>43.2</v>
      </c>
      <c r="FV140" s="9" t="n">
        <v>45.9</v>
      </c>
      <c r="FW140" s="11" t="n">
        <f aca="false">(FS140+FT140+FU140+FV140)/4</f>
        <v>48.4</v>
      </c>
      <c r="FX140" s="9" t="n">
        <v>1</v>
      </c>
      <c r="FY140" s="9" t="n">
        <v>0</v>
      </c>
      <c r="FZ140" s="9" t="n">
        <v>1</v>
      </c>
      <c r="GA140" s="9" t="n">
        <v>0</v>
      </c>
      <c r="GB140" s="11" t="n">
        <f aca="false">(FX140+FY140+FZ140+GA140)/4</f>
        <v>0.5</v>
      </c>
      <c r="GC140" s="9" t="n">
        <v>1</v>
      </c>
      <c r="GD140" s="9" t="n">
        <v>1</v>
      </c>
      <c r="GE140" s="9" t="n">
        <v>1</v>
      </c>
      <c r="GF140" s="9" t="n">
        <v>1</v>
      </c>
      <c r="GG140" s="11" t="n">
        <f aca="false">(GC140+GD140+GE140+GF140)/4</f>
        <v>1</v>
      </c>
      <c r="GH140" s="9" t="n">
        <v>1</v>
      </c>
      <c r="GI140" s="9" t="n">
        <v>1</v>
      </c>
      <c r="GJ140" s="9" t="n">
        <v>1</v>
      </c>
      <c r="GK140" s="9" t="n">
        <v>1</v>
      </c>
      <c r="GL140" s="11" t="n">
        <f aca="false">(GH140+GI140+GJ140+GK140)/4</f>
        <v>1</v>
      </c>
      <c r="GM140" s="9" t="n">
        <v>84</v>
      </c>
      <c r="GN140" s="9" t="n">
        <v>40</v>
      </c>
      <c r="GO140" s="9" t="n">
        <v>13</v>
      </c>
      <c r="GP140" s="9" t="n">
        <v>12</v>
      </c>
      <c r="GQ140" s="11" t="n">
        <f aca="false">(GM140+GN140+GO140+GP140)/4</f>
        <v>37.25</v>
      </c>
      <c r="GR140" s="9" t="n">
        <v>33</v>
      </c>
      <c r="GS140" s="9" t="n">
        <v>40</v>
      </c>
      <c r="GT140" s="9" t="n">
        <v>15</v>
      </c>
      <c r="GU140" s="9" t="n">
        <v>15</v>
      </c>
      <c r="GV140" s="11" t="n">
        <f aca="false">(GR140+GS140+GT140+GU140)/4</f>
        <v>25.75</v>
      </c>
      <c r="GW140" s="9" t="n">
        <v>2</v>
      </c>
      <c r="GX140" s="9" t="n">
        <v>0</v>
      </c>
      <c r="GY140" s="9" t="n">
        <v>1</v>
      </c>
      <c r="GZ140" s="9" t="n">
        <v>0</v>
      </c>
      <c r="HA140" s="11" t="n">
        <f aca="false">(GW140+GX140+GY140+GZ140)/4</f>
        <v>0.75</v>
      </c>
      <c r="HB140" s="9" t="n">
        <f aca="false">(GW140/GR140)</f>
        <v>0.0606060606060606</v>
      </c>
      <c r="HC140" s="9" t="n">
        <f aca="false">(GX140/GS140)</f>
        <v>0</v>
      </c>
      <c r="HD140" s="9" t="n">
        <f aca="false">(GY140/GT140)</f>
        <v>0.0666666666666667</v>
      </c>
      <c r="HE140" s="9" t="n">
        <f aca="false">(GZ140/GU140)/4</f>
        <v>0</v>
      </c>
      <c r="HF140" s="9" t="n">
        <f aca="false">(HB140+HC140+HD140+HE140)/4</f>
        <v>0.0318181818181818</v>
      </c>
      <c r="HG140" s="9" t="n">
        <f aca="false">(100*HF140)</f>
        <v>3.18181818181818</v>
      </c>
      <c r="HH140" s="18" t="n">
        <v>1</v>
      </c>
      <c r="HI140" s="9" t="n">
        <v>6</v>
      </c>
      <c r="HJ140" s="9" t="n">
        <v>4</v>
      </c>
      <c r="HK140" s="9" t="n">
        <v>2</v>
      </c>
      <c r="HL140" s="19" t="n">
        <v>5</v>
      </c>
      <c r="HM140" s="9" t="n">
        <f aca="false">(HI140+HJ140+HK140+HL140)/4</f>
        <v>4.25</v>
      </c>
      <c r="HN140" s="9" t="n">
        <f aca="false">(HI140/GR140)</f>
        <v>0.181818181818182</v>
      </c>
      <c r="HO140" s="9" t="n">
        <f aca="false">(HJ140/GS140)</f>
        <v>0.1</v>
      </c>
      <c r="HP140" s="9" t="n">
        <f aca="false">(HK140/GT140)</f>
        <v>0.133333333333333</v>
      </c>
      <c r="HQ140" s="9" t="n">
        <f aca="false">(HL140/GU140)</f>
        <v>0.333333333333333</v>
      </c>
      <c r="HR140" s="9" t="n">
        <f aca="false">(HM140/GV140)</f>
        <v>0.16504854368932</v>
      </c>
      <c r="HS140" s="9" t="n">
        <f aca="false">(100*HR140)</f>
        <v>16.504854368932</v>
      </c>
      <c r="HT140" s="18" t="n">
        <v>2</v>
      </c>
      <c r="HU140" s="9" t="n">
        <v>0</v>
      </c>
      <c r="HV140" s="9" t="n">
        <v>0</v>
      </c>
      <c r="HW140" s="9" t="n">
        <v>4</v>
      </c>
      <c r="HX140" s="19" t="n">
        <v>2</v>
      </c>
      <c r="HY140" s="9" t="n">
        <f aca="false">(HU140+HV140+HW140+HX140)/4</f>
        <v>1.5</v>
      </c>
      <c r="HZ140" s="9" t="n">
        <f aca="false">(HU140/GR140)</f>
        <v>0</v>
      </c>
      <c r="IA140" s="9" t="n">
        <f aca="false">HV140/GS140</f>
        <v>0</v>
      </c>
      <c r="IB140" s="9" t="n">
        <f aca="false">(HW140/GT140)</f>
        <v>0.266666666666667</v>
      </c>
      <c r="IC140" s="9" t="n">
        <f aca="false">(HX140/GU140)</f>
        <v>0.133333333333333</v>
      </c>
      <c r="ID140" s="9" t="n">
        <f aca="false">(HY140/GV140)</f>
        <v>0.058252427184466</v>
      </c>
      <c r="IE140" s="9" t="n">
        <f aca="false">(100*ID140)</f>
        <v>5.8252427184466</v>
      </c>
      <c r="IF140" s="18" t="n">
        <v>1</v>
      </c>
      <c r="IG140" s="9" t="n">
        <v>7</v>
      </c>
      <c r="IH140" s="9" t="n">
        <v>8</v>
      </c>
      <c r="II140" s="19" t="n">
        <v>0</v>
      </c>
      <c r="IJ140" s="9" t="n">
        <v>0</v>
      </c>
      <c r="IK140" s="9" t="n">
        <f aca="false">(IG140+IH140+II140+IJ140)/4</f>
        <v>3.75</v>
      </c>
      <c r="IL140" s="9" t="n">
        <f aca="false">(IG140/GM140)</f>
        <v>0.0833333333333333</v>
      </c>
      <c r="IM140" s="9" t="n">
        <f aca="false">(IH140/GN140)</f>
        <v>0.2</v>
      </c>
      <c r="IN140" s="9" t="n">
        <f aca="false">(II140/GO140)</f>
        <v>0</v>
      </c>
      <c r="IO140" s="9" t="n">
        <f aca="false">(IJ140/GP140)</f>
        <v>0</v>
      </c>
      <c r="IP140" s="9" t="n">
        <f aca="false">(IK140/GQ140)</f>
        <v>0.100671140939597</v>
      </c>
      <c r="IQ140" s="9" t="n">
        <f aca="false">(100*IP140)</f>
        <v>10.0671140939597</v>
      </c>
      <c r="IR140" s="18" t="n">
        <v>2</v>
      </c>
      <c r="IS140" s="9" t="n">
        <v>53.2</v>
      </c>
      <c r="IT140" s="9" t="n">
        <v>46.9</v>
      </c>
      <c r="IU140" s="19" t="n">
        <v>56.9</v>
      </c>
      <c r="IV140" s="9" t="n">
        <v>63.5</v>
      </c>
      <c r="IW140" s="9" t="n">
        <f aca="false">(IS140+IT140+IU140+IV140)/4</f>
        <v>55.125</v>
      </c>
      <c r="IX140" s="16" t="n">
        <v>45242</v>
      </c>
      <c r="IY140" s="10" t="s">
        <v>268</v>
      </c>
    </row>
    <row r="141" customFormat="false" ht="15.75" hidden="false" customHeight="true" outlineLevel="0" collapsed="false">
      <c r="A141" s="9" t="s">
        <v>343</v>
      </c>
      <c r="B141" s="10" t="s">
        <v>588</v>
      </c>
      <c r="C141" s="10" t="s">
        <v>514</v>
      </c>
      <c r="D141" s="9" t="n">
        <v>3</v>
      </c>
      <c r="E141" s="9" t="n">
        <v>47</v>
      </c>
      <c r="F141" s="10" t="s">
        <v>593</v>
      </c>
      <c r="G141" s="11" t="s">
        <v>263</v>
      </c>
      <c r="H141" s="9" t="n">
        <v>21</v>
      </c>
      <c r="I141" s="9" t="n">
        <v>10</v>
      </c>
      <c r="J141" s="12" t="s">
        <v>270</v>
      </c>
      <c r="K141" s="20"/>
      <c r="L141" s="20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 t="n">
        <v>0</v>
      </c>
      <c r="Y141" s="9" t="n">
        <v>0</v>
      </c>
      <c r="Z141" s="9" t="n">
        <v>0</v>
      </c>
      <c r="AA141" s="9" t="n">
        <v>0</v>
      </c>
      <c r="AB141" s="11" t="n">
        <f aca="false">(X141+Y141+Z141+AA141)/4</f>
        <v>0</v>
      </c>
      <c r="AC141" s="9" t="n">
        <v>1</v>
      </c>
      <c r="AD141" s="9" t="n">
        <v>1</v>
      </c>
      <c r="AE141" s="9" t="n">
        <v>1</v>
      </c>
      <c r="AF141" s="9" t="n">
        <v>1</v>
      </c>
      <c r="AG141" s="11" t="n">
        <f aca="false">(AC141+AD141+AE141+AF141)/4</f>
        <v>1</v>
      </c>
      <c r="AH141" s="9" t="n">
        <v>1</v>
      </c>
      <c r="AI141" s="9" t="n">
        <v>1</v>
      </c>
      <c r="AJ141" s="9" t="n">
        <v>1</v>
      </c>
      <c r="AK141" s="9" t="n">
        <v>1</v>
      </c>
      <c r="AL141" s="11" t="n">
        <f aca="false">(AH141+AI141+AJ141+AK141)/4</f>
        <v>1</v>
      </c>
      <c r="AM141" s="9" t="n">
        <v>34</v>
      </c>
      <c r="AN141" s="9" t="n">
        <v>15</v>
      </c>
      <c r="AO141" s="9" t="n">
        <v>67</v>
      </c>
      <c r="AP141" s="9" t="n">
        <v>24</v>
      </c>
      <c r="AQ141" s="11" t="n">
        <f aca="false">(AM141+AN141+AO141+AP141)/4</f>
        <v>35</v>
      </c>
      <c r="AR141" s="9" t="n">
        <v>10</v>
      </c>
      <c r="AS141" s="9" t="n">
        <v>12</v>
      </c>
      <c r="AT141" s="9" t="n">
        <v>19</v>
      </c>
      <c r="AU141" s="9" t="n">
        <v>20</v>
      </c>
      <c r="AV141" s="11" t="n">
        <f aca="false">(AR141+AS141+AT141+AU141)/4</f>
        <v>15.25</v>
      </c>
      <c r="AW141" s="9" t="n">
        <v>0</v>
      </c>
      <c r="AX141" s="9" t="n">
        <v>0</v>
      </c>
      <c r="AY141" s="9" t="n">
        <v>0</v>
      </c>
      <c r="AZ141" s="9" t="n">
        <v>0</v>
      </c>
      <c r="BA141" s="11" t="n">
        <f aca="false">(AW141+AX141+AY141+AZ141)/4</f>
        <v>0</v>
      </c>
      <c r="BB141" s="11" t="n">
        <f aca="false">(AW141/AR141)</f>
        <v>0</v>
      </c>
      <c r="BC141" s="11" t="n">
        <f aca="false">(AX141/AS141)</f>
        <v>0</v>
      </c>
      <c r="BD141" s="11" t="n">
        <f aca="false">(AY141/AT141)</f>
        <v>0</v>
      </c>
      <c r="BE141" s="11" t="n">
        <f aca="false">(AZ141/AU141)</f>
        <v>0</v>
      </c>
      <c r="BF141" s="11" t="n">
        <f aca="false">(BA141/AV141)</f>
        <v>0</v>
      </c>
      <c r="BG141" s="11" t="n">
        <f aca="false">(BF141*100)</f>
        <v>0</v>
      </c>
      <c r="BH141" s="9" t="n">
        <v>0</v>
      </c>
      <c r="BI141" s="9" t="n">
        <v>3</v>
      </c>
      <c r="BJ141" s="9" t="n">
        <v>3</v>
      </c>
      <c r="BK141" s="9" t="n">
        <v>2</v>
      </c>
      <c r="BL141" s="9" t="n">
        <v>7</v>
      </c>
      <c r="BM141" s="11" t="n">
        <f aca="false">(BI141+BJ141+BK141+BL141)/4</f>
        <v>3.75</v>
      </c>
      <c r="BN141" s="11" t="n">
        <f aca="false">(BI141/AR141)</f>
        <v>0.3</v>
      </c>
      <c r="BO141" s="11" t="n">
        <f aca="false">(BJ141/AS141)</f>
        <v>0.25</v>
      </c>
      <c r="BP141" s="11" t="n">
        <f aca="false">(BK141/AT141)</f>
        <v>0.105263157894737</v>
      </c>
      <c r="BQ141" s="11" t="n">
        <f aca="false">(BL141/AU141)</f>
        <v>0.35</v>
      </c>
      <c r="BR141" s="11" t="n">
        <f aca="false">(BM141/AV141)</f>
        <v>0.245901639344262</v>
      </c>
      <c r="BS141" s="11" t="n">
        <f aca="false">(100*BR141)</f>
        <v>24.5901639344262</v>
      </c>
      <c r="BT141" s="9" t="n">
        <v>2</v>
      </c>
      <c r="BU141" s="9" t="n">
        <v>0</v>
      </c>
      <c r="BV141" s="9" t="n">
        <v>3</v>
      </c>
      <c r="BW141" s="9" t="n">
        <v>1</v>
      </c>
      <c r="BX141" s="9" t="n">
        <v>1</v>
      </c>
      <c r="BY141" s="11" t="n">
        <f aca="false">(BU141+BV141+BW141+BX141)/4</f>
        <v>1.25</v>
      </c>
      <c r="BZ141" s="11" t="n">
        <f aca="false">(BU141/AR141)</f>
        <v>0</v>
      </c>
      <c r="CA141" s="11" t="n">
        <f aca="false">(BV141/AS141)</f>
        <v>0.25</v>
      </c>
      <c r="CB141" s="11" t="n">
        <f aca="false">(BW141/AT141)</f>
        <v>0.0526315789473684</v>
      </c>
      <c r="CC141" s="11" t="n">
        <f aca="false">(BX141/AU141)</f>
        <v>0.05</v>
      </c>
      <c r="CD141" s="11" t="n">
        <f aca="false">(BY141/AV141)</f>
        <v>0.0819672131147541</v>
      </c>
      <c r="CE141" s="11" t="n">
        <f aca="false">(100*CD141)</f>
        <v>8.19672131147541</v>
      </c>
      <c r="CF141" s="9" t="n">
        <v>1</v>
      </c>
      <c r="CG141" s="9" t="n">
        <v>5</v>
      </c>
      <c r="CH141" s="9" t="n">
        <v>3</v>
      </c>
      <c r="CI141" s="9" t="n">
        <v>2</v>
      </c>
      <c r="CJ141" s="9" t="n">
        <v>5</v>
      </c>
      <c r="CK141" s="11" t="n">
        <f aca="false">(CG141+CH141+CI141+CJ141)/4</f>
        <v>3.75</v>
      </c>
      <c r="CL141" s="11" t="n">
        <f aca="false">(CG141/AM141)</f>
        <v>0.147058823529412</v>
      </c>
      <c r="CM141" s="11" t="n">
        <f aca="false">(CH141/AN141)</f>
        <v>0.2</v>
      </c>
      <c r="CN141" s="11" t="n">
        <f aca="false">(CI141/AO141)</f>
        <v>0.0298507462686567</v>
      </c>
      <c r="CO141" s="9" t="n">
        <f aca="false">(CJ141/AP141)</f>
        <v>0.208333333333333</v>
      </c>
      <c r="CP141" s="9" t="n">
        <f aca="false">(CK141/AQ141)</f>
        <v>0.107142857142857</v>
      </c>
      <c r="CQ141" s="9" t="n">
        <f aca="false">(100*CP141)</f>
        <v>10.7142857142857</v>
      </c>
      <c r="CR141" s="18" t="n">
        <v>2</v>
      </c>
      <c r="CS141" s="9" t="n">
        <v>69</v>
      </c>
      <c r="CT141" s="9" t="n">
        <v>68.1</v>
      </c>
      <c r="CU141" s="9" t="n">
        <v>55.7</v>
      </c>
      <c r="CV141" s="9" t="n">
        <v>51.7</v>
      </c>
      <c r="CW141" s="11" t="n">
        <f aca="false">(CS141+CT141+CU141+CV141)/4</f>
        <v>61.125</v>
      </c>
      <c r="CX141" s="9" t="n">
        <v>0</v>
      </c>
      <c r="CY141" s="9" t="n">
        <v>0</v>
      </c>
      <c r="CZ141" s="9" t="n">
        <v>0</v>
      </c>
      <c r="DA141" s="9" t="n">
        <v>0</v>
      </c>
      <c r="DB141" s="11" t="n">
        <f aca="false">(CX141+CY141+CZ141+DA141)/4</f>
        <v>0</v>
      </c>
      <c r="DC141" s="9" t="n">
        <v>1</v>
      </c>
      <c r="DD141" s="9" t="n">
        <v>1</v>
      </c>
      <c r="DE141" s="9" t="n">
        <v>1</v>
      </c>
      <c r="DF141" s="9" t="n">
        <v>1</v>
      </c>
      <c r="DG141" s="11" t="n">
        <f aca="false">(DC141+DD141+DE141+DF141)/4</f>
        <v>1</v>
      </c>
      <c r="DH141" s="9" t="n">
        <v>1</v>
      </c>
      <c r="DI141" s="9" t="n">
        <v>1</v>
      </c>
      <c r="DJ141" s="9" t="n">
        <v>1</v>
      </c>
      <c r="DK141" s="9" t="n">
        <v>1</v>
      </c>
      <c r="DL141" s="11" t="n">
        <f aca="false">(DH141+DI141+DJ141+DK141)/4</f>
        <v>1</v>
      </c>
      <c r="DM141" s="9" t="n">
        <v>22</v>
      </c>
      <c r="DN141" s="9" t="n">
        <v>33</v>
      </c>
      <c r="DO141" s="9" t="n">
        <v>3</v>
      </c>
      <c r="DP141" s="9" t="n">
        <v>0</v>
      </c>
      <c r="DQ141" s="11" t="n">
        <f aca="false">(DM141+DN141+DO141+DP141)/4</f>
        <v>14.5</v>
      </c>
      <c r="DR141" s="9" t="n">
        <v>35</v>
      </c>
      <c r="DS141" s="9" t="n">
        <v>12</v>
      </c>
      <c r="DT141" s="9" t="n">
        <v>14</v>
      </c>
      <c r="DU141" s="9" t="n">
        <v>11</v>
      </c>
      <c r="DV141" s="11" t="n">
        <f aca="false">(DR141+DS141+DT141+DU141)/4</f>
        <v>18</v>
      </c>
      <c r="DW141" s="9" t="n">
        <v>0</v>
      </c>
      <c r="DX141" s="9" t="n">
        <v>0</v>
      </c>
      <c r="DY141" s="9" t="n">
        <v>0</v>
      </c>
      <c r="DZ141" s="9" t="n">
        <v>0</v>
      </c>
      <c r="EA141" s="11" t="n">
        <f aca="false">(DW141+DX141+DY141+DZ141)/4</f>
        <v>0</v>
      </c>
      <c r="EB141" s="11" t="n">
        <f aca="false">(DW141/DR141)</f>
        <v>0</v>
      </c>
      <c r="EC141" s="11" t="n">
        <f aca="false">(DX141/DS141)</f>
        <v>0</v>
      </c>
      <c r="ED141" s="11" t="n">
        <f aca="false">(DY141/DT141)</f>
        <v>0</v>
      </c>
      <c r="EE141" s="11" t="n">
        <f aca="false">(DZ141/DU141)</f>
        <v>0</v>
      </c>
      <c r="EF141" s="11" t="n">
        <f aca="false">(EA141/DV141)</f>
        <v>0</v>
      </c>
      <c r="EG141" s="11" t="n">
        <f aca="false">(100*EF141)</f>
        <v>0</v>
      </c>
      <c r="EH141" s="9" t="n">
        <v>0</v>
      </c>
      <c r="EI141" s="9" t="n">
        <v>4</v>
      </c>
      <c r="EJ141" s="9" t="n">
        <v>1</v>
      </c>
      <c r="EK141" s="19" t="n">
        <v>2</v>
      </c>
      <c r="EL141" s="9" t="n">
        <v>4</v>
      </c>
      <c r="EM141" s="9" t="n">
        <f aca="false">(EI141+EJ141+EK141+EL141)/4</f>
        <v>2.75</v>
      </c>
      <c r="EN141" s="9" t="n">
        <f aca="false">(EI141/DR141)</f>
        <v>0.114285714285714</v>
      </c>
      <c r="EO141" s="9" t="n">
        <f aca="false">(EJ141/DS141)</f>
        <v>0.0833333333333333</v>
      </c>
      <c r="EP141" s="9" t="n">
        <f aca="false">(EK141/DT141)</f>
        <v>0.142857142857143</v>
      </c>
      <c r="EQ141" s="9" t="n">
        <f aca="false">(EL141/DU141)</f>
        <v>0.363636363636364</v>
      </c>
      <c r="ER141" s="9" t="n">
        <f aca="false">EM141/DV141</f>
        <v>0.152777777777778</v>
      </c>
      <c r="ES141" s="9" t="n">
        <f aca="false">(100*ER141)</f>
        <v>15.2777777777778</v>
      </c>
      <c r="ET141" s="9" t="n">
        <v>2</v>
      </c>
      <c r="EU141" s="18" t="n">
        <v>0</v>
      </c>
      <c r="EV141" s="9" t="n">
        <v>1</v>
      </c>
      <c r="EW141" s="9" t="n">
        <v>1</v>
      </c>
      <c r="EX141" s="9" t="n">
        <v>0</v>
      </c>
      <c r="EY141" s="11" t="n">
        <f aca="false">(EU141+EV141+EW141+EX141)/4</f>
        <v>0.5</v>
      </c>
      <c r="EZ141" s="11" t="n">
        <f aca="false">(EU141/DR141)</f>
        <v>0</v>
      </c>
      <c r="FA141" s="11" t="n">
        <f aca="false">(EV141/DS141)</f>
        <v>0.0833333333333333</v>
      </c>
      <c r="FB141" s="11" t="n">
        <f aca="false">(EW141/DT141)</f>
        <v>0.0714285714285714</v>
      </c>
      <c r="FC141" s="11" t="n">
        <f aca="false">(EX141/DU141)</f>
        <v>0</v>
      </c>
      <c r="FD141" s="11" t="n">
        <f aca="false">(EY141/DV141)</f>
        <v>0.0277777777777778</v>
      </c>
      <c r="FE141" s="11" t="n">
        <f aca="false">(100*FD141)</f>
        <v>2.77777777777778</v>
      </c>
      <c r="FF141" s="9" t="n">
        <v>1</v>
      </c>
      <c r="FG141" s="9" t="n">
        <v>8</v>
      </c>
      <c r="FH141" s="9" t="n">
        <v>4</v>
      </c>
      <c r="FI141" s="9" t="n">
        <v>2</v>
      </c>
      <c r="FJ141" s="9" t="n">
        <v>0</v>
      </c>
      <c r="FK141" s="11" t="n">
        <f aca="false">(FG141+FH141+FI141+FJ141)/4</f>
        <v>3.5</v>
      </c>
      <c r="FL141" s="11" t="n">
        <f aca="false">(FG141/DR141)</f>
        <v>0.228571428571429</v>
      </c>
      <c r="FM141" s="11" t="n">
        <f aca="false">(FH141/DS141)</f>
        <v>0.333333333333333</v>
      </c>
      <c r="FN141" s="11" t="n">
        <f aca="false">(FI141/DT141)</f>
        <v>0.142857142857143</v>
      </c>
      <c r="FO141" s="11" t="n">
        <f aca="false">(FJ141/DU141)</f>
        <v>0</v>
      </c>
      <c r="FP141" s="11" t="n">
        <f aca="false">(FK141/DV141)</f>
        <v>0.194444444444444</v>
      </c>
      <c r="FQ141" s="11" t="n">
        <f aca="false">(100*FP141)</f>
        <v>19.4444444444444</v>
      </c>
      <c r="FR141" s="9" t="n">
        <v>2</v>
      </c>
      <c r="FS141" s="9" t="n">
        <v>41.6</v>
      </c>
      <c r="FT141" s="9" t="n">
        <v>72.7</v>
      </c>
      <c r="FU141" s="9" t="n">
        <v>63.1</v>
      </c>
      <c r="FV141" s="9" t="n">
        <v>64.8</v>
      </c>
      <c r="FW141" s="11" t="n">
        <f aca="false">(FS141+FT141+FU141+FV141)/4</f>
        <v>60.55</v>
      </c>
      <c r="FX141" s="9" t="n">
        <v>0</v>
      </c>
      <c r="FY141" s="9" t="n">
        <v>0</v>
      </c>
      <c r="FZ141" s="9" t="n">
        <v>0</v>
      </c>
      <c r="GA141" s="9" t="n">
        <v>0</v>
      </c>
      <c r="GB141" s="11" t="n">
        <f aca="false">(FX141+FY141+FZ141+GA141)/4</f>
        <v>0</v>
      </c>
      <c r="GC141" s="9" t="n">
        <v>1</v>
      </c>
      <c r="GD141" s="9" t="n">
        <v>1</v>
      </c>
      <c r="GE141" s="9" t="n">
        <v>1</v>
      </c>
      <c r="GF141" s="9" t="n">
        <v>1</v>
      </c>
      <c r="GG141" s="11" t="n">
        <f aca="false">(GC141+GD141+GE141+GF141)/4</f>
        <v>1</v>
      </c>
      <c r="GH141" s="9" t="n">
        <v>1</v>
      </c>
      <c r="GI141" s="9" t="n">
        <v>1</v>
      </c>
      <c r="GJ141" s="9" t="n">
        <v>1</v>
      </c>
      <c r="GK141" s="9" t="n">
        <v>1</v>
      </c>
      <c r="GL141" s="11" t="n">
        <f aca="false">(GH141+GI141+GJ141+GK141)/4</f>
        <v>1</v>
      </c>
      <c r="GM141" s="9" t="n">
        <v>12</v>
      </c>
      <c r="GN141" s="9" t="n">
        <v>51</v>
      </c>
      <c r="GO141" s="9" t="n">
        <v>54</v>
      </c>
      <c r="GP141" s="9" t="n">
        <v>37</v>
      </c>
      <c r="GQ141" s="11" t="n">
        <f aca="false">(GM141+GN141+GO141+GP141)/4</f>
        <v>38.5</v>
      </c>
      <c r="GR141" s="9" t="n">
        <v>12</v>
      </c>
      <c r="GS141" s="9" t="n">
        <v>12</v>
      </c>
      <c r="GT141" s="9" t="n">
        <v>14</v>
      </c>
      <c r="GU141" s="9" t="n">
        <v>11</v>
      </c>
      <c r="GV141" s="11" t="n">
        <f aca="false">(GR141+GS141+GT141+GU141)/4</f>
        <v>12.25</v>
      </c>
      <c r="GW141" s="9" t="n">
        <v>0</v>
      </c>
      <c r="GX141" s="9" t="n">
        <v>0</v>
      </c>
      <c r="GY141" s="9" t="n">
        <v>0</v>
      </c>
      <c r="GZ141" s="9" t="n">
        <v>0</v>
      </c>
      <c r="HA141" s="11" t="n">
        <f aca="false">(GW141+GX141+GY141+GZ141)/4</f>
        <v>0</v>
      </c>
      <c r="HB141" s="9" t="n">
        <f aca="false">(GW141/GR141)</f>
        <v>0</v>
      </c>
      <c r="HC141" s="9" t="n">
        <f aca="false">(GX141/GS141)</f>
        <v>0</v>
      </c>
      <c r="HD141" s="9" t="n">
        <f aca="false">(GY141/GT141)</f>
        <v>0</v>
      </c>
      <c r="HE141" s="9" t="n">
        <f aca="false">(GZ141/GU141)/4</f>
        <v>0</v>
      </c>
      <c r="HF141" s="9" t="n">
        <f aca="false">(HB141+HC141+HD141+HE141)/4</f>
        <v>0</v>
      </c>
      <c r="HG141" s="9" t="n">
        <f aca="false">(100*HF141)</f>
        <v>0</v>
      </c>
      <c r="HH141" s="18" t="n">
        <v>0</v>
      </c>
      <c r="HI141" s="9" t="n">
        <v>2</v>
      </c>
      <c r="HJ141" s="9" t="n">
        <v>4</v>
      </c>
      <c r="HK141" s="9" t="n">
        <v>3</v>
      </c>
      <c r="HL141" s="19" t="n">
        <v>2</v>
      </c>
      <c r="HM141" s="9" t="n">
        <f aca="false">(HI141+HJ141+HK141+HL141)/4</f>
        <v>2.75</v>
      </c>
      <c r="HN141" s="9" t="n">
        <f aca="false">(HI141/GR141)</f>
        <v>0.166666666666667</v>
      </c>
      <c r="HO141" s="9" t="n">
        <f aca="false">(HJ141/GS141)</f>
        <v>0.333333333333333</v>
      </c>
      <c r="HP141" s="9" t="n">
        <f aca="false">(HK141/GT141)</f>
        <v>0.214285714285714</v>
      </c>
      <c r="HQ141" s="9" t="n">
        <f aca="false">(HL141/GU141)</f>
        <v>0.181818181818182</v>
      </c>
      <c r="HR141" s="9" t="n">
        <f aca="false">(HM141/GV141)</f>
        <v>0.224489795918367</v>
      </c>
      <c r="HS141" s="9" t="n">
        <f aca="false">(100*HR141)</f>
        <v>22.4489795918367</v>
      </c>
      <c r="HT141" s="18" t="n">
        <v>2</v>
      </c>
      <c r="HU141" s="9" t="n">
        <v>1</v>
      </c>
      <c r="HV141" s="9" t="n">
        <v>1</v>
      </c>
      <c r="HW141" s="9" t="n">
        <v>0</v>
      </c>
      <c r="HX141" s="19" t="n">
        <v>1</v>
      </c>
      <c r="HY141" s="9" t="n">
        <f aca="false">(HU141+HV141+HW141+HX141)/4</f>
        <v>0.75</v>
      </c>
      <c r="HZ141" s="9" t="n">
        <f aca="false">(HU141/GR141)</f>
        <v>0.0833333333333333</v>
      </c>
      <c r="IA141" s="9" t="n">
        <f aca="false">HV141/GS141</f>
        <v>0.0833333333333333</v>
      </c>
      <c r="IB141" s="9" t="n">
        <f aca="false">(HW141/GT141)</f>
        <v>0</v>
      </c>
      <c r="IC141" s="9" t="n">
        <f aca="false">(HX141/GU141)</f>
        <v>0.0909090909090909</v>
      </c>
      <c r="ID141" s="9" t="n">
        <f aca="false">(HY141/GV141)</f>
        <v>0.0612244897959184</v>
      </c>
      <c r="IE141" s="9" t="n">
        <f aca="false">(100*ID141)</f>
        <v>6.12244897959184</v>
      </c>
      <c r="IF141" s="18" t="n">
        <v>1</v>
      </c>
      <c r="IG141" s="9" t="n">
        <v>2</v>
      </c>
      <c r="IH141" s="9" t="n">
        <v>3</v>
      </c>
      <c r="II141" s="19" t="n">
        <v>2</v>
      </c>
      <c r="IJ141" s="9" t="n">
        <v>1</v>
      </c>
      <c r="IK141" s="9" t="n">
        <f aca="false">(IG141+IH141+II141+IJ141)/4</f>
        <v>2</v>
      </c>
      <c r="IL141" s="9" t="n">
        <f aca="false">(IG141/GM141)</f>
        <v>0.166666666666667</v>
      </c>
      <c r="IM141" s="9" t="n">
        <f aca="false">(IH141/GN141)</f>
        <v>0.0588235294117647</v>
      </c>
      <c r="IN141" s="9" t="n">
        <f aca="false">(II141/GO141)</f>
        <v>0.037037037037037</v>
      </c>
      <c r="IO141" s="9" t="n">
        <f aca="false">(IJ141/GP141)</f>
        <v>0.027027027027027</v>
      </c>
      <c r="IP141" s="9" t="n">
        <f aca="false">(IK141/GQ141)</f>
        <v>0.051948051948052</v>
      </c>
      <c r="IQ141" s="9" t="n">
        <f aca="false">(100*IP141)</f>
        <v>5.1948051948052</v>
      </c>
      <c r="IR141" s="18" t="n">
        <v>1</v>
      </c>
      <c r="IS141" s="9" t="n">
        <v>74.8</v>
      </c>
      <c r="IT141" s="9" t="n">
        <v>56.6</v>
      </c>
      <c r="IU141" s="19" t="n">
        <v>53.2</v>
      </c>
      <c r="IV141" s="9" t="n">
        <v>51.3</v>
      </c>
      <c r="IW141" s="9" t="n">
        <f aca="false">(IS141+IT141+IU141+IV141)/4</f>
        <v>58.975</v>
      </c>
      <c r="IX141" s="16" t="n">
        <v>45242</v>
      </c>
      <c r="IY141" s="10" t="s">
        <v>268</v>
      </c>
    </row>
    <row r="142" customFormat="false" ht="15.75" hidden="false" customHeight="true" outlineLevel="0" collapsed="false">
      <c r="A142" s="9" t="s">
        <v>343</v>
      </c>
      <c r="B142" s="10" t="s">
        <v>588</v>
      </c>
      <c r="C142" s="10" t="s">
        <v>514</v>
      </c>
      <c r="D142" s="9" t="n">
        <v>3</v>
      </c>
      <c r="E142" s="9" t="n">
        <v>47</v>
      </c>
      <c r="F142" s="10" t="s">
        <v>594</v>
      </c>
      <c r="G142" s="11" t="s">
        <v>263</v>
      </c>
      <c r="H142" s="9" t="n">
        <v>21</v>
      </c>
      <c r="I142" s="9" t="n">
        <v>20</v>
      </c>
      <c r="J142" s="10" t="s">
        <v>272</v>
      </c>
      <c r="K142" s="20"/>
      <c r="L142" s="20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 t="n">
        <v>0</v>
      </c>
      <c r="Y142" s="9" t="n">
        <v>0</v>
      </c>
      <c r="Z142" s="9" t="n">
        <v>0</v>
      </c>
      <c r="AA142" s="9" t="n">
        <v>0</v>
      </c>
      <c r="AB142" s="11" t="n">
        <f aca="false">(X142+Y142+Z142+AA142)/4</f>
        <v>0</v>
      </c>
      <c r="AC142" s="9" t="n">
        <v>1</v>
      </c>
      <c r="AD142" s="9" t="n">
        <v>1</v>
      </c>
      <c r="AE142" s="9" t="n">
        <v>0</v>
      </c>
      <c r="AF142" s="9" t="n">
        <v>1</v>
      </c>
      <c r="AG142" s="11" t="n">
        <f aca="false">(AC142+AD142+AE142+AF142)/4</f>
        <v>0.75</v>
      </c>
      <c r="AH142" s="9" t="n">
        <v>1</v>
      </c>
      <c r="AI142" s="9" t="n">
        <v>1</v>
      </c>
      <c r="AJ142" s="9" t="n">
        <v>1</v>
      </c>
      <c r="AK142" s="9" t="n">
        <v>1</v>
      </c>
      <c r="AL142" s="11" t="n">
        <f aca="false">(AH142+AI142+AJ142+AK142)/4</f>
        <v>1</v>
      </c>
      <c r="AM142" s="9" t="n">
        <v>8</v>
      </c>
      <c r="AN142" s="9" t="n">
        <v>3</v>
      </c>
      <c r="AO142" s="9" t="n">
        <v>14</v>
      </c>
      <c r="AP142" s="9" t="n">
        <v>12</v>
      </c>
      <c r="AQ142" s="11" t="n">
        <f aca="false">(AM142+AN142+AO142+AP142)/4</f>
        <v>9.25</v>
      </c>
      <c r="AR142" s="9" t="n">
        <v>11</v>
      </c>
      <c r="AS142" s="9" t="n">
        <v>10</v>
      </c>
      <c r="AT142" s="9" t="n">
        <v>13</v>
      </c>
      <c r="AU142" s="9" t="n">
        <v>14</v>
      </c>
      <c r="AV142" s="11" t="n">
        <f aca="false">(AR142+AS142+AT142+AU142)/4</f>
        <v>12</v>
      </c>
      <c r="AW142" s="9" t="n">
        <v>0</v>
      </c>
      <c r="AX142" s="9" t="n">
        <v>0</v>
      </c>
      <c r="AY142" s="9" t="n">
        <v>0</v>
      </c>
      <c r="AZ142" s="9" t="n">
        <v>0</v>
      </c>
      <c r="BA142" s="11" t="n">
        <f aca="false">(AW142+AX142+AY142+AZ142)/4</f>
        <v>0</v>
      </c>
      <c r="BB142" s="11" t="n">
        <f aca="false">(AW142/AR142)</f>
        <v>0</v>
      </c>
      <c r="BC142" s="11" t="n">
        <f aca="false">(AX142/AS142)</f>
        <v>0</v>
      </c>
      <c r="BD142" s="11" t="n">
        <f aca="false">(AY142/AT142)</f>
        <v>0</v>
      </c>
      <c r="BE142" s="11" t="n">
        <f aca="false">(AZ142/AU142)</f>
        <v>0</v>
      </c>
      <c r="BF142" s="11" t="n">
        <f aca="false">(BA142/AV142)</f>
        <v>0</v>
      </c>
      <c r="BG142" s="11" t="n">
        <f aca="false">(BF142*100)</f>
        <v>0</v>
      </c>
      <c r="BH142" s="9" t="n">
        <v>0</v>
      </c>
      <c r="BI142" s="9" t="n">
        <v>4</v>
      </c>
      <c r="BJ142" s="9" t="n">
        <v>3</v>
      </c>
      <c r="BK142" s="9" t="n">
        <v>0</v>
      </c>
      <c r="BL142" s="9" t="n">
        <v>8</v>
      </c>
      <c r="BM142" s="11" t="n">
        <f aca="false">(BI142+BJ142+BK142+BL142)/4</f>
        <v>3.75</v>
      </c>
      <c r="BN142" s="11" t="n">
        <f aca="false">(BI142/AR142)</f>
        <v>0.363636363636364</v>
      </c>
      <c r="BO142" s="11" t="n">
        <f aca="false">(BJ142/AS142)</f>
        <v>0.3</v>
      </c>
      <c r="BP142" s="11" t="n">
        <f aca="false">(BK142/AT142)</f>
        <v>0</v>
      </c>
      <c r="BQ142" s="11" t="n">
        <f aca="false">(BL142/AU142)</f>
        <v>0.571428571428571</v>
      </c>
      <c r="BR142" s="11" t="n">
        <f aca="false">(BM142/AV142)</f>
        <v>0.3125</v>
      </c>
      <c r="BS142" s="11" t="n">
        <f aca="false">(100*BR142)</f>
        <v>31.25</v>
      </c>
      <c r="BT142" s="9" t="n">
        <v>3</v>
      </c>
      <c r="BU142" s="9" t="n">
        <v>0</v>
      </c>
      <c r="BV142" s="9" t="n">
        <v>1</v>
      </c>
      <c r="BW142" s="9" t="n">
        <v>0</v>
      </c>
      <c r="BX142" s="9" t="n">
        <v>1</v>
      </c>
      <c r="BY142" s="11" t="n">
        <f aca="false">(BU142+BV142+BW142+BX142)/4</f>
        <v>0.5</v>
      </c>
      <c r="BZ142" s="11" t="n">
        <f aca="false">(BU142/AR142)</f>
        <v>0</v>
      </c>
      <c r="CA142" s="11" t="n">
        <f aca="false">(BV142/AS142)</f>
        <v>0.1</v>
      </c>
      <c r="CB142" s="11" t="n">
        <f aca="false">(BW142/AT142)</f>
        <v>0</v>
      </c>
      <c r="CC142" s="11" t="n">
        <f aca="false">(BX142/AU142)</f>
        <v>0.0714285714285714</v>
      </c>
      <c r="CD142" s="11" t="n">
        <f aca="false">(BY142/AV142)</f>
        <v>0.0416666666666667</v>
      </c>
      <c r="CE142" s="11" t="n">
        <f aca="false">(100*CD142)</f>
        <v>4.16666666666667</v>
      </c>
      <c r="CF142" s="9" t="n">
        <v>1</v>
      </c>
      <c r="CG142" s="9" t="n">
        <v>8</v>
      </c>
      <c r="CH142" s="9" t="n">
        <v>2</v>
      </c>
      <c r="CI142" s="9" t="n">
        <v>4</v>
      </c>
      <c r="CJ142" s="9" t="n">
        <v>4</v>
      </c>
      <c r="CK142" s="11" t="n">
        <f aca="false">(CG142+CH142+CI142+CJ142)/4</f>
        <v>4.5</v>
      </c>
      <c r="CL142" s="11" t="n">
        <f aca="false">(CG142/AM142)</f>
        <v>1</v>
      </c>
      <c r="CM142" s="11" t="n">
        <f aca="false">(CH142/AN142)</f>
        <v>0.666666666666667</v>
      </c>
      <c r="CN142" s="11" t="n">
        <f aca="false">(CI142/AO142)</f>
        <v>0.285714285714286</v>
      </c>
      <c r="CO142" s="9" t="n">
        <f aca="false">(CJ142/AP142)</f>
        <v>0.333333333333333</v>
      </c>
      <c r="CP142" s="9" t="n">
        <f aca="false">(CK142/AQ142)</f>
        <v>0.486486486486487</v>
      </c>
      <c r="CQ142" s="9" t="n">
        <f aca="false">(100*CP142)</f>
        <v>48.6486486486487</v>
      </c>
      <c r="CR142" s="18" t="n">
        <v>3</v>
      </c>
      <c r="CS142" s="9" t="n">
        <v>70.6</v>
      </c>
      <c r="CT142" s="9" t="n">
        <v>82</v>
      </c>
      <c r="CU142" s="9" t="n">
        <v>39.2</v>
      </c>
      <c r="CV142" s="9" t="n">
        <v>62.7</v>
      </c>
      <c r="CW142" s="11" t="n">
        <f aca="false">(CS142+CT142+CU142+CV142)/4</f>
        <v>63.625</v>
      </c>
      <c r="CX142" s="9" t="n">
        <v>1</v>
      </c>
      <c r="CY142" s="9" t="n">
        <v>0</v>
      </c>
      <c r="CZ142" s="9" t="n">
        <v>0</v>
      </c>
      <c r="DA142" s="9" t="n">
        <v>0</v>
      </c>
      <c r="DB142" s="11" t="n">
        <f aca="false">(CX142+CY142+CZ142+DA142)/4</f>
        <v>0.25</v>
      </c>
      <c r="DC142" s="9" t="n">
        <v>1</v>
      </c>
      <c r="DD142" s="9" t="n">
        <v>0</v>
      </c>
      <c r="DE142" s="9" t="n">
        <v>0</v>
      </c>
      <c r="DF142" s="9" t="n">
        <v>0</v>
      </c>
      <c r="DG142" s="11" t="n">
        <f aca="false">(DC142+DD142+DE142+DF142)/4</f>
        <v>0.25</v>
      </c>
      <c r="DH142" s="9" t="n">
        <v>1</v>
      </c>
      <c r="DI142" s="9" t="n">
        <v>1</v>
      </c>
      <c r="DJ142" s="9" t="n">
        <v>1</v>
      </c>
      <c r="DK142" s="9" t="n">
        <v>1</v>
      </c>
      <c r="DL142" s="11" t="n">
        <f aca="false">(DH142+DI142+DJ142+DK142)/4</f>
        <v>1</v>
      </c>
      <c r="DM142" s="9" t="n">
        <v>39</v>
      </c>
      <c r="DN142" s="9" t="n">
        <v>21</v>
      </c>
      <c r="DO142" s="9" t="n">
        <v>86</v>
      </c>
      <c r="DP142" s="9" t="n">
        <v>27</v>
      </c>
      <c r="DQ142" s="11" t="n">
        <f aca="false">(DM142+DN142+DO142+DP142)/4</f>
        <v>43.25</v>
      </c>
      <c r="DR142" s="9" t="n">
        <v>11</v>
      </c>
      <c r="DS142" s="9" t="n">
        <v>10</v>
      </c>
      <c r="DT142" s="9" t="n">
        <v>13</v>
      </c>
      <c r="DU142" s="9" t="n">
        <v>14</v>
      </c>
      <c r="DV142" s="11" t="n">
        <f aca="false">(DR142+DS142+DT142+DU142)/4</f>
        <v>12</v>
      </c>
      <c r="DW142" s="9" t="n">
        <v>1</v>
      </c>
      <c r="DX142" s="9" t="n">
        <v>0</v>
      </c>
      <c r="DY142" s="9" t="n">
        <v>0</v>
      </c>
      <c r="DZ142" s="9" t="n">
        <v>0</v>
      </c>
      <c r="EA142" s="11" t="n">
        <f aca="false">(DW142+DX142+DY142+DZ142)/4</f>
        <v>0.25</v>
      </c>
      <c r="EB142" s="11" t="n">
        <f aca="false">(DW142/DR142)</f>
        <v>0.0909090909090909</v>
      </c>
      <c r="EC142" s="11" t="n">
        <f aca="false">(DX142/DS142)</f>
        <v>0</v>
      </c>
      <c r="ED142" s="11" t="n">
        <f aca="false">(DY142/DT142)</f>
        <v>0</v>
      </c>
      <c r="EE142" s="11" t="n">
        <f aca="false">(DZ142/DU142)</f>
        <v>0</v>
      </c>
      <c r="EF142" s="11" t="n">
        <f aca="false">(EA142/DV142)</f>
        <v>0.0208333333333333</v>
      </c>
      <c r="EG142" s="11" t="n">
        <f aca="false">(100*EF142)</f>
        <v>2.08333333333333</v>
      </c>
      <c r="EH142" s="9" t="n">
        <v>1</v>
      </c>
      <c r="EI142" s="9" t="n">
        <v>1</v>
      </c>
      <c r="EJ142" s="9" t="n">
        <v>2</v>
      </c>
      <c r="EK142" s="19" t="n">
        <v>4</v>
      </c>
      <c r="EL142" s="9" t="n">
        <v>2</v>
      </c>
      <c r="EM142" s="9" t="n">
        <f aca="false">(EI142+EJ142+EK142+EL142)/4</f>
        <v>2.25</v>
      </c>
      <c r="EN142" s="9" t="n">
        <f aca="false">(EI142/DR142)</f>
        <v>0.0909090909090909</v>
      </c>
      <c r="EO142" s="9" t="n">
        <f aca="false">(EJ142/DS142)</f>
        <v>0.2</v>
      </c>
      <c r="EP142" s="9" t="n">
        <f aca="false">(EK142/DT142)</f>
        <v>0.307692307692308</v>
      </c>
      <c r="EQ142" s="9" t="n">
        <f aca="false">(EL142/DU142)</f>
        <v>0.142857142857143</v>
      </c>
      <c r="ER142" s="9" t="n">
        <f aca="false">EM142/DV142</f>
        <v>0.1875</v>
      </c>
      <c r="ES142" s="9" t="n">
        <f aca="false">(100*ER142)</f>
        <v>18.75</v>
      </c>
      <c r="ET142" s="9" t="n">
        <v>2</v>
      </c>
      <c r="EU142" s="18" t="n">
        <v>0</v>
      </c>
      <c r="EV142" s="9" t="n">
        <v>0</v>
      </c>
      <c r="EW142" s="9" t="n">
        <v>1</v>
      </c>
      <c r="EX142" s="9" t="n">
        <v>0</v>
      </c>
      <c r="EY142" s="11" t="n">
        <f aca="false">(EU142+EV142+EW142+EX142)/4</f>
        <v>0.25</v>
      </c>
      <c r="EZ142" s="11" t="n">
        <f aca="false">(EU142/DR142)</f>
        <v>0</v>
      </c>
      <c r="FA142" s="11" t="n">
        <f aca="false">(EV142/DS142)</f>
        <v>0</v>
      </c>
      <c r="FB142" s="11" t="n">
        <f aca="false">(EW142/DT142)</f>
        <v>0.0769230769230769</v>
      </c>
      <c r="FC142" s="11" t="n">
        <f aca="false">(EX142/DU142)</f>
        <v>0</v>
      </c>
      <c r="FD142" s="11" t="n">
        <f aca="false">(EY142/DV142)</f>
        <v>0.0208333333333333</v>
      </c>
      <c r="FE142" s="11" t="n">
        <f aca="false">(100*FD142)</f>
        <v>2.08333333333333</v>
      </c>
      <c r="FF142" s="9" t="n">
        <v>1</v>
      </c>
      <c r="FG142" s="9" t="n">
        <v>4</v>
      </c>
      <c r="FH142" s="9" t="n">
        <v>6</v>
      </c>
      <c r="FI142" s="9" t="n">
        <v>18</v>
      </c>
      <c r="FJ142" s="9" t="n">
        <v>6</v>
      </c>
      <c r="FK142" s="11" t="n">
        <f aca="false">(FG142+FH142+FI142+FJ142)/4</f>
        <v>8.5</v>
      </c>
      <c r="FL142" s="11" t="n">
        <f aca="false">(FG142/DR142)</f>
        <v>0.363636363636364</v>
      </c>
      <c r="FM142" s="11" t="n">
        <f aca="false">(FH142/DS142)</f>
        <v>0.6</v>
      </c>
      <c r="FN142" s="11" t="n">
        <f aca="false">(FI142/DT142)</f>
        <v>1.38461538461538</v>
      </c>
      <c r="FO142" s="11" t="n">
        <f aca="false">(FJ142/DU142)</f>
        <v>0.428571428571429</v>
      </c>
      <c r="FP142" s="11" t="n">
        <f aca="false">(FK142/DV142)</f>
        <v>0.708333333333333</v>
      </c>
      <c r="FQ142" s="11" t="n">
        <f aca="false">(100*FP142)</f>
        <v>70.8333333333333</v>
      </c>
      <c r="FR142" s="9" t="n">
        <v>3</v>
      </c>
      <c r="FS142" s="9" t="n">
        <v>68.8</v>
      </c>
      <c r="FT142" s="9" t="n">
        <v>66.5</v>
      </c>
      <c r="FU142" s="9" t="n">
        <v>72.2</v>
      </c>
      <c r="FV142" s="9" t="n">
        <v>53</v>
      </c>
      <c r="FW142" s="11" t="n">
        <f aca="false">(FS142+FT142+FU142+FV142)/4</f>
        <v>65.125</v>
      </c>
      <c r="FX142" s="9" t="n">
        <v>0</v>
      </c>
      <c r="FY142" s="9" t="n">
        <v>0</v>
      </c>
      <c r="FZ142" s="9" t="n">
        <v>1</v>
      </c>
      <c r="GA142" s="9" t="n">
        <v>0</v>
      </c>
      <c r="GB142" s="11" t="n">
        <f aca="false">(FX142+FY142+FZ142+GA142)/4</f>
        <v>0.25</v>
      </c>
      <c r="GC142" s="9" t="n">
        <v>1</v>
      </c>
      <c r="GD142" s="9" t="n">
        <v>1</v>
      </c>
      <c r="GE142" s="9" t="n">
        <v>1</v>
      </c>
      <c r="GF142" s="9" t="n">
        <v>1</v>
      </c>
      <c r="GG142" s="11" t="n">
        <f aca="false">(GC142+GD142+GE142+GF142)/4</f>
        <v>1</v>
      </c>
      <c r="GH142" s="9" t="n">
        <v>1</v>
      </c>
      <c r="GI142" s="9" t="n">
        <v>1</v>
      </c>
      <c r="GJ142" s="9" t="n">
        <v>1</v>
      </c>
      <c r="GK142" s="9" t="n">
        <v>1</v>
      </c>
      <c r="GL142" s="11" t="n">
        <f aca="false">(GH142+GI142+GJ142+GK142)/4</f>
        <v>1</v>
      </c>
      <c r="GM142" s="9" t="n">
        <v>8</v>
      </c>
      <c r="GN142" s="9" t="n">
        <v>25</v>
      </c>
      <c r="GO142" s="9" t="n">
        <v>20</v>
      </c>
      <c r="GP142" s="9" t="n">
        <v>25</v>
      </c>
      <c r="GQ142" s="11" t="n">
        <f aca="false">(GM142+GN142+GO142+GP142)/4</f>
        <v>19.5</v>
      </c>
      <c r="GR142" s="9" t="n">
        <v>9</v>
      </c>
      <c r="GS142" s="9" t="n">
        <v>8</v>
      </c>
      <c r="GT142" s="9" t="n">
        <v>14</v>
      </c>
      <c r="GU142" s="9" t="n">
        <v>19</v>
      </c>
      <c r="GV142" s="11" t="n">
        <f aca="false">(GR142+GS142+GT142+GU142)/4</f>
        <v>12.5</v>
      </c>
      <c r="GW142" s="9" t="n">
        <v>0</v>
      </c>
      <c r="GX142" s="9" t="n">
        <v>0</v>
      </c>
      <c r="GY142" s="9" t="n">
        <v>1</v>
      </c>
      <c r="GZ142" s="9" t="n">
        <v>0</v>
      </c>
      <c r="HA142" s="11" t="n">
        <f aca="false">(GW142+GX142+GY142+GZ142)/4</f>
        <v>0.25</v>
      </c>
      <c r="HB142" s="9" t="n">
        <f aca="false">(GW142/GR142)</f>
        <v>0</v>
      </c>
      <c r="HC142" s="9" t="n">
        <f aca="false">(GX142/GS142)</f>
        <v>0</v>
      </c>
      <c r="HD142" s="9" t="n">
        <f aca="false">(GY142/GT142)</f>
        <v>0.0714285714285714</v>
      </c>
      <c r="HE142" s="9" t="n">
        <f aca="false">(GZ142/GU142)/4</f>
        <v>0</v>
      </c>
      <c r="HF142" s="9" t="n">
        <f aca="false">(HB142+HC142+HD142+HE142)/4</f>
        <v>0.0178571428571429</v>
      </c>
      <c r="HG142" s="9" t="n">
        <f aca="false">(100*HF142)</f>
        <v>1.78571428571429</v>
      </c>
      <c r="HH142" s="18" t="n">
        <v>1</v>
      </c>
      <c r="HI142" s="9" t="n">
        <v>7</v>
      </c>
      <c r="HJ142" s="9" t="n">
        <v>8</v>
      </c>
      <c r="HK142" s="9" t="n">
        <v>2</v>
      </c>
      <c r="HL142" s="19" t="n">
        <v>1</v>
      </c>
      <c r="HM142" s="9" t="n">
        <f aca="false">(HI142+HJ142+HK142+HL142)/4</f>
        <v>4.5</v>
      </c>
      <c r="HN142" s="9" t="n">
        <f aca="false">(HI142/GR142)</f>
        <v>0.777777777777778</v>
      </c>
      <c r="HO142" s="9" t="n">
        <f aca="false">(HJ142/GS142)</f>
        <v>1</v>
      </c>
      <c r="HP142" s="9" t="n">
        <f aca="false">(HK142/GT142)</f>
        <v>0.142857142857143</v>
      </c>
      <c r="HQ142" s="9" t="n">
        <f aca="false">(HL142/GU142)</f>
        <v>0.0526315789473684</v>
      </c>
      <c r="HR142" s="9" t="n">
        <f aca="false">(HM142/GV142)</f>
        <v>0.36</v>
      </c>
      <c r="HS142" s="9" t="n">
        <f aca="false">(100*HR142)</f>
        <v>36</v>
      </c>
      <c r="HT142" s="18" t="n">
        <v>3</v>
      </c>
      <c r="HU142" s="9" t="n">
        <v>1</v>
      </c>
      <c r="HV142" s="9" t="n">
        <v>1</v>
      </c>
      <c r="HW142" s="9" t="n">
        <v>1</v>
      </c>
      <c r="HX142" s="19" t="n">
        <v>1</v>
      </c>
      <c r="HY142" s="9" t="n">
        <f aca="false">(HU142+HV142+HW142+HX142)/4</f>
        <v>1</v>
      </c>
      <c r="HZ142" s="9" t="n">
        <f aca="false">(HU142/GR142)</f>
        <v>0.111111111111111</v>
      </c>
      <c r="IA142" s="9" t="n">
        <f aca="false">HV142/GS142</f>
        <v>0.125</v>
      </c>
      <c r="IB142" s="9" t="n">
        <f aca="false">(HW142/GT142)</f>
        <v>0.0714285714285714</v>
      </c>
      <c r="IC142" s="9" t="n">
        <f aca="false">(HX142/GU142)</f>
        <v>0.0526315789473684</v>
      </c>
      <c r="ID142" s="9" t="n">
        <f aca="false">(HY142/GV142)</f>
        <v>0.08</v>
      </c>
      <c r="IE142" s="9" t="n">
        <f aca="false">(100*ID142)</f>
        <v>8</v>
      </c>
      <c r="IF142" s="18" t="n">
        <v>1</v>
      </c>
      <c r="IG142" s="9" t="n">
        <v>2</v>
      </c>
      <c r="IH142" s="9" t="n">
        <v>5</v>
      </c>
      <c r="II142" s="19" t="n">
        <v>2</v>
      </c>
      <c r="IJ142" s="9" t="n">
        <v>2</v>
      </c>
      <c r="IK142" s="9" t="n">
        <f aca="false">(IG142+IH142+II142+IJ142)/4</f>
        <v>2.75</v>
      </c>
      <c r="IL142" s="9" t="n">
        <f aca="false">(IG142/GM142)</f>
        <v>0.25</v>
      </c>
      <c r="IM142" s="9" t="n">
        <f aca="false">(IH142/GN142)</f>
        <v>0.2</v>
      </c>
      <c r="IN142" s="9" t="n">
        <f aca="false">(II142/GO142)</f>
        <v>0.1</v>
      </c>
      <c r="IO142" s="9" t="n">
        <f aca="false">(IJ142/GP142)</f>
        <v>0.08</v>
      </c>
      <c r="IP142" s="9" t="n">
        <f aca="false">(IK142/GQ142)</f>
        <v>0.141025641025641</v>
      </c>
      <c r="IQ142" s="9" t="n">
        <f aca="false">(100*IP142)</f>
        <v>14.1025641025641</v>
      </c>
      <c r="IR142" s="18" t="n">
        <v>2</v>
      </c>
      <c r="IS142" s="9" t="n">
        <v>71.3</v>
      </c>
      <c r="IT142" s="9" t="n">
        <v>78.3</v>
      </c>
      <c r="IU142" s="19" t="n">
        <v>68.2</v>
      </c>
      <c r="IV142" s="9" t="n">
        <v>79.2</v>
      </c>
      <c r="IW142" s="9" t="n">
        <f aca="false">(IS142+IT142+IU142+IV142)/4</f>
        <v>74.25</v>
      </c>
      <c r="IX142" s="16" t="n">
        <v>45242</v>
      </c>
      <c r="IY142" s="10" t="s">
        <v>268</v>
      </c>
    </row>
    <row r="143" customFormat="false" ht="15.75" hidden="false" customHeight="true" outlineLevel="0" collapsed="false">
      <c r="A143" s="33" t="s">
        <v>343</v>
      </c>
      <c r="B143" s="34" t="s">
        <v>595</v>
      </c>
      <c r="C143" s="34" t="s">
        <v>514</v>
      </c>
      <c r="D143" s="34" t="n">
        <v>4</v>
      </c>
      <c r="E143" s="34" t="n">
        <v>48</v>
      </c>
      <c r="F143" s="34" t="s">
        <v>596</v>
      </c>
      <c r="G143" s="35" t="s">
        <v>263</v>
      </c>
      <c r="H143" s="34" t="n">
        <v>21</v>
      </c>
      <c r="I143" s="34" t="n">
        <v>5</v>
      </c>
      <c r="J143" s="36" t="s">
        <v>264</v>
      </c>
      <c r="K143" s="13" t="s">
        <v>597</v>
      </c>
      <c r="L143" s="13" t="s">
        <v>598</v>
      </c>
      <c r="M143" s="14" t="n">
        <v>1287</v>
      </c>
      <c r="N143" s="15" t="n">
        <v>45154</v>
      </c>
      <c r="O143" s="10" t="s">
        <v>294</v>
      </c>
      <c r="P143" s="9"/>
      <c r="Q143" s="9" t="n">
        <v>36.28</v>
      </c>
      <c r="R143" s="9" t="n">
        <v>10</v>
      </c>
      <c r="S143" s="9" t="n">
        <v>-15</v>
      </c>
      <c r="T143" s="9" t="n">
        <v>150</v>
      </c>
      <c r="U143" s="9"/>
      <c r="V143" s="9" t="n">
        <f aca="false">(32.1/100)</f>
        <v>0.321</v>
      </c>
      <c r="W143" s="22" t="s">
        <v>599</v>
      </c>
      <c r="X143" s="9" t="n">
        <v>0</v>
      </c>
      <c r="Y143" s="9" t="n">
        <v>0</v>
      </c>
      <c r="Z143" s="9" t="n">
        <v>0</v>
      </c>
      <c r="AA143" s="9" t="n">
        <v>0</v>
      </c>
      <c r="AB143" s="11" t="n">
        <f aca="false">(X143+Y143+Z143+AA143)/4</f>
        <v>0</v>
      </c>
      <c r="AC143" s="9" t="n">
        <v>1</v>
      </c>
      <c r="AD143" s="9" t="n">
        <v>1</v>
      </c>
      <c r="AE143" s="9" t="n">
        <v>1</v>
      </c>
      <c r="AF143" s="9" t="n">
        <v>1</v>
      </c>
      <c r="AG143" s="11" t="n">
        <f aca="false">(AC143+AD143+AE143+AF143)/4</f>
        <v>1</v>
      </c>
      <c r="AH143" s="9" t="n">
        <v>1</v>
      </c>
      <c r="AI143" s="9" t="n">
        <v>1</v>
      </c>
      <c r="AJ143" s="9" t="n">
        <v>1</v>
      </c>
      <c r="AK143" s="9" t="n">
        <v>1</v>
      </c>
      <c r="AL143" s="11" t="n">
        <f aca="false">(AH143+AI143+AJ143+AK143)/4</f>
        <v>1</v>
      </c>
      <c r="AM143" s="9" t="n">
        <v>31</v>
      </c>
      <c r="AN143" s="9" t="n">
        <v>46</v>
      </c>
      <c r="AO143" s="9" t="n">
        <v>71</v>
      </c>
      <c r="AP143" s="9" t="n">
        <v>19</v>
      </c>
      <c r="AQ143" s="11" t="n">
        <f aca="false">(AM143+AN143+AO143+AP143)/4</f>
        <v>41.75</v>
      </c>
      <c r="AR143" s="9" t="n">
        <v>12</v>
      </c>
      <c r="AS143" s="9" t="n">
        <v>32</v>
      </c>
      <c r="AT143" s="9" t="n">
        <v>21</v>
      </c>
      <c r="AU143" s="9" t="n">
        <v>10</v>
      </c>
      <c r="AV143" s="11" t="n">
        <f aca="false">(AR143+AS143+AT143+AU143)/4</f>
        <v>18.75</v>
      </c>
      <c r="AW143" s="9" t="n">
        <v>1</v>
      </c>
      <c r="AX143" s="9" t="n">
        <v>1</v>
      </c>
      <c r="AY143" s="9" t="n">
        <v>1</v>
      </c>
      <c r="AZ143" s="9" t="n">
        <v>1</v>
      </c>
      <c r="BA143" s="11" t="n">
        <f aca="false">(AW143+AX143+AY143+AZ143)/4</f>
        <v>1</v>
      </c>
      <c r="BB143" s="11" t="n">
        <f aca="false">(AW143/AR143)</f>
        <v>0.0833333333333333</v>
      </c>
      <c r="BC143" s="11" t="n">
        <f aca="false">(AX143/AS143)</f>
        <v>0.03125</v>
      </c>
      <c r="BD143" s="11" t="n">
        <f aca="false">(AY143/AT143)</f>
        <v>0.0476190476190476</v>
      </c>
      <c r="BE143" s="11" t="n">
        <f aca="false">(AZ143/AU143)</f>
        <v>0.1</v>
      </c>
      <c r="BF143" s="11" t="n">
        <f aca="false">(BA143/AV143)</f>
        <v>0.0533333333333333</v>
      </c>
      <c r="BG143" s="11" t="n">
        <f aca="false">(BF143*100)</f>
        <v>5.33333333333333</v>
      </c>
      <c r="BH143" s="9" t="n">
        <v>1</v>
      </c>
      <c r="BI143" s="9" t="n">
        <v>2</v>
      </c>
      <c r="BJ143" s="9" t="n">
        <v>4</v>
      </c>
      <c r="BK143" s="9" t="n">
        <v>5</v>
      </c>
      <c r="BL143" s="9" t="n">
        <v>6</v>
      </c>
      <c r="BM143" s="11" t="n">
        <f aca="false">(BI143+BJ143+BK143+BL143)/4</f>
        <v>4.25</v>
      </c>
      <c r="BN143" s="11" t="n">
        <f aca="false">(BI143/AR143)</f>
        <v>0.166666666666667</v>
      </c>
      <c r="BO143" s="11" t="n">
        <f aca="false">(BJ143/AS143)</f>
        <v>0.125</v>
      </c>
      <c r="BP143" s="11" t="n">
        <f aca="false">(BK143/AT143)</f>
        <v>0.238095238095238</v>
      </c>
      <c r="BQ143" s="11" t="n">
        <f aca="false">(BL143/AU143)</f>
        <v>0.6</v>
      </c>
      <c r="BR143" s="11" t="n">
        <f aca="false">(BM143/AV143)</f>
        <v>0.226666666666667</v>
      </c>
      <c r="BS143" s="11" t="n">
        <f aca="false">(100*BR143)</f>
        <v>22.6666666666667</v>
      </c>
      <c r="BT143" s="9" t="n">
        <v>2</v>
      </c>
      <c r="BU143" s="9" t="n">
        <v>1</v>
      </c>
      <c r="BV143" s="9" t="n">
        <v>1</v>
      </c>
      <c r="BW143" s="9" t="n">
        <v>1</v>
      </c>
      <c r="BX143" s="9" t="n">
        <v>1</v>
      </c>
      <c r="BY143" s="11" t="n">
        <f aca="false">(BU143+BV143+BW143+BX143)/4</f>
        <v>1</v>
      </c>
      <c r="BZ143" s="11" t="n">
        <f aca="false">(BU143/AR143)</f>
        <v>0.0833333333333333</v>
      </c>
      <c r="CA143" s="11" t="n">
        <f aca="false">(BV143/AS143)</f>
        <v>0.03125</v>
      </c>
      <c r="CB143" s="11" t="n">
        <f aca="false">(BW143/AT143)</f>
        <v>0.0476190476190476</v>
      </c>
      <c r="CC143" s="11" t="n">
        <f aca="false">(BX143/AU143)</f>
        <v>0.1</v>
      </c>
      <c r="CD143" s="11" t="n">
        <f aca="false">(BY143/AV143)</f>
        <v>0.0533333333333333</v>
      </c>
      <c r="CE143" s="11" t="n">
        <f aca="false">(100*CD143)</f>
        <v>5.33333333333333</v>
      </c>
      <c r="CF143" s="9" t="n">
        <v>1</v>
      </c>
      <c r="CG143" s="9" t="n">
        <v>1</v>
      </c>
      <c r="CH143" s="9" t="n">
        <v>1</v>
      </c>
      <c r="CI143" s="9" t="n">
        <v>1</v>
      </c>
      <c r="CJ143" s="9" t="n">
        <v>1</v>
      </c>
      <c r="CK143" s="11" t="n">
        <f aca="false">(CG143+CH143+CI143+CJ143)/4</f>
        <v>1</v>
      </c>
      <c r="CL143" s="11" t="n">
        <f aca="false">(CG143/AM143)</f>
        <v>0.032258064516129</v>
      </c>
      <c r="CM143" s="11" t="n">
        <f aca="false">(CH143/AN143)</f>
        <v>0.0217391304347826</v>
      </c>
      <c r="CN143" s="11" t="n">
        <f aca="false">(CI143/AO143)</f>
        <v>0.0140845070422535</v>
      </c>
      <c r="CO143" s="9" t="n">
        <f aca="false">(CJ143/AP143)</f>
        <v>0.0526315789473684</v>
      </c>
      <c r="CP143" s="9" t="n">
        <f aca="false">(CK143/AQ143)</f>
        <v>0.0239520958083832</v>
      </c>
      <c r="CQ143" s="9" t="n">
        <f aca="false">(100*CP143)</f>
        <v>2.39520958083832</v>
      </c>
      <c r="CR143" s="18" t="n">
        <v>1</v>
      </c>
      <c r="CS143" s="9" t="n">
        <v>64.2</v>
      </c>
      <c r="CT143" s="9" t="n">
        <v>66.7</v>
      </c>
      <c r="CU143" s="9" t="n">
        <v>56</v>
      </c>
      <c r="CV143" s="9" t="n">
        <v>60</v>
      </c>
      <c r="CW143" s="11" t="n">
        <f aca="false">(CS143+CT143+CU143+CV143)/4</f>
        <v>61.725</v>
      </c>
      <c r="CX143" s="9" t="n">
        <v>0</v>
      </c>
      <c r="CY143" s="9" t="n">
        <v>0</v>
      </c>
      <c r="CZ143" s="9" t="n">
        <v>0</v>
      </c>
      <c r="DA143" s="9" t="n">
        <v>0</v>
      </c>
      <c r="DB143" s="11" t="n">
        <f aca="false">(CX143+CY143+CZ143+DA143)/4</f>
        <v>0</v>
      </c>
      <c r="DC143" s="9" t="n">
        <v>1</v>
      </c>
      <c r="DD143" s="9" t="n">
        <v>1</v>
      </c>
      <c r="DE143" s="9" t="n">
        <v>1</v>
      </c>
      <c r="DF143" s="9" t="n">
        <v>1</v>
      </c>
      <c r="DG143" s="11" t="n">
        <f aca="false">(DC143+DD143+DE143+DF143)/4</f>
        <v>1</v>
      </c>
      <c r="DH143" s="9" t="n">
        <v>1</v>
      </c>
      <c r="DI143" s="9" t="n">
        <v>1</v>
      </c>
      <c r="DJ143" s="9" t="n">
        <v>1</v>
      </c>
      <c r="DK143" s="9" t="n">
        <v>1</v>
      </c>
      <c r="DL143" s="11" t="n">
        <f aca="false">(DH143+DI143+DJ143+DK143)/4</f>
        <v>1</v>
      </c>
      <c r="DM143" s="9" t="n">
        <v>62</v>
      </c>
      <c r="DN143" s="9" t="n">
        <v>68</v>
      </c>
      <c r="DO143" s="9" t="n">
        <v>41</v>
      </c>
      <c r="DP143" s="9" t="n">
        <v>59</v>
      </c>
      <c r="DQ143" s="11" t="n">
        <f aca="false">(DM143+DN143+DO143+DP143)/4</f>
        <v>57.5</v>
      </c>
      <c r="DR143" s="9" t="n">
        <v>12</v>
      </c>
      <c r="DS143" s="9" t="n">
        <v>13</v>
      </c>
      <c r="DT143" s="9" t="n">
        <v>14</v>
      </c>
      <c r="DU143" s="9" t="n">
        <v>40</v>
      </c>
      <c r="DV143" s="11" t="n">
        <f aca="false">(DR143+DS143+DT143+DU143)/4</f>
        <v>19.75</v>
      </c>
      <c r="DW143" s="11" t="n">
        <v>0</v>
      </c>
      <c r="DX143" s="11" t="n">
        <v>0</v>
      </c>
      <c r="DY143" s="11" t="n">
        <v>0</v>
      </c>
      <c r="DZ143" s="11" t="n">
        <v>0</v>
      </c>
      <c r="EA143" s="11" t="n">
        <f aca="false">(DW143+DX143+DY143+DZ143)/4</f>
        <v>0</v>
      </c>
      <c r="EB143" s="11" t="n">
        <f aca="false">(DW143/DR143)</f>
        <v>0</v>
      </c>
      <c r="EC143" s="11" t="n">
        <f aca="false">(DX143/DS143)</f>
        <v>0</v>
      </c>
      <c r="ED143" s="11" t="n">
        <f aca="false">(DY143/DT143)</f>
        <v>0</v>
      </c>
      <c r="EE143" s="11" t="n">
        <f aca="false">(DZ143/DU143)</f>
        <v>0</v>
      </c>
      <c r="EF143" s="11" t="n">
        <f aca="false">(EA143/DV143)</f>
        <v>0</v>
      </c>
      <c r="EG143" s="11" t="n">
        <f aca="false">(100*EF143)</f>
        <v>0</v>
      </c>
      <c r="EH143" s="9" t="n">
        <v>0</v>
      </c>
      <c r="EI143" s="9" t="n">
        <v>4</v>
      </c>
      <c r="EJ143" s="9" t="n">
        <v>5</v>
      </c>
      <c r="EK143" s="19" t="n">
        <v>14</v>
      </c>
      <c r="EL143" s="9" t="n">
        <v>3</v>
      </c>
      <c r="EM143" s="9" t="n">
        <f aca="false">(EI143+EJ143+EK143+EL143)/4</f>
        <v>6.5</v>
      </c>
      <c r="EN143" s="9" t="n">
        <f aca="false">(EI143/DR143)</f>
        <v>0.333333333333333</v>
      </c>
      <c r="EO143" s="9" t="n">
        <f aca="false">(EJ143/DS143)</f>
        <v>0.384615384615385</v>
      </c>
      <c r="EP143" s="9" t="n">
        <f aca="false">(EK143/DT143)</f>
        <v>1</v>
      </c>
      <c r="EQ143" s="9" t="n">
        <f aca="false">(EL143/DU143)</f>
        <v>0.075</v>
      </c>
      <c r="ER143" s="9" t="n">
        <f aca="false">EM143/DV143</f>
        <v>0.329113924050633</v>
      </c>
      <c r="ES143" s="9" t="n">
        <f aca="false">(100*ER143)</f>
        <v>32.9113924050633</v>
      </c>
      <c r="ET143" s="9" t="n">
        <v>3</v>
      </c>
      <c r="EU143" s="18" t="n">
        <v>6</v>
      </c>
      <c r="EV143" s="9" t="n">
        <v>1</v>
      </c>
      <c r="EW143" s="9" t="n">
        <v>1</v>
      </c>
      <c r="EX143" s="9" t="n">
        <v>1</v>
      </c>
      <c r="EY143" s="11" t="n">
        <f aca="false">(EU143+EV143+EW143+EX143)/4</f>
        <v>2.25</v>
      </c>
      <c r="EZ143" s="11" t="n">
        <f aca="false">(EU143/DR143)</f>
        <v>0.5</v>
      </c>
      <c r="FA143" s="11" t="n">
        <f aca="false">(EV143/DS143)</f>
        <v>0.0769230769230769</v>
      </c>
      <c r="FB143" s="11" t="n">
        <f aca="false">(EW143/DT143)</f>
        <v>0.0714285714285714</v>
      </c>
      <c r="FC143" s="11" t="n">
        <f aca="false">(EX143/DU143)</f>
        <v>0.025</v>
      </c>
      <c r="FD143" s="11" t="n">
        <f aca="false">(EY143/DV143)</f>
        <v>0.113924050632911</v>
      </c>
      <c r="FE143" s="11" t="n">
        <f aca="false">(100*FD143)</f>
        <v>11.3924050632911</v>
      </c>
      <c r="FF143" s="9" t="n">
        <v>2</v>
      </c>
      <c r="FG143" s="9" t="n">
        <v>0</v>
      </c>
      <c r="FH143" s="9" t="n">
        <v>0</v>
      </c>
      <c r="FI143" s="9" t="n">
        <v>2</v>
      </c>
      <c r="FJ143" s="9" t="n">
        <v>5</v>
      </c>
      <c r="FK143" s="11" t="n">
        <f aca="false">(FG143+FH143+FI143+FJ143)/4</f>
        <v>1.75</v>
      </c>
      <c r="FL143" s="11" t="n">
        <f aca="false">(FG143/DR143)</f>
        <v>0</v>
      </c>
      <c r="FM143" s="11" t="n">
        <f aca="false">(FH143/DS143)</f>
        <v>0</v>
      </c>
      <c r="FN143" s="11" t="n">
        <f aca="false">(FI143/DT143)</f>
        <v>0.142857142857143</v>
      </c>
      <c r="FO143" s="11" t="n">
        <f aca="false">(FJ143/DU143)</f>
        <v>0.125</v>
      </c>
      <c r="FP143" s="11" t="n">
        <f aca="false">(FK143/DV143)</f>
        <v>0.0886075949367089</v>
      </c>
      <c r="FQ143" s="11" t="n">
        <f aca="false">(100*FP143)</f>
        <v>8.86075949367089</v>
      </c>
      <c r="FR143" s="9" t="n">
        <v>1</v>
      </c>
      <c r="FS143" s="9" t="n">
        <v>68.1</v>
      </c>
      <c r="FT143" s="9" t="n">
        <v>75.8</v>
      </c>
      <c r="FU143" s="9" t="n">
        <v>64.1</v>
      </c>
      <c r="FV143" s="9" t="n">
        <v>72.1</v>
      </c>
      <c r="FW143" s="11" t="n">
        <f aca="false">(FS143+FT143+FU143+FV143)/4</f>
        <v>70.025</v>
      </c>
      <c r="FX143" s="9" t="n">
        <v>0</v>
      </c>
      <c r="FY143" s="9" t="n">
        <v>0</v>
      </c>
      <c r="FZ143" s="9" t="n">
        <v>0</v>
      </c>
      <c r="GA143" s="9" t="n">
        <v>0</v>
      </c>
      <c r="GB143" s="11" t="n">
        <f aca="false">(FX143+FY143+FZ143+GA143)/4</f>
        <v>0</v>
      </c>
      <c r="GC143" s="9" t="n">
        <v>1</v>
      </c>
      <c r="GD143" s="9" t="n">
        <v>1</v>
      </c>
      <c r="GE143" s="9" t="n">
        <v>1</v>
      </c>
      <c r="GF143" s="9" t="n">
        <v>1</v>
      </c>
      <c r="GG143" s="11" t="n">
        <f aca="false">(GC143+GD143+GE143+GF143)/4</f>
        <v>1</v>
      </c>
      <c r="GH143" s="9" t="n">
        <v>1</v>
      </c>
      <c r="GI143" s="9" t="n">
        <v>1</v>
      </c>
      <c r="GJ143" s="9" t="n">
        <v>1</v>
      </c>
      <c r="GK143" s="9" t="n">
        <v>1</v>
      </c>
      <c r="GL143" s="11" t="n">
        <f aca="false">(GH143+GI143+GJ143+GK143)/4</f>
        <v>1</v>
      </c>
      <c r="GM143" s="9" t="n">
        <v>76</v>
      </c>
      <c r="GN143" s="9" t="n">
        <v>15</v>
      </c>
      <c r="GO143" s="9" t="n">
        <v>25</v>
      </c>
      <c r="GP143" s="9" t="n">
        <v>8</v>
      </c>
      <c r="GQ143" s="11" t="n">
        <f aca="false">(GM143+GN143+GO143+GP143)/4</f>
        <v>31</v>
      </c>
      <c r="GR143" s="9" t="n">
        <v>19</v>
      </c>
      <c r="GS143" s="9" t="n">
        <v>12</v>
      </c>
      <c r="GT143" s="9" t="n">
        <v>31</v>
      </c>
      <c r="GU143" s="9" t="n">
        <v>9</v>
      </c>
      <c r="GV143" s="11" t="n">
        <f aca="false">(GR143+GS143+GT143+GU143)/4</f>
        <v>17.75</v>
      </c>
      <c r="GW143" s="9" t="n">
        <v>0</v>
      </c>
      <c r="GX143" s="9" t="n">
        <v>0</v>
      </c>
      <c r="GY143" s="9" t="n">
        <v>0</v>
      </c>
      <c r="GZ143" s="9" t="n">
        <v>0</v>
      </c>
      <c r="HA143" s="11" t="n">
        <f aca="false">(GW143+GX143+GY143+GZ143)/4</f>
        <v>0</v>
      </c>
      <c r="HB143" s="9" t="n">
        <f aca="false">(GW143/GR143)</f>
        <v>0</v>
      </c>
      <c r="HC143" s="9" t="n">
        <f aca="false">(GX143/GS143)</f>
        <v>0</v>
      </c>
      <c r="HD143" s="9" t="n">
        <f aca="false">(GY143/GT143)</f>
        <v>0</v>
      </c>
      <c r="HE143" s="9" t="n">
        <f aca="false">(GZ143/GU143)/4</f>
        <v>0</v>
      </c>
      <c r="HF143" s="9" t="n">
        <f aca="false">(HB143+HC143+HD143+HE143)/4</f>
        <v>0</v>
      </c>
      <c r="HG143" s="9" t="n">
        <f aca="false">(100*HF143)</f>
        <v>0</v>
      </c>
      <c r="HH143" s="18" t="n">
        <v>0</v>
      </c>
      <c r="HI143" s="9" t="n">
        <v>8</v>
      </c>
      <c r="HJ143" s="9" t="n">
        <v>2</v>
      </c>
      <c r="HK143" s="9" t="n">
        <v>7</v>
      </c>
      <c r="HL143" s="19" t="n">
        <v>4</v>
      </c>
      <c r="HM143" s="9" t="n">
        <f aca="false">(HI143+HJ143+HK143+HL143)/4</f>
        <v>5.25</v>
      </c>
      <c r="HN143" s="9" t="n">
        <f aca="false">(HI143/GR143)</f>
        <v>0.421052631578947</v>
      </c>
      <c r="HO143" s="9" t="n">
        <f aca="false">(HJ143/GS143)</f>
        <v>0.166666666666667</v>
      </c>
      <c r="HP143" s="9" t="n">
        <f aca="false">(HK143/GT143)</f>
        <v>0.225806451612903</v>
      </c>
      <c r="HQ143" s="9" t="n">
        <f aca="false">(HL143/GU143)</f>
        <v>0.444444444444444</v>
      </c>
      <c r="HR143" s="9" t="n">
        <f aca="false">(HM143/GV143)</f>
        <v>0.295774647887324</v>
      </c>
      <c r="HS143" s="9" t="n">
        <f aca="false">(100*HR143)</f>
        <v>29.5774647887324</v>
      </c>
      <c r="HT143" s="18" t="n">
        <v>2</v>
      </c>
      <c r="HU143" s="9" t="n">
        <v>1</v>
      </c>
      <c r="HV143" s="9" t="n">
        <v>0</v>
      </c>
      <c r="HW143" s="9" t="n">
        <v>0</v>
      </c>
      <c r="HX143" s="19" t="n">
        <v>1</v>
      </c>
      <c r="HY143" s="9" t="n">
        <f aca="false">(HU143+HV143+HW143+HX143)/4</f>
        <v>0.5</v>
      </c>
      <c r="HZ143" s="9" t="n">
        <f aca="false">(HU143/GR143)</f>
        <v>0.0526315789473684</v>
      </c>
      <c r="IA143" s="9" t="n">
        <f aca="false">HV143/GS143</f>
        <v>0</v>
      </c>
      <c r="IB143" s="9" t="n">
        <f aca="false">(HW143/GT143)</f>
        <v>0</v>
      </c>
      <c r="IC143" s="9" t="n">
        <f aca="false">(HX143/GU143)</f>
        <v>0.111111111111111</v>
      </c>
      <c r="ID143" s="9" t="n">
        <f aca="false">(HY143/GV143)</f>
        <v>0.028169014084507</v>
      </c>
      <c r="IE143" s="9" t="n">
        <f aca="false">(100*ID143)</f>
        <v>2.8169014084507</v>
      </c>
      <c r="IF143" s="18" t="n">
        <v>1</v>
      </c>
      <c r="IG143" s="9" t="n">
        <v>7</v>
      </c>
      <c r="IH143" s="9" t="n">
        <v>2</v>
      </c>
      <c r="II143" s="19" t="n">
        <v>6</v>
      </c>
      <c r="IJ143" s="9" t="n">
        <v>2</v>
      </c>
      <c r="IK143" s="9" t="n">
        <f aca="false">(IG143+IH143+II143+IJ143)/4</f>
        <v>4.25</v>
      </c>
      <c r="IL143" s="9" t="n">
        <f aca="false">(IG143/GM143)</f>
        <v>0.0921052631578947</v>
      </c>
      <c r="IM143" s="9" t="n">
        <f aca="false">(IH143/GN143)</f>
        <v>0.133333333333333</v>
      </c>
      <c r="IN143" s="9" t="n">
        <f aca="false">(II143/GO143)</f>
        <v>0.24</v>
      </c>
      <c r="IO143" s="9" t="n">
        <f aca="false">(IJ143/GP143)</f>
        <v>0.25</v>
      </c>
      <c r="IP143" s="9" t="n">
        <f aca="false">(IK143/GQ143)</f>
        <v>0.137096774193548</v>
      </c>
      <c r="IQ143" s="9" t="n">
        <f aca="false">(100*IP143)</f>
        <v>13.7096774193548</v>
      </c>
      <c r="IR143" s="18" t="n">
        <v>2</v>
      </c>
      <c r="IS143" s="9" t="n">
        <v>58.2</v>
      </c>
      <c r="IT143" s="9" t="n">
        <v>49.2</v>
      </c>
      <c r="IU143" s="19" t="n">
        <v>56.6</v>
      </c>
      <c r="IV143" s="9" t="n">
        <v>69.2</v>
      </c>
      <c r="IW143" s="9" t="n">
        <f aca="false">(IS143+IT143+IU143+IV143)/4</f>
        <v>58.3</v>
      </c>
      <c r="IX143" s="16" t="n">
        <v>45242</v>
      </c>
      <c r="IY143" s="10" t="s">
        <v>268</v>
      </c>
    </row>
    <row r="144" customFormat="false" ht="15.75" hidden="false" customHeight="true" outlineLevel="0" collapsed="false">
      <c r="A144" s="9" t="s">
        <v>343</v>
      </c>
      <c r="B144" s="10" t="s">
        <v>595</v>
      </c>
      <c r="C144" s="10" t="s">
        <v>514</v>
      </c>
      <c r="D144" s="9" t="n">
        <v>4</v>
      </c>
      <c r="E144" s="9" t="n">
        <v>48</v>
      </c>
      <c r="F144" s="10" t="s">
        <v>600</v>
      </c>
      <c r="G144" s="11" t="s">
        <v>263</v>
      </c>
      <c r="H144" s="9" t="n">
        <v>21</v>
      </c>
      <c r="I144" s="9" t="n">
        <v>10</v>
      </c>
      <c r="J144" s="12" t="s">
        <v>270</v>
      </c>
      <c r="K144" s="20"/>
      <c r="L144" s="20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 t="n">
        <v>0</v>
      </c>
      <c r="Y144" s="9" t="n">
        <v>0</v>
      </c>
      <c r="Z144" s="9" t="n">
        <v>0</v>
      </c>
      <c r="AA144" s="9" t="n">
        <v>0</v>
      </c>
      <c r="AB144" s="11" t="n">
        <f aca="false">(X144+Y144+Z144+AA144)/4</f>
        <v>0</v>
      </c>
      <c r="AC144" s="9" t="n">
        <v>1</v>
      </c>
      <c r="AD144" s="9" t="n">
        <v>1</v>
      </c>
      <c r="AE144" s="9" t="n">
        <v>1</v>
      </c>
      <c r="AF144" s="9" t="n">
        <v>1</v>
      </c>
      <c r="AG144" s="11" t="n">
        <f aca="false">(AC144+AD144+AE144+AF144)/4</f>
        <v>1</v>
      </c>
      <c r="AH144" s="9" t="n">
        <v>1</v>
      </c>
      <c r="AI144" s="9" t="n">
        <v>1</v>
      </c>
      <c r="AJ144" s="9" t="n">
        <v>1</v>
      </c>
      <c r="AK144" s="9" t="n">
        <v>1</v>
      </c>
      <c r="AL144" s="11" t="n">
        <f aca="false">(AH144+AI144+AJ144+AK144)/4</f>
        <v>1</v>
      </c>
      <c r="AM144" s="9" t="n">
        <v>33</v>
      </c>
      <c r="AN144" s="9" t="n">
        <v>20</v>
      </c>
      <c r="AO144" s="9" t="n">
        <v>10</v>
      </c>
      <c r="AP144" s="9" t="n">
        <v>28</v>
      </c>
      <c r="AQ144" s="11" t="n">
        <f aca="false">(AM144+AN144+AO144+AP144)/4</f>
        <v>22.75</v>
      </c>
      <c r="AR144" s="9" t="n">
        <v>21</v>
      </c>
      <c r="AS144" s="9" t="n">
        <v>21</v>
      </c>
      <c r="AT144" s="9" t="n">
        <v>6</v>
      </c>
      <c r="AU144" s="9" t="n">
        <v>9</v>
      </c>
      <c r="AV144" s="11" t="n">
        <f aca="false">(AR144+AS144+AT144+AU144)/4</f>
        <v>14.25</v>
      </c>
      <c r="AW144" s="9" t="n">
        <v>0</v>
      </c>
      <c r="AX144" s="9" t="n">
        <v>0</v>
      </c>
      <c r="AY144" s="9" t="n">
        <v>0</v>
      </c>
      <c r="AZ144" s="9" t="n">
        <v>0</v>
      </c>
      <c r="BA144" s="11" t="n">
        <f aca="false">(AW144+AX144+AY144+AZ144)/4</f>
        <v>0</v>
      </c>
      <c r="BB144" s="11" t="n">
        <f aca="false">(AW144/AR144)</f>
        <v>0</v>
      </c>
      <c r="BC144" s="11" t="n">
        <f aca="false">(AX144/AS144)</f>
        <v>0</v>
      </c>
      <c r="BD144" s="11" t="n">
        <f aca="false">(AY144/AT144)</f>
        <v>0</v>
      </c>
      <c r="BE144" s="11" t="n">
        <f aca="false">(AZ144/AU144)</f>
        <v>0</v>
      </c>
      <c r="BF144" s="11" t="n">
        <f aca="false">(BA144/AV144)</f>
        <v>0</v>
      </c>
      <c r="BG144" s="11" t="n">
        <f aca="false">(BF144*100)</f>
        <v>0</v>
      </c>
      <c r="BH144" s="9" t="n">
        <v>0</v>
      </c>
      <c r="BI144" s="9" t="n">
        <v>11</v>
      </c>
      <c r="BJ144" s="9" t="n">
        <v>2</v>
      </c>
      <c r="BK144" s="9" t="n">
        <v>1</v>
      </c>
      <c r="BL144" s="9" t="n">
        <v>5</v>
      </c>
      <c r="BM144" s="11" t="n">
        <f aca="false">(BI144+BJ144+BK144+BL144)/4</f>
        <v>4.75</v>
      </c>
      <c r="BN144" s="11" t="n">
        <f aca="false">(BI144/AR144)</f>
        <v>0.523809523809524</v>
      </c>
      <c r="BO144" s="11" t="n">
        <f aca="false">(BJ144/AS144)</f>
        <v>0.0952380952380952</v>
      </c>
      <c r="BP144" s="11" t="n">
        <f aca="false">(BK144/AT144)</f>
        <v>0.166666666666667</v>
      </c>
      <c r="BQ144" s="11" t="n">
        <f aca="false">(BL144/AU144)</f>
        <v>0.555555555555556</v>
      </c>
      <c r="BR144" s="11" t="n">
        <f aca="false">(BM144/AV144)</f>
        <v>0.333333333333333</v>
      </c>
      <c r="BS144" s="11" t="n">
        <f aca="false">(100*BR144)</f>
        <v>33.3333333333333</v>
      </c>
      <c r="BT144" s="9" t="n">
        <v>3</v>
      </c>
      <c r="BU144" s="9" t="n">
        <v>0</v>
      </c>
      <c r="BV144" s="9" t="n">
        <v>1</v>
      </c>
      <c r="BW144" s="9" t="n">
        <v>2</v>
      </c>
      <c r="BX144" s="9" t="n">
        <v>1</v>
      </c>
      <c r="BY144" s="11" t="n">
        <f aca="false">(BU144+BV144+BW144+BX144)/4</f>
        <v>1</v>
      </c>
      <c r="BZ144" s="11" t="n">
        <f aca="false">(BU144/AR144)</f>
        <v>0</v>
      </c>
      <c r="CA144" s="11" t="n">
        <f aca="false">(BV144/AS144)</f>
        <v>0.0476190476190476</v>
      </c>
      <c r="CB144" s="11" t="n">
        <f aca="false">(BW144/AT144)</f>
        <v>0.333333333333333</v>
      </c>
      <c r="CC144" s="11" t="n">
        <f aca="false">(BX144/AU144)</f>
        <v>0.111111111111111</v>
      </c>
      <c r="CD144" s="11" t="n">
        <f aca="false">(BY144/AV144)</f>
        <v>0.0701754385964912</v>
      </c>
      <c r="CE144" s="11" t="n">
        <f aca="false">(100*CD144)</f>
        <v>7.01754385964912</v>
      </c>
      <c r="CF144" s="9" t="n">
        <v>1</v>
      </c>
      <c r="CG144" s="9" t="n">
        <v>21</v>
      </c>
      <c r="CH144" s="9" t="n">
        <v>4</v>
      </c>
      <c r="CI144" s="9" t="n">
        <v>5</v>
      </c>
      <c r="CJ144" s="9" t="n">
        <v>3</v>
      </c>
      <c r="CK144" s="11" t="n">
        <f aca="false">(CG144+CH144+CI144+CJ144)/4</f>
        <v>8.25</v>
      </c>
      <c r="CL144" s="11" t="n">
        <f aca="false">(CG144/AM144)</f>
        <v>0.636363636363636</v>
      </c>
      <c r="CM144" s="11" t="n">
        <f aca="false">(CH144/AN144)</f>
        <v>0.2</v>
      </c>
      <c r="CN144" s="11" t="n">
        <f aca="false">(CI144/AO144)</f>
        <v>0.5</v>
      </c>
      <c r="CO144" s="9" t="n">
        <f aca="false">(CJ144/AP144)</f>
        <v>0.107142857142857</v>
      </c>
      <c r="CP144" s="9" t="n">
        <f aca="false">(CK144/AQ144)</f>
        <v>0.362637362637363</v>
      </c>
      <c r="CQ144" s="9" t="n">
        <f aca="false">(100*CP144)</f>
        <v>36.2637362637363</v>
      </c>
      <c r="CR144" s="18" t="n">
        <v>3</v>
      </c>
      <c r="CS144" s="9" t="n">
        <v>67.3</v>
      </c>
      <c r="CT144" s="9" t="n">
        <v>79.2</v>
      </c>
      <c r="CU144" s="9" t="n">
        <v>42.4</v>
      </c>
      <c r="CV144" s="9" t="n">
        <v>60.2</v>
      </c>
      <c r="CW144" s="11" t="n">
        <f aca="false">(CS144+CT144+CU144+CV144)/4</f>
        <v>62.275</v>
      </c>
      <c r="CX144" s="9" t="n">
        <v>0</v>
      </c>
      <c r="CY144" s="9" t="n">
        <v>0</v>
      </c>
      <c r="CZ144" s="9" t="n">
        <v>0</v>
      </c>
      <c r="DA144" s="9" t="n">
        <v>0</v>
      </c>
      <c r="DB144" s="11" t="n">
        <f aca="false">(CX144+CY144+CZ144+DA144)/4</f>
        <v>0</v>
      </c>
      <c r="DC144" s="9" t="n">
        <v>1</v>
      </c>
      <c r="DD144" s="9" t="n">
        <v>1</v>
      </c>
      <c r="DE144" s="9" t="n">
        <v>1</v>
      </c>
      <c r="DF144" s="9" t="n">
        <v>1</v>
      </c>
      <c r="DG144" s="11" t="n">
        <f aca="false">(DC144+DD144+DE144+DF144)/4</f>
        <v>1</v>
      </c>
      <c r="DH144" s="9" t="n">
        <v>1</v>
      </c>
      <c r="DI144" s="9" t="n">
        <v>1</v>
      </c>
      <c r="DJ144" s="9" t="n">
        <v>1</v>
      </c>
      <c r="DK144" s="9" t="n">
        <v>1</v>
      </c>
      <c r="DL144" s="11" t="n">
        <f aca="false">(DH144+DI144+DJ144+DK144)/4</f>
        <v>1</v>
      </c>
      <c r="DM144" s="9" t="n">
        <v>41</v>
      </c>
      <c r="DN144" s="9" t="n">
        <v>40</v>
      </c>
      <c r="DO144" s="9" t="n">
        <v>36</v>
      </c>
      <c r="DP144" s="9" t="n">
        <v>40</v>
      </c>
      <c r="DQ144" s="11" t="n">
        <f aca="false">(DM144+DN144+DO144+DP144)/4</f>
        <v>39.25</v>
      </c>
      <c r="DR144" s="9" t="n">
        <v>20</v>
      </c>
      <c r="DS144" s="9" t="n">
        <v>9</v>
      </c>
      <c r="DT144" s="9" t="n">
        <v>8</v>
      </c>
      <c r="DU144" s="9" t="n">
        <v>11</v>
      </c>
      <c r="DV144" s="11" t="n">
        <f aca="false">(DR144+DS144+DT144+DU144)/4</f>
        <v>12</v>
      </c>
      <c r="DW144" s="9" t="n">
        <v>0</v>
      </c>
      <c r="DX144" s="9" t="n">
        <v>0</v>
      </c>
      <c r="DY144" s="9" t="n">
        <v>0</v>
      </c>
      <c r="DZ144" s="9" t="n">
        <v>0</v>
      </c>
      <c r="EA144" s="11" t="n">
        <f aca="false">(DW144+DX144+DY144+DZ144)/4</f>
        <v>0</v>
      </c>
      <c r="EB144" s="11" t="n">
        <f aca="false">(DW144/DR144)</f>
        <v>0</v>
      </c>
      <c r="EC144" s="11" t="n">
        <f aca="false">(DX144/DS144)</f>
        <v>0</v>
      </c>
      <c r="ED144" s="11" t="n">
        <f aca="false">(DY144/DT144)</f>
        <v>0</v>
      </c>
      <c r="EE144" s="11" t="n">
        <f aca="false">(DZ144/DU144)</f>
        <v>0</v>
      </c>
      <c r="EF144" s="11" t="n">
        <f aca="false">(EA144/DV144)</f>
        <v>0</v>
      </c>
      <c r="EG144" s="11" t="n">
        <f aca="false">(100*EF144)</f>
        <v>0</v>
      </c>
      <c r="EH144" s="9" t="n">
        <v>0</v>
      </c>
      <c r="EI144" s="9" t="n">
        <v>2</v>
      </c>
      <c r="EJ144" s="9" t="n">
        <v>1</v>
      </c>
      <c r="EK144" s="19" t="n">
        <v>3</v>
      </c>
      <c r="EL144" s="9" t="n">
        <v>2</v>
      </c>
      <c r="EM144" s="9" t="n">
        <f aca="false">(EI144+EJ144+EK144+EL144)/4</f>
        <v>2</v>
      </c>
      <c r="EN144" s="9" t="n">
        <f aca="false">(EI144/DR144)</f>
        <v>0.1</v>
      </c>
      <c r="EO144" s="9" t="n">
        <f aca="false">(EJ144/DS144)</f>
        <v>0.111111111111111</v>
      </c>
      <c r="EP144" s="9" t="n">
        <f aca="false">(EK144/DT144)</f>
        <v>0.375</v>
      </c>
      <c r="EQ144" s="9" t="n">
        <f aca="false">(EL144/DU144)</f>
        <v>0.181818181818182</v>
      </c>
      <c r="ER144" s="9" t="n">
        <f aca="false">EM144/DV144</f>
        <v>0.166666666666667</v>
      </c>
      <c r="ES144" s="9" t="n">
        <f aca="false">(100*ER144)</f>
        <v>16.6666666666667</v>
      </c>
      <c r="ET144" s="9" t="n">
        <v>2</v>
      </c>
      <c r="EU144" s="18" t="n">
        <v>1</v>
      </c>
      <c r="EV144" s="9" t="n">
        <v>2</v>
      </c>
      <c r="EW144" s="9" t="n">
        <v>4</v>
      </c>
      <c r="EX144" s="9" t="n">
        <v>0</v>
      </c>
      <c r="EY144" s="11" t="n">
        <f aca="false">(EU144+EV144+EW144+EX144)/4</f>
        <v>1.75</v>
      </c>
      <c r="EZ144" s="11" t="n">
        <f aca="false">(EU144/DR144)</f>
        <v>0.05</v>
      </c>
      <c r="FA144" s="11" t="n">
        <f aca="false">(EV144/DS144)</f>
        <v>0.222222222222222</v>
      </c>
      <c r="FB144" s="11" t="n">
        <f aca="false">(EW144/DT144)</f>
        <v>0.5</v>
      </c>
      <c r="FC144" s="11" t="n">
        <f aca="false">(EX144/DU144)</f>
        <v>0</v>
      </c>
      <c r="FD144" s="11" t="n">
        <f aca="false">(EY144/DV144)</f>
        <v>0.145833333333333</v>
      </c>
      <c r="FE144" s="11" t="n">
        <f aca="false">(100*FD144)</f>
        <v>14.5833333333333</v>
      </c>
      <c r="FF144" s="9" t="n">
        <v>2</v>
      </c>
      <c r="FG144" s="9" t="n">
        <v>0</v>
      </c>
      <c r="FH144" s="9" t="n">
        <v>1</v>
      </c>
      <c r="FI144" s="9" t="n">
        <v>3</v>
      </c>
      <c r="FJ144" s="9" t="n">
        <v>8</v>
      </c>
      <c r="FK144" s="11" t="n">
        <f aca="false">(FG144+FH144+FI144+FJ144)/4</f>
        <v>3</v>
      </c>
      <c r="FL144" s="11" t="n">
        <f aca="false">(FG144/DR144)</f>
        <v>0</v>
      </c>
      <c r="FM144" s="11" t="n">
        <f aca="false">(FH144/DS144)</f>
        <v>0.111111111111111</v>
      </c>
      <c r="FN144" s="11" t="n">
        <f aca="false">(FI144/DT144)</f>
        <v>0.375</v>
      </c>
      <c r="FO144" s="11" t="n">
        <f aca="false">(FJ144/DU144)</f>
        <v>0.727272727272727</v>
      </c>
      <c r="FP144" s="11" t="n">
        <f aca="false">(FK144/DV144)</f>
        <v>0.25</v>
      </c>
      <c r="FQ144" s="11" t="n">
        <f aca="false">(100*FP144)</f>
        <v>25</v>
      </c>
      <c r="FR144" s="9" t="n">
        <v>2</v>
      </c>
      <c r="FS144" s="9" t="n">
        <v>64.2</v>
      </c>
      <c r="FT144" s="9" t="n">
        <v>65.5</v>
      </c>
      <c r="FU144" s="9" t="n">
        <v>66.8</v>
      </c>
      <c r="FV144" s="9" t="n">
        <v>66.8</v>
      </c>
      <c r="FW144" s="11" t="n">
        <f aca="false">(FS144+FT144+FU144+FV144)/4</f>
        <v>65.825</v>
      </c>
      <c r="FX144" s="9" t="n">
        <v>0</v>
      </c>
      <c r="FY144" s="9" t="n">
        <v>0</v>
      </c>
      <c r="FZ144" s="9" t="n">
        <v>1</v>
      </c>
      <c r="GA144" s="9" t="n">
        <v>0</v>
      </c>
      <c r="GB144" s="11" t="n">
        <f aca="false">(FX144+FY144+FZ144+GA144)/4</f>
        <v>0.25</v>
      </c>
      <c r="GC144" s="9" t="n">
        <v>4</v>
      </c>
      <c r="GD144" s="9" t="n">
        <v>4</v>
      </c>
      <c r="GE144" s="9" t="n">
        <v>0</v>
      </c>
      <c r="GF144" s="9" t="n">
        <v>5</v>
      </c>
      <c r="GG144" s="11" t="n">
        <f aca="false">(GC144+GD144+GE144+GF144)/4</f>
        <v>3.25</v>
      </c>
      <c r="GH144" s="9" t="n">
        <v>1</v>
      </c>
      <c r="GI144" s="9" t="n">
        <v>1</v>
      </c>
      <c r="GJ144" s="9" t="n">
        <v>1</v>
      </c>
      <c r="GK144" s="9" t="n">
        <v>1</v>
      </c>
      <c r="GL144" s="11" t="n">
        <f aca="false">(GH144+GI144+GJ144+GK144)/4</f>
        <v>1</v>
      </c>
      <c r="GM144" s="9" t="n">
        <v>34</v>
      </c>
      <c r="GN144" s="9" t="n">
        <v>39</v>
      </c>
      <c r="GO144" s="9" t="n">
        <v>34</v>
      </c>
      <c r="GP144" s="9" t="n">
        <v>155</v>
      </c>
      <c r="GQ144" s="11" t="n">
        <f aca="false">(GM144+GN144+GO144+GP144)/4</f>
        <v>65.5</v>
      </c>
      <c r="GR144" s="9" t="n">
        <v>12</v>
      </c>
      <c r="GS144" s="9" t="n">
        <v>4</v>
      </c>
      <c r="GT144" s="9" t="n">
        <v>7</v>
      </c>
      <c r="GU144" s="9" t="n">
        <v>15</v>
      </c>
      <c r="GV144" s="11" t="n">
        <f aca="false">(GR144+GS144+GT144+GU144)/4</f>
        <v>9.5</v>
      </c>
      <c r="GW144" s="9" t="n">
        <v>0</v>
      </c>
      <c r="GX144" s="9" t="n">
        <v>0</v>
      </c>
      <c r="GY144" s="9" t="n">
        <v>0</v>
      </c>
      <c r="GZ144" s="9" t="n">
        <v>0</v>
      </c>
      <c r="HA144" s="11" t="n">
        <f aca="false">(GW144+GX144+GY144+GZ144)/4</f>
        <v>0</v>
      </c>
      <c r="HB144" s="9" t="n">
        <f aca="false">(GW144/GR144)</f>
        <v>0</v>
      </c>
      <c r="HC144" s="9" t="n">
        <f aca="false">(GX144/GS144)</f>
        <v>0</v>
      </c>
      <c r="HD144" s="9" t="n">
        <f aca="false">(GY144/GT144)</f>
        <v>0</v>
      </c>
      <c r="HE144" s="9" t="n">
        <f aca="false">(GZ144/GU144)/4</f>
        <v>0</v>
      </c>
      <c r="HF144" s="9" t="n">
        <f aca="false">(HB144+HC144+HD144+HE144)/4</f>
        <v>0</v>
      </c>
      <c r="HG144" s="9" t="n">
        <f aca="false">(100*HF144)</f>
        <v>0</v>
      </c>
      <c r="HH144" s="18" t="n">
        <v>0</v>
      </c>
      <c r="HI144" s="9" t="n">
        <v>4</v>
      </c>
      <c r="HJ144" s="9" t="n">
        <v>4</v>
      </c>
      <c r="HK144" s="9" t="n">
        <v>0</v>
      </c>
      <c r="HL144" s="19" t="n">
        <v>5</v>
      </c>
      <c r="HM144" s="9" t="n">
        <f aca="false">(HI144+HJ144+HK144+HL144)/4</f>
        <v>3.25</v>
      </c>
      <c r="HN144" s="9" t="n">
        <f aca="false">(HI144/GR144)</f>
        <v>0.333333333333333</v>
      </c>
      <c r="HO144" s="9" t="n">
        <f aca="false">(HJ144/GS144)</f>
        <v>1</v>
      </c>
      <c r="HP144" s="9" t="n">
        <f aca="false">(HK144/GT144)</f>
        <v>0</v>
      </c>
      <c r="HQ144" s="9" t="n">
        <f aca="false">(HL144/GU144)</f>
        <v>0.333333333333333</v>
      </c>
      <c r="HR144" s="9" t="n">
        <f aca="false">(HM144/GV144)</f>
        <v>0.342105263157895</v>
      </c>
      <c r="HS144" s="9" t="n">
        <f aca="false">(100*HR144)</f>
        <v>34.2105263157895</v>
      </c>
      <c r="HT144" s="18" t="n">
        <v>3</v>
      </c>
      <c r="HU144" s="9" t="n">
        <v>0</v>
      </c>
      <c r="HV144" s="9" t="n">
        <v>1</v>
      </c>
      <c r="HW144" s="9" t="n">
        <v>0</v>
      </c>
      <c r="HX144" s="19" t="n">
        <v>0</v>
      </c>
      <c r="HY144" s="9" t="n">
        <f aca="false">(HU144+HV144+HW144+HX144)/4</f>
        <v>0.25</v>
      </c>
      <c r="HZ144" s="9" t="n">
        <f aca="false">(HU144/GR144)</f>
        <v>0</v>
      </c>
      <c r="IA144" s="9" t="n">
        <f aca="false">HV144/GS144</f>
        <v>0.25</v>
      </c>
      <c r="IB144" s="9" t="n">
        <f aca="false">(HW144/GT144)</f>
        <v>0</v>
      </c>
      <c r="IC144" s="9" t="n">
        <f aca="false">(HX144/GU144)</f>
        <v>0</v>
      </c>
      <c r="ID144" s="9" t="n">
        <f aca="false">(HY144/GV144)</f>
        <v>0.0263157894736842</v>
      </c>
      <c r="IE144" s="9" t="n">
        <f aca="false">(100*ID144)</f>
        <v>2.63157894736842</v>
      </c>
      <c r="IF144" s="18" t="n">
        <v>1</v>
      </c>
      <c r="IG144" s="9" t="n">
        <v>4</v>
      </c>
      <c r="IH144" s="9" t="n">
        <v>3</v>
      </c>
      <c r="II144" s="19" t="n">
        <v>3</v>
      </c>
      <c r="IJ144" s="9" t="n">
        <v>8</v>
      </c>
      <c r="IK144" s="9" t="n">
        <f aca="false">(IG144+IH144+II144+IJ144)/4</f>
        <v>4.5</v>
      </c>
      <c r="IL144" s="9" t="n">
        <f aca="false">(IG144/GM144)</f>
        <v>0.117647058823529</v>
      </c>
      <c r="IM144" s="9" t="n">
        <f aca="false">(IH144/GN144)</f>
        <v>0.0769230769230769</v>
      </c>
      <c r="IN144" s="9" t="n">
        <f aca="false">(II144/GO144)</f>
        <v>0.0882352941176471</v>
      </c>
      <c r="IO144" s="9" t="n">
        <f aca="false">(IJ144/GP144)</f>
        <v>0.0516129032258065</v>
      </c>
      <c r="IP144" s="9" t="n">
        <f aca="false">(IK144/GQ144)</f>
        <v>0.0687022900763359</v>
      </c>
      <c r="IQ144" s="9" t="n">
        <f aca="false">(100*IP144)</f>
        <v>6.87022900763359</v>
      </c>
      <c r="IR144" s="18" t="n">
        <v>1</v>
      </c>
      <c r="IS144" s="9" t="n">
        <v>47.1</v>
      </c>
      <c r="IT144" s="9" t="n">
        <v>58.9</v>
      </c>
      <c r="IU144" s="19" t="n">
        <v>62.9</v>
      </c>
      <c r="IV144" s="9" t="n">
        <v>72.9</v>
      </c>
      <c r="IW144" s="9" t="n">
        <f aca="false">(IS144+IT144+IU144+IV144)/4</f>
        <v>60.45</v>
      </c>
      <c r="IX144" s="16" t="n">
        <v>45242</v>
      </c>
      <c r="IY144" s="10" t="s">
        <v>268</v>
      </c>
    </row>
    <row r="145" customFormat="false" ht="15.75" hidden="false" customHeight="true" outlineLevel="0" collapsed="false">
      <c r="A145" s="9" t="s">
        <v>343</v>
      </c>
      <c r="B145" s="10" t="s">
        <v>595</v>
      </c>
      <c r="C145" s="10" t="s">
        <v>514</v>
      </c>
      <c r="D145" s="9" t="n">
        <v>4</v>
      </c>
      <c r="E145" s="9" t="n">
        <v>48</v>
      </c>
      <c r="F145" s="10" t="s">
        <v>601</v>
      </c>
      <c r="G145" s="11" t="s">
        <v>263</v>
      </c>
      <c r="H145" s="9" t="n">
        <v>21</v>
      </c>
      <c r="I145" s="9" t="n">
        <v>20</v>
      </c>
      <c r="J145" s="10" t="s">
        <v>272</v>
      </c>
      <c r="K145" s="20"/>
      <c r="L145" s="20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 t="n">
        <v>0</v>
      </c>
      <c r="Y145" s="9" t="n">
        <v>0</v>
      </c>
      <c r="Z145" s="9" t="n">
        <v>0</v>
      </c>
      <c r="AA145" s="9" t="n">
        <v>0</v>
      </c>
      <c r="AB145" s="11" t="n">
        <f aca="false">(X145+Y145+Z145+AA145)/4</f>
        <v>0</v>
      </c>
      <c r="AC145" s="9" t="n">
        <v>0</v>
      </c>
      <c r="AD145" s="9" t="n">
        <v>0</v>
      </c>
      <c r="AE145" s="9" t="n">
        <v>0</v>
      </c>
      <c r="AF145" s="9" t="n">
        <v>0</v>
      </c>
      <c r="AG145" s="11" t="n">
        <f aca="false">(AC145+AD145+AE145+AF145)/4</f>
        <v>0</v>
      </c>
      <c r="AH145" s="9" t="n">
        <v>1</v>
      </c>
      <c r="AI145" s="9" t="n">
        <v>1</v>
      </c>
      <c r="AJ145" s="9" t="n">
        <v>1</v>
      </c>
      <c r="AK145" s="9" t="n">
        <v>1</v>
      </c>
      <c r="AL145" s="11" t="n">
        <f aca="false">(AH145+AI145+AJ145+AK145)/4</f>
        <v>1</v>
      </c>
      <c r="AM145" s="9" t="n">
        <v>65</v>
      </c>
      <c r="AN145" s="9" t="n">
        <v>41</v>
      </c>
      <c r="AO145" s="9" t="n">
        <v>42</v>
      </c>
      <c r="AP145" s="9" t="n">
        <v>31</v>
      </c>
      <c r="AQ145" s="11" t="n">
        <f aca="false">(AM145+AN145+AO145+AP145)/4</f>
        <v>44.75</v>
      </c>
      <c r="AR145" s="9" t="n">
        <v>14</v>
      </c>
      <c r="AS145" s="9" t="n">
        <v>12</v>
      </c>
      <c r="AT145" s="9" t="n">
        <v>23</v>
      </c>
      <c r="AU145" s="9" t="n">
        <v>81</v>
      </c>
      <c r="AV145" s="11" t="n">
        <f aca="false">(AR145+AS145+AT145+AU145)/4</f>
        <v>32.5</v>
      </c>
      <c r="AW145" s="9" t="n">
        <v>0</v>
      </c>
      <c r="AX145" s="9" t="n">
        <v>0</v>
      </c>
      <c r="AY145" s="9" t="n">
        <v>0</v>
      </c>
      <c r="AZ145" s="9" t="n">
        <v>0</v>
      </c>
      <c r="BA145" s="11" t="n">
        <f aca="false">(AW145+AX145+AY145+AZ145)/4</f>
        <v>0</v>
      </c>
      <c r="BB145" s="11" t="n">
        <f aca="false">(AW145/AR145)</f>
        <v>0</v>
      </c>
      <c r="BC145" s="11" t="n">
        <f aca="false">(AX145/AS145)</f>
        <v>0</v>
      </c>
      <c r="BD145" s="11" t="n">
        <f aca="false">(AY145/AT145)</f>
        <v>0</v>
      </c>
      <c r="BE145" s="11" t="n">
        <f aca="false">(AZ145/AU145)</f>
        <v>0</v>
      </c>
      <c r="BF145" s="11" t="n">
        <f aca="false">(BA145/AV145)</f>
        <v>0</v>
      </c>
      <c r="BG145" s="11" t="n">
        <f aca="false">(BF145*100)</f>
        <v>0</v>
      </c>
      <c r="BH145" s="9" t="n">
        <v>0</v>
      </c>
      <c r="BI145" s="9" t="n">
        <v>2</v>
      </c>
      <c r="BJ145" s="9" t="n">
        <v>1</v>
      </c>
      <c r="BK145" s="9" t="n">
        <v>2</v>
      </c>
      <c r="BL145" s="9" t="n">
        <v>4</v>
      </c>
      <c r="BM145" s="11" t="n">
        <f aca="false">(BI145+BJ145+BK145+BL145)/4</f>
        <v>2.25</v>
      </c>
      <c r="BN145" s="11" t="n">
        <f aca="false">(BI145/AR145)</f>
        <v>0.142857142857143</v>
      </c>
      <c r="BO145" s="11" t="n">
        <f aca="false">(BJ145/AS145)</f>
        <v>0.0833333333333333</v>
      </c>
      <c r="BP145" s="11" t="n">
        <f aca="false">(BK145/AT145)</f>
        <v>0.0869565217391304</v>
      </c>
      <c r="BQ145" s="11" t="n">
        <f aca="false">(BL145/AU145)</f>
        <v>0.0493827160493827</v>
      </c>
      <c r="BR145" s="11" t="n">
        <f aca="false">(BM145/AV145)</f>
        <v>0.0692307692307692</v>
      </c>
      <c r="BS145" s="11" t="n">
        <f aca="false">(100*BR145)</f>
        <v>6.92307692307692</v>
      </c>
      <c r="BT145" s="9" t="n">
        <v>1</v>
      </c>
      <c r="BU145" s="9" t="n">
        <v>0</v>
      </c>
      <c r="BV145" s="9" t="n">
        <v>1</v>
      </c>
      <c r="BW145" s="9" t="n">
        <v>3</v>
      </c>
      <c r="BX145" s="9" t="n">
        <v>1</v>
      </c>
      <c r="BY145" s="11" t="n">
        <f aca="false">(BU145+BV145+BW145+BX145)/4</f>
        <v>1.25</v>
      </c>
      <c r="BZ145" s="11" t="n">
        <f aca="false">(BU145/AR145)</f>
        <v>0</v>
      </c>
      <c r="CA145" s="11" t="n">
        <f aca="false">(BV145/AS145)</f>
        <v>0.0833333333333333</v>
      </c>
      <c r="CB145" s="11" t="n">
        <f aca="false">(BW145/AT145)</f>
        <v>0.130434782608696</v>
      </c>
      <c r="CC145" s="11" t="n">
        <f aca="false">(BX145/AU145)</f>
        <v>0.0123456790123457</v>
      </c>
      <c r="CD145" s="11" t="n">
        <f aca="false">(BY145/AV145)</f>
        <v>0.0384615384615385</v>
      </c>
      <c r="CE145" s="11" t="n">
        <f aca="false">(100*CD145)</f>
        <v>3.84615384615385</v>
      </c>
      <c r="CF145" s="9" t="n">
        <v>1</v>
      </c>
      <c r="CG145" s="9" t="n">
        <v>1</v>
      </c>
      <c r="CH145" s="9" t="n">
        <v>2</v>
      </c>
      <c r="CI145" s="9" t="n">
        <v>2</v>
      </c>
      <c r="CJ145" s="9" t="n">
        <v>3</v>
      </c>
      <c r="CK145" s="11" t="n">
        <f aca="false">(CG145+CH145+CI145+CJ145)/4</f>
        <v>2</v>
      </c>
      <c r="CL145" s="11" t="n">
        <f aca="false">(CG145/AM145)</f>
        <v>0.0153846153846154</v>
      </c>
      <c r="CM145" s="11" t="n">
        <f aca="false">(CH145/AN145)</f>
        <v>0.0487804878048781</v>
      </c>
      <c r="CN145" s="11" t="n">
        <f aca="false">(CI145/AO145)</f>
        <v>0.0476190476190476</v>
      </c>
      <c r="CO145" s="9" t="n">
        <f aca="false">(CJ145/AP145)</f>
        <v>0.0967741935483871</v>
      </c>
      <c r="CP145" s="9" t="n">
        <f aca="false">(CK145/AQ145)</f>
        <v>0.0446927374301676</v>
      </c>
      <c r="CQ145" s="9" t="n">
        <f aca="false">(100*CP145)</f>
        <v>4.46927374301676</v>
      </c>
      <c r="CR145" s="18" t="n">
        <v>1</v>
      </c>
      <c r="CS145" s="9" t="n">
        <v>47.8</v>
      </c>
      <c r="CT145" s="9" t="n">
        <v>61.2</v>
      </c>
      <c r="CU145" s="9" t="n">
        <v>72.3</v>
      </c>
      <c r="CV145" s="9" t="n">
        <v>71.1</v>
      </c>
      <c r="CW145" s="11" t="n">
        <f aca="false">(CS145+CT145+CU145+CV145)/4</f>
        <v>63.1</v>
      </c>
      <c r="CX145" s="9" t="n">
        <v>0</v>
      </c>
      <c r="CY145" s="9" t="n">
        <v>0</v>
      </c>
      <c r="CZ145" s="9" t="n">
        <v>1</v>
      </c>
      <c r="DA145" s="9" t="n">
        <v>0</v>
      </c>
      <c r="DB145" s="11" t="n">
        <f aca="false">(CX145+CY145+CZ145+DA145)/4</f>
        <v>0.25</v>
      </c>
      <c r="DC145" s="9" t="n">
        <v>1</v>
      </c>
      <c r="DD145" s="9" t="n">
        <v>1</v>
      </c>
      <c r="DE145" s="9" t="n">
        <v>1</v>
      </c>
      <c r="DF145" s="9" t="n">
        <v>1</v>
      </c>
      <c r="DG145" s="11" t="n">
        <f aca="false">(DC145+DD145+DE145+DF145)/4</f>
        <v>1</v>
      </c>
      <c r="DH145" s="9" t="n">
        <v>1</v>
      </c>
      <c r="DI145" s="9" t="n">
        <v>1</v>
      </c>
      <c r="DJ145" s="9" t="n">
        <v>1</v>
      </c>
      <c r="DK145" s="9" t="n">
        <v>1</v>
      </c>
      <c r="DL145" s="11" t="n">
        <f aca="false">(DH145+DI145+DJ145+DK145)/4</f>
        <v>1</v>
      </c>
      <c r="DM145" s="9" t="n">
        <v>14</v>
      </c>
      <c r="DN145" s="9" t="n">
        <v>6</v>
      </c>
      <c r="DO145" s="9" t="n">
        <v>70</v>
      </c>
      <c r="DP145" s="9" t="n">
        <v>12</v>
      </c>
      <c r="DQ145" s="11" t="n">
        <f aca="false">(DM145+DN145+DO145+DP145)/4</f>
        <v>25.5</v>
      </c>
      <c r="DR145" s="9" t="n">
        <v>28</v>
      </c>
      <c r="DS145" s="9" t="n">
        <v>23</v>
      </c>
      <c r="DT145" s="9" t="n">
        <v>17</v>
      </c>
      <c r="DU145" s="9" t="n">
        <v>18</v>
      </c>
      <c r="DV145" s="11" t="n">
        <f aca="false">(DR145+DS145+DT145+DU145)/4</f>
        <v>21.5</v>
      </c>
      <c r="DW145" s="9" t="n">
        <v>0</v>
      </c>
      <c r="DX145" s="9" t="n">
        <v>0</v>
      </c>
      <c r="DY145" s="9" t="n">
        <v>2</v>
      </c>
      <c r="DZ145" s="9" t="n">
        <v>0</v>
      </c>
      <c r="EA145" s="11" t="n">
        <f aca="false">(DW145+DX145+DY145+DZ145)/4</f>
        <v>0.5</v>
      </c>
      <c r="EB145" s="11" t="n">
        <f aca="false">(DW145/DR145)</f>
        <v>0</v>
      </c>
      <c r="EC145" s="11" t="n">
        <f aca="false">(DX145/DS145)</f>
        <v>0</v>
      </c>
      <c r="ED145" s="11" t="n">
        <f aca="false">(DY145/DT145)</f>
        <v>0.117647058823529</v>
      </c>
      <c r="EE145" s="11" t="n">
        <f aca="false">(DZ145/DU145)</f>
        <v>0</v>
      </c>
      <c r="EF145" s="11" t="n">
        <f aca="false">(EA145/DV145)</f>
        <v>0.0232558139534884</v>
      </c>
      <c r="EG145" s="11" t="n">
        <f aca="false">(100*EF145)</f>
        <v>2.32558139534884</v>
      </c>
      <c r="EH145" s="9" t="n">
        <v>1</v>
      </c>
      <c r="EI145" s="9" t="n">
        <v>2</v>
      </c>
      <c r="EJ145" s="9" t="n">
        <v>1</v>
      </c>
      <c r="EK145" s="19" t="n">
        <v>2</v>
      </c>
      <c r="EL145" s="9" t="n">
        <v>4</v>
      </c>
      <c r="EM145" s="9" t="n">
        <f aca="false">(EI145+EJ145+EK145+EL145)/4</f>
        <v>2.25</v>
      </c>
      <c r="EN145" s="9" t="n">
        <f aca="false">(EI145/DR145)</f>
        <v>0.0714285714285714</v>
      </c>
      <c r="EO145" s="9" t="n">
        <f aca="false">(EJ145/DS145)</f>
        <v>0.0434782608695652</v>
      </c>
      <c r="EP145" s="9" t="n">
        <f aca="false">(EK145/DT145)</f>
        <v>0.117647058823529</v>
      </c>
      <c r="EQ145" s="9" t="n">
        <f aca="false">(EL145/DU145)</f>
        <v>0.222222222222222</v>
      </c>
      <c r="ER145" s="9" t="n">
        <f aca="false">EM145/DV145</f>
        <v>0.104651162790698</v>
      </c>
      <c r="ES145" s="9" t="n">
        <f aca="false">(100*ER145)</f>
        <v>10.4651162790698</v>
      </c>
      <c r="ET145" s="9" t="n">
        <v>2</v>
      </c>
      <c r="EU145" s="18" t="n">
        <v>1</v>
      </c>
      <c r="EV145" s="9" t="n">
        <v>1</v>
      </c>
      <c r="EW145" s="9" t="n">
        <v>1</v>
      </c>
      <c r="EX145" s="9" t="n">
        <v>0</v>
      </c>
      <c r="EY145" s="11" t="n">
        <f aca="false">(EU145+EV145+EW145+EX145)/4</f>
        <v>0.75</v>
      </c>
      <c r="EZ145" s="11" t="n">
        <f aca="false">(EU145/DR145)</f>
        <v>0.0357142857142857</v>
      </c>
      <c r="FA145" s="11" t="n">
        <f aca="false">(EV145/DS145)</f>
        <v>0.0434782608695652</v>
      </c>
      <c r="FB145" s="11" t="n">
        <f aca="false">(EW145/DT145)</f>
        <v>0.0588235294117647</v>
      </c>
      <c r="FC145" s="11" t="n">
        <f aca="false">(EX145/DU145)</f>
        <v>0</v>
      </c>
      <c r="FD145" s="11" t="n">
        <f aca="false">(EY145/DV145)</f>
        <v>0.0348837209302326</v>
      </c>
      <c r="FE145" s="11" t="n">
        <f aca="false">(100*FD145)</f>
        <v>3.48837209302326</v>
      </c>
      <c r="FF145" s="9" t="n">
        <v>1</v>
      </c>
      <c r="FG145" s="9" t="n">
        <v>2</v>
      </c>
      <c r="FH145" s="9" t="n">
        <v>3</v>
      </c>
      <c r="FI145" s="9" t="n">
        <v>2</v>
      </c>
      <c r="FJ145" s="9" t="n">
        <v>3</v>
      </c>
      <c r="FK145" s="11" t="n">
        <f aca="false">(FG145+FH145+FI145+FJ145)/4</f>
        <v>2.5</v>
      </c>
      <c r="FL145" s="11" t="n">
        <f aca="false">(FG145/DR145)</f>
        <v>0.0714285714285714</v>
      </c>
      <c r="FM145" s="11" t="n">
        <f aca="false">(FH145/DS145)</f>
        <v>0.130434782608696</v>
      </c>
      <c r="FN145" s="11" t="n">
        <f aca="false">(FI145/DT145)</f>
        <v>0.117647058823529</v>
      </c>
      <c r="FO145" s="11" t="n">
        <f aca="false">(FJ145/DU145)</f>
        <v>0.166666666666667</v>
      </c>
      <c r="FP145" s="11" t="n">
        <f aca="false">(FK145/DV145)</f>
        <v>0.116279069767442</v>
      </c>
      <c r="FQ145" s="11" t="n">
        <f aca="false">(100*FP145)</f>
        <v>11.6279069767442</v>
      </c>
      <c r="FR145" s="9" t="n">
        <v>2</v>
      </c>
      <c r="FS145" s="9" t="n">
        <v>65</v>
      </c>
      <c r="FT145" s="9" t="n">
        <v>52.5</v>
      </c>
      <c r="FU145" s="9" t="n">
        <v>65.4</v>
      </c>
      <c r="FV145" s="9" t="n">
        <v>72.9</v>
      </c>
      <c r="FW145" s="11" t="n">
        <f aca="false">(FS145+FT145+FU145+FV145)/4</f>
        <v>63.95</v>
      </c>
      <c r="FX145" s="9" t="n">
        <v>0</v>
      </c>
      <c r="FY145" s="9" t="n">
        <v>0</v>
      </c>
      <c r="FZ145" s="9" t="n">
        <v>0</v>
      </c>
      <c r="GA145" s="9" t="n">
        <v>0</v>
      </c>
      <c r="GB145" s="11" t="n">
        <f aca="false">(FX145+FY145+FZ145+GA145)/4</f>
        <v>0</v>
      </c>
      <c r="GC145" s="9" t="n">
        <v>1</v>
      </c>
      <c r="GD145" s="9" t="n">
        <v>1</v>
      </c>
      <c r="GE145" s="9" t="n">
        <v>1</v>
      </c>
      <c r="GF145" s="9" t="n">
        <v>1</v>
      </c>
      <c r="GG145" s="11" t="n">
        <f aca="false">(GC145+GD145+GE145+GF145)/4</f>
        <v>1</v>
      </c>
      <c r="GH145" s="9" t="n">
        <v>1</v>
      </c>
      <c r="GI145" s="9" t="n">
        <v>1</v>
      </c>
      <c r="GJ145" s="9" t="n">
        <v>1</v>
      </c>
      <c r="GK145" s="9" t="n">
        <v>0</v>
      </c>
      <c r="GL145" s="11" t="n">
        <f aca="false">(GH145+GI145+GJ145+GK145)/4</f>
        <v>0.75</v>
      </c>
      <c r="GM145" s="9" t="n">
        <v>72</v>
      </c>
      <c r="GN145" s="9" t="n">
        <v>15</v>
      </c>
      <c r="GO145" s="9" t="n">
        <v>11</v>
      </c>
      <c r="GP145" s="9" t="n">
        <v>12</v>
      </c>
      <c r="GQ145" s="11" t="n">
        <f aca="false">(GM145+GN145+GO145+GP145)/4</f>
        <v>27.5</v>
      </c>
      <c r="GR145" s="9" t="n">
        <v>12</v>
      </c>
      <c r="GS145" s="9" t="n">
        <v>16</v>
      </c>
      <c r="GT145" s="9" t="n">
        <v>17</v>
      </c>
      <c r="GU145" s="9" t="n">
        <v>30</v>
      </c>
      <c r="GV145" s="11" t="n">
        <f aca="false">(GR145+GS145+GT145+GU145)/4</f>
        <v>18.75</v>
      </c>
      <c r="GW145" s="9" t="n">
        <v>0</v>
      </c>
      <c r="GX145" s="9" t="n">
        <v>0</v>
      </c>
      <c r="GY145" s="9" t="n">
        <v>0</v>
      </c>
      <c r="GZ145" s="9" t="n">
        <v>0</v>
      </c>
      <c r="HA145" s="11" t="n">
        <f aca="false">(GW145+GX145+GY145+GZ145)/4</f>
        <v>0</v>
      </c>
      <c r="HB145" s="9" t="n">
        <f aca="false">(GW145/GR145)</f>
        <v>0</v>
      </c>
      <c r="HC145" s="9" t="n">
        <f aca="false">(GX145/GS145)</f>
        <v>0</v>
      </c>
      <c r="HD145" s="9" t="n">
        <f aca="false">(GY145/GT145)</f>
        <v>0</v>
      </c>
      <c r="HE145" s="9" t="n">
        <f aca="false">(GZ145/GU145)/4</f>
        <v>0</v>
      </c>
      <c r="HF145" s="9" t="n">
        <f aca="false">(HB145+HC145+HD145+HE145)/4</f>
        <v>0</v>
      </c>
      <c r="HG145" s="9" t="n">
        <f aca="false">(100*HF145)</f>
        <v>0</v>
      </c>
      <c r="HH145" s="18" t="n">
        <v>0</v>
      </c>
      <c r="HI145" s="9" t="n">
        <v>8</v>
      </c>
      <c r="HJ145" s="9" t="n">
        <v>4</v>
      </c>
      <c r="HK145" s="9" t="n">
        <v>2</v>
      </c>
      <c r="HL145" s="19" t="n">
        <v>4</v>
      </c>
      <c r="HM145" s="9" t="n">
        <f aca="false">(HI145+HJ145+HK145+HL145)/4</f>
        <v>4.5</v>
      </c>
      <c r="HN145" s="9" t="n">
        <f aca="false">(HI145/GR145)</f>
        <v>0.666666666666667</v>
      </c>
      <c r="HO145" s="9" t="n">
        <f aca="false">(HJ145/GS145)</f>
        <v>0.25</v>
      </c>
      <c r="HP145" s="9" t="n">
        <f aca="false">(HK145/GT145)</f>
        <v>0.117647058823529</v>
      </c>
      <c r="HQ145" s="9" t="n">
        <f aca="false">(HL145/GU145)</f>
        <v>0.133333333333333</v>
      </c>
      <c r="HR145" s="9" t="n">
        <f aca="false">(HM145/GV145)</f>
        <v>0.24</v>
      </c>
      <c r="HS145" s="9" t="n">
        <f aca="false">(100*HR145)</f>
        <v>24</v>
      </c>
      <c r="HT145" s="18" t="n">
        <v>2</v>
      </c>
      <c r="HU145" s="9" t="n">
        <v>1</v>
      </c>
      <c r="HV145" s="9" t="n">
        <v>0</v>
      </c>
      <c r="HW145" s="9" t="n">
        <v>1</v>
      </c>
      <c r="HX145" s="19" t="n">
        <v>0</v>
      </c>
      <c r="HY145" s="9" t="n">
        <f aca="false">(HU145+HV145+HW145+HX145)/4</f>
        <v>0.5</v>
      </c>
      <c r="HZ145" s="9" t="n">
        <f aca="false">(HU145/GR145)</f>
        <v>0.0833333333333333</v>
      </c>
      <c r="IA145" s="9" t="n">
        <f aca="false">HV145/GS145</f>
        <v>0</v>
      </c>
      <c r="IB145" s="9" t="n">
        <f aca="false">(HW145/GT145)</f>
        <v>0.0588235294117647</v>
      </c>
      <c r="IC145" s="9" t="n">
        <f aca="false">(HX145/GU145)</f>
        <v>0</v>
      </c>
      <c r="ID145" s="9" t="n">
        <f aca="false">(HY145/GV145)</f>
        <v>0.0266666666666667</v>
      </c>
      <c r="IE145" s="9" t="n">
        <f aca="false">(100*ID145)</f>
        <v>2.66666666666667</v>
      </c>
      <c r="IF145" s="18" t="n">
        <v>1</v>
      </c>
      <c r="IG145" s="9" t="n">
        <v>0</v>
      </c>
      <c r="IH145" s="9" t="n">
        <v>1</v>
      </c>
      <c r="II145" s="19" t="n">
        <v>1</v>
      </c>
      <c r="IJ145" s="9" t="n">
        <v>0</v>
      </c>
      <c r="IK145" s="9" t="n">
        <f aca="false">(IG145+IH145+II145+IJ145)/4</f>
        <v>0.5</v>
      </c>
      <c r="IL145" s="9" t="n">
        <f aca="false">(IG145/GM145)</f>
        <v>0</v>
      </c>
      <c r="IM145" s="9" t="n">
        <f aca="false">(IH145/GN145)</f>
        <v>0.0666666666666667</v>
      </c>
      <c r="IN145" s="9" t="n">
        <f aca="false">(II145/GO145)</f>
        <v>0.0909090909090909</v>
      </c>
      <c r="IO145" s="9" t="n">
        <f aca="false">(IJ145/GP145)</f>
        <v>0</v>
      </c>
      <c r="IP145" s="9" t="n">
        <f aca="false">(IK145/GQ145)</f>
        <v>0.0181818181818182</v>
      </c>
      <c r="IQ145" s="9" t="n">
        <f aca="false">(100*IP145)</f>
        <v>1.81818181818182</v>
      </c>
      <c r="IR145" s="18" t="n">
        <v>1</v>
      </c>
      <c r="IS145" s="9" t="n">
        <v>72.6</v>
      </c>
      <c r="IT145" s="9" t="n">
        <v>67.8</v>
      </c>
      <c r="IU145" s="19" t="n">
        <v>59.5</v>
      </c>
      <c r="IV145" s="9" t="n">
        <v>77</v>
      </c>
      <c r="IW145" s="9" t="n">
        <f aca="false">(IS145+IT145+IU145+IV145)/4</f>
        <v>69.225</v>
      </c>
      <c r="IX145" s="16" t="n">
        <v>45242</v>
      </c>
      <c r="IY145" s="10" t="s">
        <v>268</v>
      </c>
    </row>
    <row r="146" customFormat="false" ht="15.75" hidden="false" customHeight="true" outlineLevel="0" collapsed="false">
      <c r="A146" s="9" t="s">
        <v>370</v>
      </c>
      <c r="B146" s="10" t="s">
        <v>602</v>
      </c>
      <c r="C146" s="10" t="s">
        <v>514</v>
      </c>
      <c r="D146" s="9" t="n">
        <v>1</v>
      </c>
      <c r="E146" s="9" t="n">
        <v>49</v>
      </c>
      <c r="F146" s="10" t="s">
        <v>603</v>
      </c>
      <c r="G146" s="11" t="s">
        <v>263</v>
      </c>
      <c r="H146" s="9" t="n">
        <v>21</v>
      </c>
      <c r="I146" s="9" t="n">
        <v>3</v>
      </c>
      <c r="J146" s="12" t="s">
        <v>264</v>
      </c>
      <c r="K146" s="13" t="s">
        <v>604</v>
      </c>
      <c r="L146" s="13" t="s">
        <v>605</v>
      </c>
      <c r="M146" s="14" t="n">
        <v>1294</v>
      </c>
      <c r="N146" s="15" t="n">
        <v>45135</v>
      </c>
      <c r="O146" s="10" t="s">
        <v>267</v>
      </c>
      <c r="P146" s="9"/>
      <c r="Q146" s="9" t="n">
        <v>62.7</v>
      </c>
      <c r="R146" s="9" t="n">
        <v>10</v>
      </c>
      <c r="S146" s="9" t="n">
        <v>-20</v>
      </c>
      <c r="T146" s="9" t="n">
        <v>55</v>
      </c>
      <c r="U146" s="9"/>
      <c r="V146" s="9" t="n">
        <f aca="false">(17/100)</f>
        <v>0.17</v>
      </c>
      <c r="W146" s="22" t="s">
        <v>606</v>
      </c>
      <c r="X146" s="9" t="n">
        <v>0</v>
      </c>
      <c r="Y146" s="9" t="n">
        <v>0</v>
      </c>
      <c r="Z146" s="9" t="n">
        <v>0</v>
      </c>
      <c r="AA146" s="9" t="n">
        <v>0</v>
      </c>
      <c r="AB146" s="11" t="n">
        <f aca="false">(X146+Y146+Z146+AA146)/4</f>
        <v>0</v>
      </c>
      <c r="AC146" s="9" t="n">
        <v>1</v>
      </c>
      <c r="AD146" s="9" t="n">
        <v>1</v>
      </c>
      <c r="AE146" s="9" t="n">
        <v>1</v>
      </c>
      <c r="AF146" s="9" t="n">
        <v>1</v>
      </c>
      <c r="AG146" s="11" t="n">
        <f aca="false">(AC146+AD146+AE146+AF146)/4</f>
        <v>1</v>
      </c>
      <c r="AH146" s="9" t="n">
        <v>1</v>
      </c>
      <c r="AI146" s="9" t="n">
        <v>1</v>
      </c>
      <c r="AJ146" s="9" t="n">
        <v>1</v>
      </c>
      <c r="AK146" s="9" t="n">
        <v>1</v>
      </c>
      <c r="AL146" s="11" t="n">
        <f aca="false">(AH146+AI146+AJ146+AK146)/4</f>
        <v>1</v>
      </c>
      <c r="AM146" s="9" t="n">
        <v>22</v>
      </c>
      <c r="AN146" s="9" t="n">
        <v>35</v>
      </c>
      <c r="AO146" s="9" t="n">
        <v>58</v>
      </c>
      <c r="AP146" s="9" t="n">
        <v>18</v>
      </c>
      <c r="AQ146" s="11" t="n">
        <f aca="false">(AM146+AN146+AO146+AP146)/4</f>
        <v>33.25</v>
      </c>
      <c r="AR146" s="9" t="n">
        <v>12</v>
      </c>
      <c r="AS146" s="9" t="n">
        <v>12</v>
      </c>
      <c r="AT146" s="9" t="n">
        <v>48</v>
      </c>
      <c r="AU146" s="9" t="n">
        <v>14</v>
      </c>
      <c r="AV146" s="11" t="n">
        <f aca="false">(AR146+AS146+AT146+AU146)/4</f>
        <v>21.5</v>
      </c>
      <c r="AW146" s="9" t="n">
        <v>0</v>
      </c>
      <c r="AX146" s="9" t="n">
        <v>0</v>
      </c>
      <c r="AY146" s="9" t="n">
        <v>0</v>
      </c>
      <c r="AZ146" s="9" t="n">
        <v>0</v>
      </c>
      <c r="BA146" s="11" t="n">
        <f aca="false">(AW146+AX146+AY146+AZ146)/4</f>
        <v>0</v>
      </c>
      <c r="BB146" s="11" t="n">
        <f aca="false">(AW146/AR146)</f>
        <v>0</v>
      </c>
      <c r="BC146" s="11" t="n">
        <f aca="false">(AX146/AS146)</f>
        <v>0</v>
      </c>
      <c r="BD146" s="11" t="n">
        <f aca="false">(AY146/AT146)</f>
        <v>0</v>
      </c>
      <c r="BE146" s="11" t="n">
        <f aca="false">(AZ146/AU146)</f>
        <v>0</v>
      </c>
      <c r="BF146" s="11" t="n">
        <f aca="false">(BA146/AV146)</f>
        <v>0</v>
      </c>
      <c r="BG146" s="11" t="n">
        <f aca="false">(BF146*100)</f>
        <v>0</v>
      </c>
      <c r="BH146" s="9" t="n">
        <v>0</v>
      </c>
      <c r="BI146" s="9" t="n">
        <v>2</v>
      </c>
      <c r="BJ146" s="9" t="n">
        <v>5</v>
      </c>
      <c r="BK146" s="9" t="n">
        <v>4</v>
      </c>
      <c r="BL146" s="9" t="n">
        <v>6</v>
      </c>
      <c r="BM146" s="11" t="n">
        <f aca="false">(BI146+BJ146+BK146+BL146)/4</f>
        <v>4.25</v>
      </c>
      <c r="BN146" s="11" t="n">
        <f aca="false">(BI146/AR146)</f>
        <v>0.166666666666667</v>
      </c>
      <c r="BO146" s="11" t="n">
        <f aca="false">(BJ146/AS146)</f>
        <v>0.416666666666667</v>
      </c>
      <c r="BP146" s="11" t="n">
        <f aca="false">(BK146/AT146)</f>
        <v>0.0833333333333333</v>
      </c>
      <c r="BQ146" s="11" t="n">
        <f aca="false">(BL146/AU146)</f>
        <v>0.428571428571429</v>
      </c>
      <c r="BR146" s="11" t="n">
        <f aca="false">(BM146/AV146)</f>
        <v>0.197674418604651</v>
      </c>
      <c r="BS146" s="11" t="n">
        <f aca="false">(100*BR146)</f>
        <v>19.7674418604651</v>
      </c>
      <c r="BT146" s="9" t="n">
        <v>2</v>
      </c>
      <c r="BU146" s="9" t="n">
        <v>0</v>
      </c>
      <c r="BV146" s="9" t="n">
        <v>0</v>
      </c>
      <c r="BW146" s="9" t="n">
        <v>0</v>
      </c>
      <c r="BX146" s="9" t="n">
        <v>0</v>
      </c>
      <c r="BY146" s="11" t="n">
        <f aca="false">(BU146+BV146+BW146+BX146)/4</f>
        <v>0</v>
      </c>
      <c r="BZ146" s="11" t="n">
        <f aca="false">(BU146/AR146)</f>
        <v>0</v>
      </c>
      <c r="CA146" s="11" t="n">
        <f aca="false">(BV146/AS146)</f>
        <v>0</v>
      </c>
      <c r="CB146" s="11" t="n">
        <f aca="false">(BW146/AT146)</f>
        <v>0</v>
      </c>
      <c r="CC146" s="11" t="n">
        <f aca="false">(BX146/AU146)</f>
        <v>0</v>
      </c>
      <c r="CD146" s="11" t="n">
        <f aca="false">(BY146/AV146)</f>
        <v>0</v>
      </c>
      <c r="CE146" s="11" t="n">
        <f aca="false">(100*CD146)</f>
        <v>0</v>
      </c>
      <c r="CF146" s="9" t="n">
        <v>0</v>
      </c>
      <c r="CG146" s="9" t="n">
        <v>2</v>
      </c>
      <c r="CH146" s="9" t="n">
        <v>3</v>
      </c>
      <c r="CI146" s="9" t="n">
        <v>2</v>
      </c>
      <c r="CJ146" s="9" t="n">
        <v>7</v>
      </c>
      <c r="CK146" s="11" t="n">
        <f aca="false">(CG146+CH146+CI146+CJ146)/4</f>
        <v>3.5</v>
      </c>
      <c r="CL146" s="11" t="n">
        <f aca="false">(CG146/AM146)</f>
        <v>0.0909090909090909</v>
      </c>
      <c r="CM146" s="11" t="n">
        <f aca="false">(CH146/AN146)</f>
        <v>0.0857142857142857</v>
      </c>
      <c r="CN146" s="11" t="n">
        <f aca="false">(CI146/AO146)</f>
        <v>0.0344827586206897</v>
      </c>
      <c r="CO146" s="9" t="n">
        <f aca="false">(CJ146/AP146)</f>
        <v>0.388888888888889</v>
      </c>
      <c r="CP146" s="9" t="n">
        <f aca="false">(CK146/AQ146)</f>
        <v>0.105263157894737</v>
      </c>
      <c r="CQ146" s="9" t="n">
        <f aca="false">(100*CP146)</f>
        <v>10.5263157894737</v>
      </c>
      <c r="CR146" s="18" t="n">
        <v>2</v>
      </c>
      <c r="CS146" s="9" t="n">
        <v>67.4</v>
      </c>
      <c r="CT146" s="9" t="n">
        <v>36.7</v>
      </c>
      <c r="CU146" s="9" t="n">
        <v>69.2</v>
      </c>
      <c r="CV146" s="9" t="n">
        <v>60.6</v>
      </c>
      <c r="CW146" s="11" t="n">
        <f aca="false">(CS146+CT146+CU146+CV146)/4</f>
        <v>58.475</v>
      </c>
      <c r="CX146" s="9" t="n">
        <v>0</v>
      </c>
      <c r="CY146" s="9" t="n">
        <v>0</v>
      </c>
      <c r="CZ146" s="9" t="n">
        <v>0</v>
      </c>
      <c r="DA146" s="9" t="n">
        <v>0</v>
      </c>
      <c r="DB146" s="11" t="n">
        <f aca="false">(CX146+CY146+CZ146+DA146)/4</f>
        <v>0</v>
      </c>
      <c r="DC146" s="9" t="n">
        <v>1</v>
      </c>
      <c r="DD146" s="9" t="n">
        <v>1</v>
      </c>
      <c r="DE146" s="9" t="n">
        <v>1</v>
      </c>
      <c r="DF146" s="9" t="n">
        <v>1</v>
      </c>
      <c r="DG146" s="11" t="n">
        <f aca="false">(DC146+DD146+DE146+DF146)/4</f>
        <v>1</v>
      </c>
      <c r="DH146" s="9" t="n">
        <v>0</v>
      </c>
      <c r="DI146" s="9" t="n">
        <v>1</v>
      </c>
      <c r="DJ146" s="9" t="n">
        <v>1</v>
      </c>
      <c r="DK146" s="9" t="n">
        <v>1</v>
      </c>
      <c r="DL146" s="11" t="n">
        <f aca="false">(DH146+DI146+DJ146+DK146)/4</f>
        <v>0.75</v>
      </c>
      <c r="DM146" s="9" t="n">
        <v>11</v>
      </c>
      <c r="DN146" s="9" t="n">
        <v>14</v>
      </c>
      <c r="DO146" s="9" t="n">
        <v>16</v>
      </c>
      <c r="DP146" s="9" t="n">
        <v>57</v>
      </c>
      <c r="DQ146" s="11" t="n">
        <f aca="false">(DM146+DN146+DO146+DP146)/4</f>
        <v>24.5</v>
      </c>
      <c r="DR146" s="9" t="n">
        <v>14</v>
      </c>
      <c r="DS146" s="9" t="n">
        <v>14</v>
      </c>
      <c r="DT146" s="9" t="n">
        <v>12</v>
      </c>
      <c r="DU146" s="9" t="n">
        <v>14</v>
      </c>
      <c r="DV146" s="11" t="n">
        <f aca="false">(DR146+DS146+DT146+DU146)/4</f>
        <v>13.5</v>
      </c>
      <c r="DW146" s="9" t="n">
        <v>0</v>
      </c>
      <c r="DX146" s="9" t="n">
        <v>0</v>
      </c>
      <c r="DY146" s="9" t="n">
        <v>0</v>
      </c>
      <c r="DZ146" s="9" t="n">
        <v>0</v>
      </c>
      <c r="EA146" s="11" t="n">
        <f aca="false">(DW146+DX146+DY146+DZ146)/4</f>
        <v>0</v>
      </c>
      <c r="EB146" s="11" t="n">
        <f aca="false">(DW146/DR146)</f>
        <v>0</v>
      </c>
      <c r="EC146" s="11" t="n">
        <f aca="false">(DX146/DS146)</f>
        <v>0</v>
      </c>
      <c r="ED146" s="11" t="n">
        <f aca="false">(DY146/DT146)</f>
        <v>0</v>
      </c>
      <c r="EE146" s="11" t="n">
        <f aca="false">(DZ146/DU146)</f>
        <v>0</v>
      </c>
      <c r="EF146" s="11" t="n">
        <f aca="false">(EA146/DV146)</f>
        <v>0</v>
      </c>
      <c r="EG146" s="11" t="n">
        <f aca="false">(100*EF146)</f>
        <v>0</v>
      </c>
      <c r="EH146" s="9" t="n">
        <v>0</v>
      </c>
      <c r="EI146" s="9" t="n">
        <v>3</v>
      </c>
      <c r="EJ146" s="9" t="n">
        <v>4</v>
      </c>
      <c r="EK146" s="19" t="n">
        <v>2</v>
      </c>
      <c r="EL146" s="9" t="n">
        <v>1</v>
      </c>
      <c r="EM146" s="9" t="n">
        <f aca="false">(EI146+EJ146+EK146+EL146)/4</f>
        <v>2.5</v>
      </c>
      <c r="EN146" s="9" t="n">
        <f aca="false">(EI146/DR146)</f>
        <v>0.214285714285714</v>
      </c>
      <c r="EO146" s="9" t="n">
        <f aca="false">(EJ146/DS146)</f>
        <v>0.285714285714286</v>
      </c>
      <c r="EP146" s="9" t="n">
        <f aca="false">(EK146/DT146)</f>
        <v>0.166666666666667</v>
      </c>
      <c r="EQ146" s="9" t="n">
        <f aca="false">(EL146/DU146)</f>
        <v>0.0714285714285714</v>
      </c>
      <c r="ER146" s="9" t="n">
        <f aca="false">EM146/DV146</f>
        <v>0.185185185185185</v>
      </c>
      <c r="ES146" s="9" t="n">
        <f aca="false">(100*ER146)</f>
        <v>18.5185185185185</v>
      </c>
      <c r="ET146" s="9" t="n">
        <v>2</v>
      </c>
      <c r="EU146" s="18" t="n">
        <v>0</v>
      </c>
      <c r="EV146" s="9" t="n">
        <v>0</v>
      </c>
      <c r="EW146" s="9" t="n">
        <v>0</v>
      </c>
      <c r="EX146" s="9" t="n">
        <v>0</v>
      </c>
      <c r="EY146" s="11" t="n">
        <f aca="false">(EU146+EV146+EW146+EX146)/4</f>
        <v>0</v>
      </c>
      <c r="EZ146" s="11" t="n">
        <f aca="false">(EU146/DR146)</f>
        <v>0</v>
      </c>
      <c r="FA146" s="11" t="n">
        <f aca="false">(EV146/DS146)</f>
        <v>0</v>
      </c>
      <c r="FB146" s="11" t="n">
        <f aca="false">(EW146/DT146)</f>
        <v>0</v>
      </c>
      <c r="FC146" s="11" t="n">
        <f aca="false">(EX146/DU146)</f>
        <v>0</v>
      </c>
      <c r="FD146" s="11" t="n">
        <f aca="false">(EY146/DV146)</f>
        <v>0</v>
      </c>
      <c r="FE146" s="11" t="n">
        <f aca="false">(100*FD146)</f>
        <v>0</v>
      </c>
      <c r="FF146" s="9" t="n">
        <v>0</v>
      </c>
      <c r="FG146" s="9" t="n">
        <v>0</v>
      </c>
      <c r="FH146" s="9" t="n">
        <v>2</v>
      </c>
      <c r="FI146" s="9" t="n">
        <v>7</v>
      </c>
      <c r="FJ146" s="9" t="n">
        <v>2</v>
      </c>
      <c r="FK146" s="11" t="n">
        <f aca="false">(FG146+FH146+FI146+FJ146)/4</f>
        <v>2.75</v>
      </c>
      <c r="FL146" s="11" t="n">
        <f aca="false">(FG146/DR146)</f>
        <v>0</v>
      </c>
      <c r="FM146" s="11" t="n">
        <f aca="false">(FH146/DS146)</f>
        <v>0.142857142857143</v>
      </c>
      <c r="FN146" s="11" t="n">
        <f aca="false">(FI146/DT146)</f>
        <v>0.583333333333333</v>
      </c>
      <c r="FO146" s="11" t="n">
        <f aca="false">(FJ146/DU146)</f>
        <v>0.142857142857143</v>
      </c>
      <c r="FP146" s="11" t="n">
        <f aca="false">(FK146/DV146)</f>
        <v>0.203703703703704</v>
      </c>
      <c r="FQ146" s="11" t="n">
        <f aca="false">(100*FP146)</f>
        <v>20.3703703703704</v>
      </c>
      <c r="FR146" s="9" t="n">
        <v>3</v>
      </c>
      <c r="FS146" s="9" t="n">
        <v>57.7</v>
      </c>
      <c r="FT146" s="9" t="n">
        <v>59.3</v>
      </c>
      <c r="FU146" s="9" t="n">
        <v>72</v>
      </c>
      <c r="FV146" s="9" t="n">
        <v>84.9</v>
      </c>
      <c r="FW146" s="11" t="n">
        <f aca="false">(FS146+FT146+FU146+FV146)/4</f>
        <v>68.475</v>
      </c>
      <c r="FX146" s="9" t="n">
        <v>0</v>
      </c>
      <c r="FY146" s="9" t="n">
        <v>0</v>
      </c>
      <c r="FZ146" s="9" t="n">
        <v>0</v>
      </c>
      <c r="GA146" s="9" t="n">
        <v>0</v>
      </c>
      <c r="GB146" s="11" t="n">
        <f aca="false">(FX146+FY146+FZ146+GA146)/4</f>
        <v>0</v>
      </c>
      <c r="GC146" s="9" t="n">
        <v>1</v>
      </c>
      <c r="GD146" s="9" t="n">
        <v>1</v>
      </c>
      <c r="GE146" s="9" t="n">
        <v>1</v>
      </c>
      <c r="GF146" s="9" t="n">
        <v>1</v>
      </c>
      <c r="GG146" s="11" t="n">
        <f aca="false">(GC146+GD146+GE146+GF146)/4</f>
        <v>1</v>
      </c>
      <c r="GH146" s="9" t="n">
        <v>0</v>
      </c>
      <c r="GI146" s="9" t="n">
        <v>1</v>
      </c>
      <c r="GJ146" s="9" t="n">
        <v>1</v>
      </c>
      <c r="GK146" s="9" t="n">
        <v>1</v>
      </c>
      <c r="GL146" s="11" t="n">
        <f aca="false">(GH146+GI146+GJ146+GK146)/4</f>
        <v>0.75</v>
      </c>
      <c r="GM146" s="9" t="n">
        <v>78</v>
      </c>
      <c r="GN146" s="9" t="n">
        <v>5</v>
      </c>
      <c r="GO146" s="9" t="n">
        <v>190</v>
      </c>
      <c r="GP146" s="9" t="n">
        <v>58</v>
      </c>
      <c r="GQ146" s="11" t="n">
        <f aca="false">(GM146+GN146+GO146+GP146)/4</f>
        <v>82.75</v>
      </c>
      <c r="GR146" s="9" t="n">
        <v>15</v>
      </c>
      <c r="GS146" s="9" t="n">
        <v>14</v>
      </c>
      <c r="GT146" s="9" t="n">
        <v>26</v>
      </c>
      <c r="GU146" s="9" t="n">
        <v>12</v>
      </c>
      <c r="GV146" s="11" t="n">
        <f aca="false">(GR146+GS146+GT146+GU146)/4</f>
        <v>16.75</v>
      </c>
      <c r="GW146" s="9" t="n">
        <v>0</v>
      </c>
      <c r="GX146" s="9" t="n">
        <v>0</v>
      </c>
      <c r="GY146" s="9" t="n">
        <v>0</v>
      </c>
      <c r="GZ146" s="9" t="n">
        <v>0</v>
      </c>
      <c r="HA146" s="11" t="n">
        <f aca="false">(GW146+GX146+GY146+GZ146)/4</f>
        <v>0</v>
      </c>
      <c r="HB146" s="9" t="n">
        <f aca="false">(GW146/GR146)</f>
        <v>0</v>
      </c>
      <c r="HC146" s="9" t="n">
        <f aca="false">(GX146/GS146)</f>
        <v>0</v>
      </c>
      <c r="HD146" s="9" t="n">
        <f aca="false">(GY146/GT146)</f>
        <v>0</v>
      </c>
      <c r="HE146" s="9" t="n">
        <f aca="false">(GZ146/GU146)/4</f>
        <v>0</v>
      </c>
      <c r="HF146" s="9" t="n">
        <f aca="false">(HB146+HC146+HD146+HE146)/4</f>
        <v>0</v>
      </c>
      <c r="HG146" s="9" t="n">
        <f aca="false">(100*HF146)</f>
        <v>0</v>
      </c>
      <c r="HH146" s="18" t="n">
        <v>0</v>
      </c>
      <c r="HI146" s="9" t="n">
        <v>2</v>
      </c>
      <c r="HJ146" s="9" t="n">
        <v>4</v>
      </c>
      <c r="HK146" s="9" t="n">
        <v>5</v>
      </c>
      <c r="HL146" s="19" t="n">
        <v>4</v>
      </c>
      <c r="HM146" s="9" t="n">
        <f aca="false">(HI146+HJ146+HK146+HL146)/4</f>
        <v>3.75</v>
      </c>
      <c r="HN146" s="9" t="n">
        <f aca="false">(HI146/GR146)</f>
        <v>0.133333333333333</v>
      </c>
      <c r="HO146" s="9" t="n">
        <f aca="false">(HJ146/GS146)</f>
        <v>0.285714285714286</v>
      </c>
      <c r="HP146" s="9" t="n">
        <f aca="false">(HK146/GT146)</f>
        <v>0.192307692307692</v>
      </c>
      <c r="HQ146" s="9" t="n">
        <f aca="false">(HL146/GU146)</f>
        <v>0.333333333333333</v>
      </c>
      <c r="HR146" s="9" t="n">
        <f aca="false">(HM146/GV146)</f>
        <v>0.223880597014925</v>
      </c>
      <c r="HS146" s="9" t="n">
        <f aca="false">(100*HR146)</f>
        <v>22.3880597014925</v>
      </c>
      <c r="HT146" s="18" t="n">
        <v>2</v>
      </c>
      <c r="HU146" s="9" t="n">
        <v>0</v>
      </c>
      <c r="HV146" s="9" t="n">
        <v>1</v>
      </c>
      <c r="HW146" s="9" t="n">
        <v>2</v>
      </c>
      <c r="HX146" s="19" t="n">
        <v>1</v>
      </c>
      <c r="HY146" s="9" t="n">
        <f aca="false">(HU146+HV146+HW146+HX146)/4</f>
        <v>1</v>
      </c>
      <c r="HZ146" s="9" t="n">
        <f aca="false">(HU146/GR146)</f>
        <v>0</v>
      </c>
      <c r="IA146" s="9" t="n">
        <f aca="false">HV146/GS146</f>
        <v>0.0714285714285714</v>
      </c>
      <c r="IB146" s="9" t="n">
        <f aca="false">(HW146/GT146)</f>
        <v>0.0769230769230769</v>
      </c>
      <c r="IC146" s="9" t="n">
        <f aca="false">(HX146/GU146)</f>
        <v>0.0833333333333333</v>
      </c>
      <c r="ID146" s="9" t="n">
        <f aca="false">(HY146/GV146)</f>
        <v>0.0597014925373134</v>
      </c>
      <c r="IE146" s="9" t="n">
        <f aca="false">(100*ID146)</f>
        <v>5.97014925373134</v>
      </c>
      <c r="IF146" s="18" t="n">
        <v>1</v>
      </c>
      <c r="IG146" s="9" t="n">
        <v>0</v>
      </c>
      <c r="IH146" s="9" t="n">
        <v>2</v>
      </c>
      <c r="II146" s="19" t="n">
        <v>88</v>
      </c>
      <c r="IJ146" s="9" t="n">
        <v>2</v>
      </c>
      <c r="IK146" s="9" t="n">
        <f aca="false">(IG146+IH146+II146+IJ146)/4</f>
        <v>23</v>
      </c>
      <c r="IL146" s="9" t="n">
        <f aca="false">(IG146/GM146)</f>
        <v>0</v>
      </c>
      <c r="IM146" s="9" t="n">
        <f aca="false">(IH146/GN146)</f>
        <v>0.4</v>
      </c>
      <c r="IN146" s="9" t="n">
        <f aca="false">(II146/GO146)</f>
        <v>0.463157894736842</v>
      </c>
      <c r="IO146" s="9" t="n">
        <f aca="false">(IJ146/GP146)</f>
        <v>0.0344827586206897</v>
      </c>
      <c r="IP146" s="9" t="n">
        <f aca="false">(IK146/GQ146)</f>
        <v>0.277945619335347</v>
      </c>
      <c r="IQ146" s="9" t="n">
        <f aca="false">(100*IP146)</f>
        <v>27.7945619335347</v>
      </c>
      <c r="IR146" s="18" t="n">
        <v>2</v>
      </c>
      <c r="IS146" s="9" t="n">
        <v>78.6</v>
      </c>
      <c r="IT146" s="9" t="n">
        <v>72.1</v>
      </c>
      <c r="IU146" s="19" t="n">
        <v>74.3</v>
      </c>
      <c r="IV146" s="9" t="n">
        <v>82.3</v>
      </c>
      <c r="IW146" s="9" t="n">
        <f aca="false">(IS146+IT146+IU146+IV146)/4</f>
        <v>76.825</v>
      </c>
      <c r="IX146" s="16" t="n">
        <v>45241</v>
      </c>
      <c r="IY146" s="10" t="s">
        <v>268</v>
      </c>
    </row>
    <row r="147" customFormat="false" ht="15.75" hidden="false" customHeight="true" outlineLevel="0" collapsed="false">
      <c r="A147" s="9" t="s">
        <v>370</v>
      </c>
      <c r="B147" s="10" t="s">
        <v>602</v>
      </c>
      <c r="C147" s="10" t="s">
        <v>514</v>
      </c>
      <c r="D147" s="9" t="n">
        <v>1</v>
      </c>
      <c r="E147" s="9" t="n">
        <v>49</v>
      </c>
      <c r="F147" s="10" t="s">
        <v>607</v>
      </c>
      <c r="G147" s="11" t="s">
        <v>263</v>
      </c>
      <c r="H147" s="9" t="n">
        <v>21</v>
      </c>
      <c r="I147" s="9" t="n">
        <v>10</v>
      </c>
      <c r="J147" s="12" t="s">
        <v>270</v>
      </c>
      <c r="K147" s="20"/>
      <c r="L147" s="20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 t="n">
        <v>0</v>
      </c>
      <c r="Y147" s="9" t="n">
        <v>0</v>
      </c>
      <c r="Z147" s="9" t="n">
        <v>0</v>
      </c>
      <c r="AA147" s="9" t="n">
        <v>0</v>
      </c>
      <c r="AB147" s="11" t="n">
        <f aca="false">(X147+Y147+Z147+AA147)/4</f>
        <v>0</v>
      </c>
      <c r="AC147" s="9" t="n">
        <v>0</v>
      </c>
      <c r="AD147" s="9" t="n">
        <v>1</v>
      </c>
      <c r="AE147" s="9" t="n">
        <v>0</v>
      </c>
      <c r="AF147" s="9" t="n">
        <v>1</v>
      </c>
      <c r="AG147" s="11" t="n">
        <f aca="false">(AC147+AD147+AE147+AF147)/4</f>
        <v>0.5</v>
      </c>
      <c r="AH147" s="9" t="n">
        <v>1</v>
      </c>
      <c r="AI147" s="9" t="n">
        <v>1</v>
      </c>
      <c r="AJ147" s="9" t="n">
        <v>1</v>
      </c>
      <c r="AK147" s="9" t="n">
        <v>0</v>
      </c>
      <c r="AL147" s="11" t="n">
        <f aca="false">(AH147+AI147+AJ147+AK147)/4</f>
        <v>0.75</v>
      </c>
      <c r="AM147" s="9" t="n">
        <v>20</v>
      </c>
      <c r="AN147" s="9" t="n">
        <v>21</v>
      </c>
      <c r="AO147" s="9" t="n">
        <v>49</v>
      </c>
      <c r="AP147" s="9" t="n">
        <v>19</v>
      </c>
      <c r="AQ147" s="11" t="n">
        <f aca="false">(AM147+AN147+AO147+AP147)/4</f>
        <v>27.25</v>
      </c>
      <c r="AR147" s="9" t="n">
        <v>0</v>
      </c>
      <c r="AS147" s="9" t="n">
        <v>12</v>
      </c>
      <c r="AT147" s="9" t="n">
        <v>12</v>
      </c>
      <c r="AU147" s="9" t="n">
        <v>16</v>
      </c>
      <c r="AV147" s="11" t="n">
        <f aca="false">(AR147+AS147+AT147+AU147)/4</f>
        <v>10</v>
      </c>
      <c r="AW147" s="9" t="n">
        <v>0</v>
      </c>
      <c r="AX147" s="9" t="n">
        <v>0</v>
      </c>
      <c r="AY147" s="9" t="n">
        <v>0</v>
      </c>
      <c r="AZ147" s="9" t="n">
        <v>0</v>
      </c>
      <c r="BA147" s="11" t="n">
        <f aca="false">(AW147+AX147+AY147+AZ147)/4</f>
        <v>0</v>
      </c>
      <c r="BB147" s="11" t="e">
        <f aca="false">(AW147/AR147)</f>
        <v>#DIV/0!</v>
      </c>
      <c r="BC147" s="11" t="n">
        <f aca="false">(AX147/AS147)</f>
        <v>0</v>
      </c>
      <c r="BD147" s="11" t="n">
        <f aca="false">(AY147/AT147)</f>
        <v>0</v>
      </c>
      <c r="BE147" s="11" t="n">
        <f aca="false">(AZ147/AU147)</f>
        <v>0</v>
      </c>
      <c r="BF147" s="11" t="n">
        <f aca="false">(BA147/AV147)</f>
        <v>0</v>
      </c>
      <c r="BG147" s="11" t="n">
        <f aca="false">(BF147*100)</f>
        <v>0</v>
      </c>
      <c r="BH147" s="9" t="n">
        <v>0</v>
      </c>
      <c r="BI147" s="9" t="n">
        <v>0</v>
      </c>
      <c r="BJ147" s="9" t="n">
        <v>1</v>
      </c>
      <c r="BK147" s="9" t="n">
        <v>0</v>
      </c>
      <c r="BL147" s="9" t="n">
        <v>5</v>
      </c>
      <c r="BM147" s="11" t="n">
        <f aca="false">(BI147+BJ147+BK147+BL147)/4</f>
        <v>1.5</v>
      </c>
      <c r="BN147" s="11" t="e">
        <f aca="false">(BI147/AR147)</f>
        <v>#DIV/0!</v>
      </c>
      <c r="BO147" s="11" t="n">
        <f aca="false">(BJ147/AS147)</f>
        <v>0.0833333333333333</v>
      </c>
      <c r="BP147" s="11" t="n">
        <f aca="false">(BK147/AT147)</f>
        <v>0</v>
      </c>
      <c r="BQ147" s="11" t="n">
        <f aca="false">(BL147/AU147)</f>
        <v>0.3125</v>
      </c>
      <c r="BR147" s="11" t="n">
        <f aca="false">(BM147/AV147)</f>
        <v>0.15</v>
      </c>
      <c r="BS147" s="11" t="n">
        <f aca="false">(100*BR147)</f>
        <v>15</v>
      </c>
      <c r="BT147" s="9" t="n">
        <v>2</v>
      </c>
      <c r="BU147" s="9" t="n">
        <v>0</v>
      </c>
      <c r="BV147" s="9" t="n">
        <v>0</v>
      </c>
      <c r="BW147" s="9" t="n">
        <v>1</v>
      </c>
      <c r="BX147" s="9" t="n">
        <v>0</v>
      </c>
      <c r="BY147" s="11" t="n">
        <f aca="false">(BU147+BV147+BW147+BX147)/4</f>
        <v>0.25</v>
      </c>
      <c r="BZ147" s="11" t="e">
        <f aca="false">(BU147/AR147)</f>
        <v>#DIV/0!</v>
      </c>
      <c r="CA147" s="11" t="n">
        <f aca="false">(BV147/AS147)</f>
        <v>0</v>
      </c>
      <c r="CB147" s="11" t="n">
        <f aca="false">(BW147/AT147)</f>
        <v>0.0833333333333333</v>
      </c>
      <c r="CC147" s="11" t="n">
        <f aca="false">(BX147/AU147)</f>
        <v>0</v>
      </c>
      <c r="CD147" s="11" t="n">
        <f aca="false">(BY147/AV147)</f>
        <v>0.025</v>
      </c>
      <c r="CE147" s="11" t="n">
        <f aca="false">(100*CD147)</f>
        <v>2.5</v>
      </c>
      <c r="CF147" s="9" t="n">
        <v>1</v>
      </c>
      <c r="CG147" s="9" t="n">
        <v>2</v>
      </c>
      <c r="CH147" s="9" t="n">
        <v>3</v>
      </c>
      <c r="CI147" s="9" t="n">
        <v>3</v>
      </c>
      <c r="CJ147" s="9" t="n">
        <v>0</v>
      </c>
      <c r="CK147" s="11" t="n">
        <f aca="false">(CG147+CH147+CI147+CJ147)/4</f>
        <v>2</v>
      </c>
      <c r="CL147" s="11" t="n">
        <f aca="false">(CG147/AM147)</f>
        <v>0.1</v>
      </c>
      <c r="CM147" s="11" t="n">
        <f aca="false">(CH147/AN147)</f>
        <v>0.142857142857143</v>
      </c>
      <c r="CN147" s="11" t="n">
        <f aca="false">(CI147/AO147)</f>
        <v>0.0612244897959184</v>
      </c>
      <c r="CO147" s="9" t="n">
        <f aca="false">(CJ147/AP147)</f>
        <v>0</v>
      </c>
      <c r="CP147" s="9" t="n">
        <f aca="false">(CK147/AQ147)</f>
        <v>0.073394495412844</v>
      </c>
      <c r="CQ147" s="9" t="n">
        <f aca="false">(100*CP147)</f>
        <v>7.3394495412844</v>
      </c>
      <c r="CR147" s="18" t="n">
        <v>1</v>
      </c>
      <c r="CS147" s="9" t="n">
        <v>64.5</v>
      </c>
      <c r="CT147" s="9" t="n">
        <v>32</v>
      </c>
      <c r="CU147" s="9" t="n">
        <v>76.3</v>
      </c>
      <c r="CV147" s="9" t="n">
        <v>55.6</v>
      </c>
      <c r="CW147" s="11" t="n">
        <f aca="false">(CS147+CT147+CU147+CV147)/4</f>
        <v>57.1</v>
      </c>
      <c r="CX147" s="9" t="n">
        <v>0</v>
      </c>
      <c r="CY147" s="9" t="n">
        <v>0</v>
      </c>
      <c r="CZ147" s="9" t="n">
        <v>0</v>
      </c>
      <c r="DA147" s="9" t="n">
        <v>0</v>
      </c>
      <c r="DB147" s="11" t="n">
        <f aca="false">(CX147+CY147+CZ147+DA147)/4</f>
        <v>0</v>
      </c>
      <c r="DC147" s="9" t="n">
        <v>1</v>
      </c>
      <c r="DD147" s="9" t="n">
        <v>1</v>
      </c>
      <c r="DE147" s="9" t="n">
        <v>1</v>
      </c>
      <c r="DF147" s="9" t="n">
        <v>1</v>
      </c>
      <c r="DG147" s="11" t="n">
        <f aca="false">(DC147+DD147+DE147+DF147)/4</f>
        <v>1</v>
      </c>
      <c r="DH147" s="9" t="n">
        <v>1</v>
      </c>
      <c r="DI147" s="9" t="n">
        <v>1</v>
      </c>
      <c r="DJ147" s="9" t="n">
        <v>1</v>
      </c>
      <c r="DK147" s="9" t="n">
        <v>1</v>
      </c>
      <c r="DL147" s="11" t="n">
        <f aca="false">(DH147+DI147+DJ147+DK147)/4</f>
        <v>1</v>
      </c>
      <c r="DM147" s="9" t="n">
        <v>3</v>
      </c>
      <c r="DN147" s="9" t="n">
        <v>2</v>
      </c>
      <c r="DO147" s="9" t="n">
        <v>29</v>
      </c>
      <c r="DP147" s="9" t="n">
        <v>19</v>
      </c>
      <c r="DQ147" s="11" t="n">
        <f aca="false">(DM147+DN147+DO147+DP147)/4</f>
        <v>13.25</v>
      </c>
      <c r="DR147" s="9" t="n">
        <v>3</v>
      </c>
      <c r="DS147" s="9" t="n">
        <v>9</v>
      </c>
      <c r="DT147" s="9" t="n">
        <v>4</v>
      </c>
      <c r="DU147" s="9" t="n">
        <v>8</v>
      </c>
      <c r="DV147" s="11" t="n">
        <f aca="false">(DR147+DS147+DT147+DU147)/4</f>
        <v>6</v>
      </c>
      <c r="DW147" s="9" t="n">
        <v>0</v>
      </c>
      <c r="DX147" s="9" t="n">
        <v>0</v>
      </c>
      <c r="DY147" s="9" t="n">
        <v>0</v>
      </c>
      <c r="DZ147" s="9" t="n">
        <v>0</v>
      </c>
      <c r="EA147" s="11" t="n">
        <f aca="false">(DW147+DX147+DY147+DZ147)/4</f>
        <v>0</v>
      </c>
      <c r="EB147" s="11" t="n">
        <f aca="false">(DW147/DR147)</f>
        <v>0</v>
      </c>
      <c r="EC147" s="11" t="n">
        <f aca="false">(DX147/DS147)</f>
        <v>0</v>
      </c>
      <c r="ED147" s="11" t="n">
        <f aca="false">(DY147/DT147)</f>
        <v>0</v>
      </c>
      <c r="EE147" s="11" t="n">
        <f aca="false">(DZ147/DU147)</f>
        <v>0</v>
      </c>
      <c r="EF147" s="11" t="n">
        <f aca="false">(EA147/DV147)</f>
        <v>0</v>
      </c>
      <c r="EG147" s="11" t="n">
        <f aca="false">(100*EF147)</f>
        <v>0</v>
      </c>
      <c r="EH147" s="9" t="n">
        <v>0</v>
      </c>
      <c r="EI147" s="9" t="n">
        <v>0</v>
      </c>
      <c r="EJ147" s="9" t="n">
        <v>2</v>
      </c>
      <c r="EK147" s="19" t="n">
        <v>3</v>
      </c>
      <c r="EL147" s="9" t="n">
        <v>4</v>
      </c>
      <c r="EM147" s="9" t="n">
        <f aca="false">(EI147+EJ147+EK147+EL147)/4</f>
        <v>2.25</v>
      </c>
      <c r="EN147" s="9" t="n">
        <f aca="false">(EI147/DR147)</f>
        <v>0</v>
      </c>
      <c r="EO147" s="9" t="n">
        <f aca="false">(EJ147/DS147)</f>
        <v>0.222222222222222</v>
      </c>
      <c r="EP147" s="9" t="n">
        <f aca="false">(EK147/DT147)</f>
        <v>0.75</v>
      </c>
      <c r="EQ147" s="9" t="n">
        <f aca="false">(EL147/DU147)</f>
        <v>0.5</v>
      </c>
      <c r="ER147" s="9" t="n">
        <f aca="false">EM147/DV147</f>
        <v>0.375</v>
      </c>
      <c r="ES147" s="9" t="n">
        <f aca="false">(100*ER147)</f>
        <v>37.5</v>
      </c>
      <c r="ET147" s="9" t="n">
        <v>3</v>
      </c>
      <c r="EU147" s="18" t="n">
        <v>0</v>
      </c>
      <c r="EV147" s="9" t="n">
        <v>2</v>
      </c>
      <c r="EW147" s="9" t="n">
        <v>4</v>
      </c>
      <c r="EX147" s="9" t="n">
        <v>1</v>
      </c>
      <c r="EY147" s="11" t="n">
        <f aca="false">(EU147+EV147+EW147+EX147)/4</f>
        <v>1.75</v>
      </c>
      <c r="EZ147" s="11" t="n">
        <f aca="false">(EU147/DR147)</f>
        <v>0</v>
      </c>
      <c r="FA147" s="11" t="n">
        <f aca="false">(EV147/DS147)</f>
        <v>0.222222222222222</v>
      </c>
      <c r="FB147" s="11" t="n">
        <f aca="false">(EW147/DT147)</f>
        <v>1</v>
      </c>
      <c r="FC147" s="11" t="n">
        <f aca="false">(EX147/DU147)</f>
        <v>0.125</v>
      </c>
      <c r="FD147" s="11" t="n">
        <f aca="false">(EY147/DV147)</f>
        <v>0.291666666666667</v>
      </c>
      <c r="FE147" s="11" t="n">
        <f aca="false">(100*FD147)</f>
        <v>29.1666666666667</v>
      </c>
      <c r="FF147" s="9" t="n">
        <v>3</v>
      </c>
      <c r="FG147" s="9" t="n">
        <v>0</v>
      </c>
      <c r="FH147" s="9" t="n">
        <v>0</v>
      </c>
      <c r="FI147" s="9" t="n">
        <v>3</v>
      </c>
      <c r="FJ147" s="9" t="n">
        <v>2</v>
      </c>
      <c r="FK147" s="11" t="n">
        <f aca="false">(FG147+FH147+FI147+FJ147)/4</f>
        <v>1.25</v>
      </c>
      <c r="FL147" s="11" t="n">
        <f aca="false">(FG147/DR147)</f>
        <v>0</v>
      </c>
      <c r="FM147" s="11" t="n">
        <f aca="false">(FH147/DS147)</f>
        <v>0</v>
      </c>
      <c r="FN147" s="11" t="n">
        <f aca="false">(FI147/DT147)</f>
        <v>0.75</v>
      </c>
      <c r="FO147" s="11" t="n">
        <f aca="false">(FJ147/DU147)</f>
        <v>0.25</v>
      </c>
      <c r="FP147" s="11" t="n">
        <f aca="false">(FK147/DV147)</f>
        <v>0.208333333333333</v>
      </c>
      <c r="FQ147" s="11" t="n">
        <f aca="false">(100*FP147)</f>
        <v>20.8333333333333</v>
      </c>
      <c r="FR147" s="9" t="n">
        <v>2</v>
      </c>
      <c r="FS147" s="9" t="n">
        <v>67.6</v>
      </c>
      <c r="FT147" s="9" t="n">
        <v>58.7</v>
      </c>
      <c r="FU147" s="9" t="n">
        <v>62.3</v>
      </c>
      <c r="FV147" s="9" t="n">
        <v>71.9</v>
      </c>
      <c r="FW147" s="11" t="n">
        <f aca="false">(FS147+FT147+FU147+FV147)/4</f>
        <v>65.125</v>
      </c>
      <c r="FX147" s="9" t="n">
        <v>0</v>
      </c>
      <c r="FY147" s="9" t="n">
        <v>0</v>
      </c>
      <c r="FZ147" s="9" t="n">
        <v>0</v>
      </c>
      <c r="GA147" s="9" t="n">
        <v>1</v>
      </c>
      <c r="GB147" s="11" t="n">
        <f aca="false">(FX147+FY147+FZ147+GA147)/4</f>
        <v>0.25</v>
      </c>
      <c r="GC147" s="9" t="n">
        <v>1</v>
      </c>
      <c r="GD147" s="9" t="n">
        <v>1</v>
      </c>
      <c r="GE147" s="9" t="n">
        <v>1</v>
      </c>
      <c r="GF147" s="9" t="n">
        <v>1</v>
      </c>
      <c r="GG147" s="11" t="n">
        <f aca="false">(GC147+GD147+GE147+GF147)/4</f>
        <v>1</v>
      </c>
      <c r="GH147" s="9" t="n">
        <v>1</v>
      </c>
      <c r="GI147" s="9" t="n">
        <v>1</v>
      </c>
      <c r="GJ147" s="9" t="n">
        <v>0</v>
      </c>
      <c r="GK147" s="9" t="n">
        <v>1</v>
      </c>
      <c r="GL147" s="11" t="n">
        <f aca="false">(GH147+GI147+GJ147+GK147)/4</f>
        <v>0.75</v>
      </c>
      <c r="GM147" s="9" t="n">
        <v>16</v>
      </c>
      <c r="GN147" s="9" t="n">
        <v>4</v>
      </c>
      <c r="GO147" s="9" t="n">
        <v>17</v>
      </c>
      <c r="GP147" s="9" t="n">
        <v>8</v>
      </c>
      <c r="GQ147" s="11" t="n">
        <f aca="false">(GM147+GN147+GO147+GP147)/4</f>
        <v>11.25</v>
      </c>
      <c r="GR147" s="9" t="n">
        <v>11</v>
      </c>
      <c r="GS147" s="9" t="n">
        <v>14</v>
      </c>
      <c r="GT147" s="9" t="n">
        <v>4</v>
      </c>
      <c r="GU147" s="9" t="n">
        <v>12</v>
      </c>
      <c r="GV147" s="11" t="n">
        <f aca="false">(GR147+GS147+GT147+GU147)/4</f>
        <v>10.25</v>
      </c>
      <c r="GW147" s="9" t="n">
        <v>0</v>
      </c>
      <c r="GX147" s="9" t="n">
        <v>0</v>
      </c>
      <c r="GY147" s="9" t="n">
        <v>0</v>
      </c>
      <c r="GZ147" s="9" t="n">
        <v>1</v>
      </c>
      <c r="HA147" s="11" t="n">
        <f aca="false">(GW147+GX147+GY147+GZ147)/4</f>
        <v>0.25</v>
      </c>
      <c r="HB147" s="9" t="n">
        <f aca="false">(GW147/GR147)</f>
        <v>0</v>
      </c>
      <c r="HC147" s="9" t="n">
        <f aca="false">(GX147/GS147)</f>
        <v>0</v>
      </c>
      <c r="HD147" s="9" t="n">
        <f aca="false">(GY147/GT147)</f>
        <v>0</v>
      </c>
      <c r="HE147" s="9" t="n">
        <f aca="false">(GZ147/GU147)/4</f>
        <v>0.0208333333333333</v>
      </c>
      <c r="HF147" s="9" t="n">
        <f aca="false">(HB147+HC147+HD147+HE147)/4</f>
        <v>0.00520833333333333</v>
      </c>
      <c r="HG147" s="9" t="n">
        <f aca="false">(100*HF147)</f>
        <v>0.520833333333333</v>
      </c>
      <c r="HH147" s="18" t="n">
        <v>1</v>
      </c>
      <c r="HI147" s="9" t="n">
        <v>2</v>
      </c>
      <c r="HJ147" s="9" t="n">
        <v>3</v>
      </c>
      <c r="HK147" s="9" t="n">
        <v>1</v>
      </c>
      <c r="HL147" s="19" t="n">
        <v>2</v>
      </c>
      <c r="HM147" s="9" t="n">
        <f aca="false">(HI147+HJ147+HK147+HL147)/4</f>
        <v>2</v>
      </c>
      <c r="HN147" s="9" t="n">
        <f aca="false">(HI147/GR147)</f>
        <v>0.181818181818182</v>
      </c>
      <c r="HO147" s="9" t="n">
        <f aca="false">(HJ147/GS147)</f>
        <v>0.214285714285714</v>
      </c>
      <c r="HP147" s="9" t="n">
        <f aca="false">(HK147/GT147)</f>
        <v>0.25</v>
      </c>
      <c r="HQ147" s="9" t="n">
        <f aca="false">(HL147/GU147)</f>
        <v>0.166666666666667</v>
      </c>
      <c r="HR147" s="9" t="n">
        <f aca="false">(HM147/GV147)</f>
        <v>0.195121951219512</v>
      </c>
      <c r="HS147" s="9" t="n">
        <f aca="false">(100*HR147)</f>
        <v>19.5121951219512</v>
      </c>
      <c r="HT147" s="18" t="n">
        <v>2</v>
      </c>
      <c r="HU147" s="9" t="n">
        <v>4</v>
      </c>
      <c r="HV147" s="9" t="n">
        <v>2</v>
      </c>
      <c r="HW147" s="9" t="n">
        <v>0</v>
      </c>
      <c r="HX147" s="19" t="n">
        <v>0</v>
      </c>
      <c r="HY147" s="9" t="n">
        <f aca="false">(HU147+HV147+HW147+HX147)/4</f>
        <v>1.5</v>
      </c>
      <c r="HZ147" s="9" t="n">
        <f aca="false">(HU147/GR147)</f>
        <v>0.363636363636364</v>
      </c>
      <c r="IA147" s="9" t="n">
        <f aca="false">HV147/GS147</f>
        <v>0.142857142857143</v>
      </c>
      <c r="IB147" s="9" t="n">
        <f aca="false">(HW147/GT147)</f>
        <v>0</v>
      </c>
      <c r="IC147" s="9" t="n">
        <f aca="false">(HX147/GU147)</f>
        <v>0</v>
      </c>
      <c r="ID147" s="9" t="n">
        <f aca="false">(HY147/GV147)</f>
        <v>0.146341463414634</v>
      </c>
      <c r="IE147" s="9" t="n">
        <f aca="false">(100*ID147)</f>
        <v>14.6341463414634</v>
      </c>
      <c r="IF147" s="18" t="n">
        <v>2</v>
      </c>
      <c r="IG147" s="9" t="n">
        <v>0</v>
      </c>
      <c r="IH147" s="9" t="n">
        <v>0</v>
      </c>
      <c r="II147" s="19" t="n">
        <v>0</v>
      </c>
      <c r="IJ147" s="9" t="n">
        <v>4</v>
      </c>
      <c r="IK147" s="9" t="n">
        <f aca="false">(IG147+IH147+II147+IJ147)/4</f>
        <v>1</v>
      </c>
      <c r="IL147" s="9" t="n">
        <f aca="false">(IG147/GM147)</f>
        <v>0</v>
      </c>
      <c r="IM147" s="9" t="n">
        <f aca="false">(IH147/GN147)</f>
        <v>0</v>
      </c>
      <c r="IN147" s="9" t="n">
        <f aca="false">(II147/GO147)</f>
        <v>0</v>
      </c>
      <c r="IO147" s="9" t="n">
        <f aca="false">(IJ147/GP147)</f>
        <v>0.5</v>
      </c>
      <c r="IP147" s="9" t="n">
        <f aca="false">(IK147/GQ147)</f>
        <v>0.0888888888888889</v>
      </c>
      <c r="IQ147" s="9" t="n">
        <f aca="false">(100*IP147)</f>
        <v>8.88888888888889</v>
      </c>
      <c r="IR147" s="18" t="n">
        <v>1</v>
      </c>
      <c r="IS147" s="9" t="n">
        <v>63.4</v>
      </c>
      <c r="IT147" s="9" t="n">
        <v>63.2</v>
      </c>
      <c r="IU147" s="19" t="n">
        <v>64.5</v>
      </c>
      <c r="IV147" s="9" t="n">
        <v>69.2</v>
      </c>
      <c r="IW147" s="9" t="n">
        <f aca="false">(IS147+IT147+IU147+IV147)/4</f>
        <v>65.075</v>
      </c>
      <c r="IX147" s="16" t="n">
        <v>45241</v>
      </c>
      <c r="IY147" s="10" t="s">
        <v>268</v>
      </c>
    </row>
    <row r="148" customFormat="false" ht="15.75" hidden="false" customHeight="true" outlineLevel="0" collapsed="false">
      <c r="A148" s="9" t="s">
        <v>370</v>
      </c>
      <c r="B148" s="10" t="s">
        <v>602</v>
      </c>
      <c r="C148" s="10" t="s">
        <v>514</v>
      </c>
      <c r="D148" s="9" t="n">
        <v>1</v>
      </c>
      <c r="E148" s="9" t="n">
        <v>49</v>
      </c>
      <c r="F148" s="10" t="s">
        <v>608</v>
      </c>
      <c r="G148" s="11" t="s">
        <v>263</v>
      </c>
      <c r="H148" s="9" t="n">
        <v>21</v>
      </c>
      <c r="I148" s="9" t="n">
        <v>20</v>
      </c>
      <c r="J148" s="10" t="s">
        <v>272</v>
      </c>
      <c r="K148" s="20"/>
      <c r="L148" s="20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 t="n">
        <v>0</v>
      </c>
      <c r="Y148" s="9" t="n">
        <v>0</v>
      </c>
      <c r="Z148" s="9" t="n">
        <v>0</v>
      </c>
      <c r="AA148" s="9" t="n">
        <v>0</v>
      </c>
      <c r="AB148" s="11" t="n">
        <f aca="false">(X148+Y148+Z148+AA148)/4</f>
        <v>0</v>
      </c>
      <c r="AC148" s="9" t="n">
        <v>1</v>
      </c>
      <c r="AD148" s="9" t="n">
        <v>0</v>
      </c>
      <c r="AE148" s="9" t="n">
        <v>1</v>
      </c>
      <c r="AF148" s="9" t="n">
        <v>1</v>
      </c>
      <c r="AG148" s="11" t="n">
        <f aca="false">(AC148+AD148+AE148+AF148)/4</f>
        <v>0.75</v>
      </c>
      <c r="AH148" s="9" t="n">
        <v>1</v>
      </c>
      <c r="AI148" s="9" t="n">
        <v>1</v>
      </c>
      <c r="AJ148" s="9" t="n">
        <v>1</v>
      </c>
      <c r="AK148" s="9" t="n">
        <v>0</v>
      </c>
      <c r="AL148" s="11" t="n">
        <f aca="false">(AH148+AI148+AJ148+AK148)/4</f>
        <v>0.75</v>
      </c>
      <c r="AM148" s="9" t="n">
        <v>47</v>
      </c>
      <c r="AN148" s="9" t="n">
        <v>37</v>
      </c>
      <c r="AO148" s="9" t="n">
        <v>90</v>
      </c>
      <c r="AP148" s="9" t="n">
        <v>28</v>
      </c>
      <c r="AQ148" s="11" t="n">
        <f aca="false">(AM148+AN148+AO148+AP148)/4</f>
        <v>50.5</v>
      </c>
      <c r="AR148" s="9" t="n">
        <v>10</v>
      </c>
      <c r="AS148" s="9" t="n">
        <v>7</v>
      </c>
      <c r="AT148" s="9" t="n">
        <v>5</v>
      </c>
      <c r="AU148" s="9" t="n">
        <v>13</v>
      </c>
      <c r="AV148" s="11" t="n">
        <f aca="false">(AR148+AS148+AT148+AU148)/4</f>
        <v>8.75</v>
      </c>
      <c r="AW148" s="9" t="n">
        <v>0</v>
      </c>
      <c r="AX148" s="9" t="n">
        <v>0</v>
      </c>
      <c r="AY148" s="9" t="n">
        <v>0</v>
      </c>
      <c r="AZ148" s="9" t="n">
        <v>0</v>
      </c>
      <c r="BA148" s="11" t="n">
        <f aca="false">(AW148+AX148+AY148+AZ148)/4</f>
        <v>0</v>
      </c>
      <c r="BB148" s="11" t="n">
        <f aca="false">(AW148/AR148)</f>
        <v>0</v>
      </c>
      <c r="BC148" s="11" t="n">
        <f aca="false">(AX148/AS148)</f>
        <v>0</v>
      </c>
      <c r="BD148" s="11" t="n">
        <f aca="false">(AY148/AT148)</f>
        <v>0</v>
      </c>
      <c r="BE148" s="11" t="n">
        <f aca="false">(AZ148/AU148)</f>
        <v>0</v>
      </c>
      <c r="BF148" s="11" t="n">
        <f aca="false">(BA148/AV148)</f>
        <v>0</v>
      </c>
      <c r="BG148" s="11" t="n">
        <f aca="false">(BF148*100)</f>
        <v>0</v>
      </c>
      <c r="BH148" s="9" t="n">
        <v>0</v>
      </c>
      <c r="BI148" s="9" t="n">
        <v>4</v>
      </c>
      <c r="BJ148" s="9" t="n">
        <v>0</v>
      </c>
      <c r="BK148" s="9" t="n">
        <v>3</v>
      </c>
      <c r="BL148" s="9" t="n">
        <v>5</v>
      </c>
      <c r="BM148" s="11" t="n">
        <f aca="false">(BI148+BJ148+BK148+BL148)/4</f>
        <v>3</v>
      </c>
      <c r="BN148" s="11" t="n">
        <f aca="false">(BI148/AR148)</f>
        <v>0.4</v>
      </c>
      <c r="BO148" s="11" t="n">
        <f aca="false">(BJ148/AS148)</f>
        <v>0</v>
      </c>
      <c r="BP148" s="11" t="n">
        <f aca="false">(BK148/AT148)</f>
        <v>0.6</v>
      </c>
      <c r="BQ148" s="11" t="n">
        <f aca="false">(BL148/AU148)</f>
        <v>0.384615384615385</v>
      </c>
      <c r="BR148" s="11" t="n">
        <f aca="false">(BM148/AV148)</f>
        <v>0.342857142857143</v>
      </c>
      <c r="BS148" s="11" t="n">
        <f aca="false">(100*BR148)</f>
        <v>34.2857142857143</v>
      </c>
      <c r="BT148" s="9" t="n">
        <v>3</v>
      </c>
      <c r="BU148" s="9" t="n">
        <v>0</v>
      </c>
      <c r="BV148" s="9" t="n">
        <v>0</v>
      </c>
      <c r="BW148" s="9" t="n">
        <v>0</v>
      </c>
      <c r="BX148" s="9" t="n">
        <v>0</v>
      </c>
      <c r="BY148" s="11" t="n">
        <f aca="false">(BU148+BV148+BW148+BX148)/4</f>
        <v>0</v>
      </c>
      <c r="BZ148" s="11" t="n">
        <f aca="false">(BU148/AR148)</f>
        <v>0</v>
      </c>
      <c r="CA148" s="11" t="n">
        <f aca="false">(BV148/AS148)</f>
        <v>0</v>
      </c>
      <c r="CB148" s="11" t="n">
        <f aca="false">(BW148/AT148)</f>
        <v>0</v>
      </c>
      <c r="CC148" s="11" t="n">
        <f aca="false">(BX148/AU148)</f>
        <v>0</v>
      </c>
      <c r="CD148" s="11" t="n">
        <f aca="false">(BY148/AV148)</f>
        <v>0</v>
      </c>
      <c r="CE148" s="11" t="n">
        <f aca="false">(100*CD148)</f>
        <v>0</v>
      </c>
      <c r="CF148" s="9" t="n">
        <v>0</v>
      </c>
      <c r="CG148" s="9" t="n">
        <v>6</v>
      </c>
      <c r="CH148" s="9" t="n">
        <v>4</v>
      </c>
      <c r="CI148" s="9" t="n">
        <v>32</v>
      </c>
      <c r="CJ148" s="9" t="n">
        <v>0</v>
      </c>
      <c r="CK148" s="11" t="n">
        <f aca="false">(CG148+CH148+CI148+CJ148)/4</f>
        <v>10.5</v>
      </c>
      <c r="CL148" s="11" t="n">
        <f aca="false">(CG148/AM148)</f>
        <v>0.127659574468085</v>
      </c>
      <c r="CM148" s="11" t="n">
        <f aca="false">(CH148/AN148)</f>
        <v>0.108108108108108</v>
      </c>
      <c r="CN148" s="11" t="n">
        <f aca="false">(CI148/AO148)</f>
        <v>0.355555555555556</v>
      </c>
      <c r="CO148" s="9" t="n">
        <f aca="false">(CJ148/AP148)</f>
        <v>0</v>
      </c>
      <c r="CP148" s="9" t="n">
        <f aca="false">(CK148/AQ148)</f>
        <v>0.207920792079208</v>
      </c>
      <c r="CQ148" s="9" t="n">
        <f aca="false">(100*CP148)</f>
        <v>20.7920792079208</v>
      </c>
      <c r="CR148" s="18" t="n">
        <v>2</v>
      </c>
      <c r="CS148" s="9" t="n">
        <v>70.1</v>
      </c>
      <c r="CT148" s="9" t="n">
        <v>64.6</v>
      </c>
      <c r="CU148" s="9" t="n">
        <v>57</v>
      </c>
      <c r="CV148" s="9" t="n">
        <v>59.9</v>
      </c>
      <c r="CW148" s="11" t="n">
        <f aca="false">(CS148+CT148+CU148+CV148)/4</f>
        <v>62.9</v>
      </c>
      <c r="CX148" s="9" t="n">
        <v>0</v>
      </c>
      <c r="CY148" s="9" t="n">
        <v>0</v>
      </c>
      <c r="CZ148" s="9" t="n">
        <v>0</v>
      </c>
      <c r="DA148" s="9" t="n">
        <v>1</v>
      </c>
      <c r="DB148" s="11" t="n">
        <f aca="false">(CX148+CY148+CZ148+DA148)/4</f>
        <v>0.25</v>
      </c>
      <c r="DC148" s="9" t="n">
        <v>1</v>
      </c>
      <c r="DD148" s="9" t="n">
        <v>1</v>
      </c>
      <c r="DE148" s="9" t="n">
        <v>1</v>
      </c>
      <c r="DF148" s="9" t="n">
        <v>1</v>
      </c>
      <c r="DG148" s="11" t="n">
        <f aca="false">(DC148+DD148+DE148+DF148)/4</f>
        <v>1</v>
      </c>
      <c r="DH148" s="9" t="n">
        <v>1</v>
      </c>
      <c r="DI148" s="9" t="n">
        <v>1</v>
      </c>
      <c r="DJ148" s="9" t="n">
        <v>1</v>
      </c>
      <c r="DK148" s="9" t="n">
        <v>1</v>
      </c>
      <c r="DL148" s="11" t="n">
        <f aca="false">(DH148+DI148+DJ148+DK148)/4</f>
        <v>1</v>
      </c>
      <c r="DM148" s="9" t="n">
        <v>9</v>
      </c>
      <c r="DN148" s="9" t="n">
        <v>34</v>
      </c>
      <c r="DO148" s="9" t="n">
        <v>35</v>
      </c>
      <c r="DP148" s="9" t="n">
        <v>150</v>
      </c>
      <c r="DQ148" s="11" t="n">
        <f aca="false">(DM148+DN148+DO148+DP148)/4</f>
        <v>57</v>
      </c>
      <c r="DR148" s="9" t="n">
        <v>9</v>
      </c>
      <c r="DS148" s="9" t="n">
        <v>12</v>
      </c>
      <c r="DT148" s="9" t="n">
        <v>19</v>
      </c>
      <c r="DU148" s="9" t="n">
        <v>28</v>
      </c>
      <c r="DV148" s="11" t="n">
        <f aca="false">(DR148+DS148+DT148+DU148)/4</f>
        <v>17</v>
      </c>
      <c r="DW148" s="9" t="n">
        <v>0</v>
      </c>
      <c r="DX148" s="9" t="n">
        <v>0</v>
      </c>
      <c r="DY148" s="9" t="n">
        <v>0</v>
      </c>
      <c r="DZ148" s="9" t="n">
        <v>1</v>
      </c>
      <c r="EA148" s="11" t="n">
        <f aca="false">(DW148+DX148+DY148+DZ148)/4</f>
        <v>0.25</v>
      </c>
      <c r="EB148" s="11" t="n">
        <f aca="false">(DW148/DR148)</f>
        <v>0</v>
      </c>
      <c r="EC148" s="11" t="n">
        <f aca="false">(DX148/DS148)</f>
        <v>0</v>
      </c>
      <c r="ED148" s="11" t="n">
        <f aca="false">(DY148/DT148)</f>
        <v>0</v>
      </c>
      <c r="EE148" s="11" t="n">
        <f aca="false">(DZ148/DU148)</f>
        <v>0.0357142857142857</v>
      </c>
      <c r="EF148" s="11" t="n">
        <f aca="false">(EA148/DV148)</f>
        <v>0.0147058823529412</v>
      </c>
      <c r="EG148" s="11" t="n">
        <f aca="false">(100*EF148)</f>
        <v>1.47058823529412</v>
      </c>
      <c r="EH148" s="9" t="n">
        <v>1</v>
      </c>
      <c r="EI148" s="9" t="n">
        <v>2</v>
      </c>
      <c r="EJ148" s="9" t="n">
        <v>7</v>
      </c>
      <c r="EK148" s="19" t="n">
        <v>4</v>
      </c>
      <c r="EL148" s="9" t="n">
        <v>12</v>
      </c>
      <c r="EM148" s="9" t="n">
        <f aca="false">(EI148+EJ148+EK148+EL148)/4</f>
        <v>6.25</v>
      </c>
      <c r="EN148" s="9" t="n">
        <f aca="false">(EI148/DR148)</f>
        <v>0.222222222222222</v>
      </c>
      <c r="EO148" s="9" t="n">
        <f aca="false">(EJ148/DS148)</f>
        <v>0.583333333333333</v>
      </c>
      <c r="EP148" s="9" t="n">
        <f aca="false">(EK148/DT148)</f>
        <v>0.210526315789474</v>
      </c>
      <c r="EQ148" s="9" t="n">
        <f aca="false">(EL148/DU148)</f>
        <v>0.428571428571429</v>
      </c>
      <c r="ER148" s="9" t="n">
        <f aca="false">EM148/DV148</f>
        <v>0.367647058823529</v>
      </c>
      <c r="ES148" s="9" t="n">
        <f aca="false">(100*ER148)</f>
        <v>36.7647058823529</v>
      </c>
      <c r="ET148" s="9" t="n">
        <v>3</v>
      </c>
      <c r="EU148" s="18" t="n">
        <v>1</v>
      </c>
      <c r="EV148" s="9" t="n">
        <v>1</v>
      </c>
      <c r="EW148" s="9" t="n">
        <v>0</v>
      </c>
      <c r="EX148" s="9" t="n">
        <v>1</v>
      </c>
      <c r="EY148" s="11" t="n">
        <f aca="false">(EU148+EV148+EW148+EX148)/4</f>
        <v>0.75</v>
      </c>
      <c r="EZ148" s="11" t="n">
        <f aca="false">(EU148/DR148)</f>
        <v>0.111111111111111</v>
      </c>
      <c r="FA148" s="11" t="n">
        <f aca="false">(EV148/DS148)</f>
        <v>0.0833333333333333</v>
      </c>
      <c r="FB148" s="11" t="n">
        <f aca="false">(EW148/DT148)</f>
        <v>0</v>
      </c>
      <c r="FC148" s="11" t="n">
        <f aca="false">(EX148/DU148)</f>
        <v>0.0357142857142857</v>
      </c>
      <c r="FD148" s="11" t="n">
        <f aca="false">(EY148/DV148)</f>
        <v>0.0441176470588235</v>
      </c>
      <c r="FE148" s="11" t="n">
        <f aca="false">(100*FD148)</f>
        <v>4.41176470588235</v>
      </c>
      <c r="FF148" s="9" t="n">
        <v>1</v>
      </c>
      <c r="FG148" s="9" t="n">
        <v>2</v>
      </c>
      <c r="FH148" s="9" t="n">
        <v>7</v>
      </c>
      <c r="FI148" s="9" t="n">
        <v>2</v>
      </c>
      <c r="FJ148" s="9" t="n">
        <v>1</v>
      </c>
      <c r="FK148" s="11" t="n">
        <f aca="false">(FG148+FH148+FI148+FJ148)/4</f>
        <v>3</v>
      </c>
      <c r="FL148" s="11" t="n">
        <f aca="false">(FG148/DR148)</f>
        <v>0.222222222222222</v>
      </c>
      <c r="FM148" s="11" t="n">
        <f aca="false">(FH148/DS148)</f>
        <v>0.583333333333333</v>
      </c>
      <c r="FN148" s="11" t="n">
        <f aca="false">(FI148/DT148)</f>
        <v>0.105263157894737</v>
      </c>
      <c r="FO148" s="11" t="n">
        <f aca="false">(FJ148/DU148)</f>
        <v>0.0357142857142857</v>
      </c>
      <c r="FP148" s="11" t="n">
        <f aca="false">(FK148/DV148)</f>
        <v>0.176470588235294</v>
      </c>
      <c r="FQ148" s="11" t="n">
        <f aca="false">(100*FP148)</f>
        <v>17.6470588235294</v>
      </c>
      <c r="FR148" s="9" t="n">
        <v>2</v>
      </c>
      <c r="FS148" s="9" t="n">
        <v>66.9</v>
      </c>
      <c r="FT148" s="9" t="n">
        <v>58.5</v>
      </c>
      <c r="FU148" s="9" t="n">
        <v>63.6</v>
      </c>
      <c r="FV148" s="9" t="n">
        <v>37.8</v>
      </c>
      <c r="FW148" s="11" t="n">
        <f aca="false">(FS148+FT148+FU148+FV148)/4</f>
        <v>56.7</v>
      </c>
      <c r="FX148" s="9" t="n">
        <v>0</v>
      </c>
      <c r="FY148" s="9" t="n">
        <v>0</v>
      </c>
      <c r="FZ148" s="9" t="n">
        <v>0</v>
      </c>
      <c r="GA148" s="9" t="n">
        <v>0</v>
      </c>
      <c r="GB148" s="11" t="n">
        <f aca="false">(FX148+FY148+FZ148+GA148)/4</f>
        <v>0</v>
      </c>
      <c r="GC148" s="9" t="n">
        <v>1</v>
      </c>
      <c r="GD148" s="9" t="n">
        <v>1</v>
      </c>
      <c r="GE148" s="9" t="n">
        <v>1</v>
      </c>
      <c r="GF148" s="9" t="n">
        <v>1</v>
      </c>
      <c r="GG148" s="11" t="n">
        <f aca="false">(GC148+GD148+GE148+GF148)/4</f>
        <v>1</v>
      </c>
      <c r="GH148" s="9" t="n">
        <v>1</v>
      </c>
      <c r="GI148" s="9" t="n">
        <v>1</v>
      </c>
      <c r="GJ148" s="9" t="n">
        <v>1</v>
      </c>
      <c r="GK148" s="9" t="n">
        <v>1</v>
      </c>
      <c r="GL148" s="11" t="n">
        <f aca="false">(GH148+GI148+GJ148+GK148)/4</f>
        <v>1</v>
      </c>
      <c r="GM148" s="9" t="n">
        <v>72</v>
      </c>
      <c r="GN148" s="9" t="n">
        <v>11</v>
      </c>
      <c r="GO148" s="9" t="n">
        <v>56</v>
      </c>
      <c r="GP148" s="9" t="n">
        <v>19</v>
      </c>
      <c r="GQ148" s="11" t="n">
        <f aca="false">(GM148+GN148+GO148+GP148)/4</f>
        <v>39.5</v>
      </c>
      <c r="GR148" s="9" t="n">
        <v>19</v>
      </c>
      <c r="GS148" s="9" t="n">
        <v>14</v>
      </c>
      <c r="GT148" s="9" t="n">
        <v>25</v>
      </c>
      <c r="GU148" s="9" t="n">
        <v>10</v>
      </c>
      <c r="GV148" s="11" t="n">
        <f aca="false">(GR148+GS148+GT148+GU148)/4</f>
        <v>17</v>
      </c>
      <c r="GW148" s="9" t="n">
        <v>0</v>
      </c>
      <c r="GX148" s="9" t="n">
        <v>0</v>
      </c>
      <c r="GY148" s="9" t="n">
        <v>0</v>
      </c>
      <c r="GZ148" s="9" t="n">
        <v>0</v>
      </c>
      <c r="HA148" s="11" t="n">
        <f aca="false">(GW148+GX148+GY148+GZ148)/4</f>
        <v>0</v>
      </c>
      <c r="HB148" s="9" t="n">
        <f aca="false">(GW148/GR148)</f>
        <v>0</v>
      </c>
      <c r="HC148" s="9" t="n">
        <f aca="false">(GX148/GS148)</f>
        <v>0</v>
      </c>
      <c r="HD148" s="9" t="n">
        <f aca="false">(GY148/GT148)</f>
        <v>0</v>
      </c>
      <c r="HE148" s="9" t="n">
        <f aca="false">(GZ148/GU148)/4</f>
        <v>0</v>
      </c>
      <c r="HF148" s="9" t="n">
        <f aca="false">(HB148+HC148+HD148+HE148)/4</f>
        <v>0</v>
      </c>
      <c r="HG148" s="9" t="n">
        <f aca="false">(100*HF148)</f>
        <v>0</v>
      </c>
      <c r="HH148" s="18" t="n">
        <v>0</v>
      </c>
      <c r="HI148" s="9" t="n">
        <v>3</v>
      </c>
      <c r="HJ148" s="9" t="n">
        <v>6</v>
      </c>
      <c r="HK148" s="9" t="n">
        <v>7</v>
      </c>
      <c r="HL148" s="19" t="n">
        <v>2</v>
      </c>
      <c r="HM148" s="9" t="n">
        <f aca="false">(HI148+HJ148+HK148+HL148)/4</f>
        <v>4.5</v>
      </c>
      <c r="HN148" s="9" t="n">
        <f aca="false">(HI148/GR148)</f>
        <v>0.157894736842105</v>
      </c>
      <c r="HO148" s="9" t="n">
        <f aca="false">(HJ148/GS148)</f>
        <v>0.428571428571429</v>
      </c>
      <c r="HP148" s="9" t="n">
        <f aca="false">(HK148/GT148)</f>
        <v>0.28</v>
      </c>
      <c r="HQ148" s="9" t="n">
        <f aca="false">(HL148/GU148)</f>
        <v>0.2</v>
      </c>
      <c r="HR148" s="9" t="n">
        <f aca="false">(HM148/GV148)</f>
        <v>0.264705882352941</v>
      </c>
      <c r="HS148" s="9" t="n">
        <f aca="false">(100*HR148)</f>
        <v>26.4705882352941</v>
      </c>
      <c r="HT148" s="18" t="n">
        <v>2</v>
      </c>
      <c r="HU148" s="9" t="n">
        <v>4</v>
      </c>
      <c r="HV148" s="9" t="n">
        <v>0</v>
      </c>
      <c r="HW148" s="9" t="n">
        <v>4</v>
      </c>
      <c r="HX148" s="19" t="n">
        <v>0</v>
      </c>
      <c r="HY148" s="9" t="n">
        <f aca="false">(HU148+HV148+HW148+HX148)/4</f>
        <v>2</v>
      </c>
      <c r="HZ148" s="9" t="n">
        <f aca="false">(HU148/GR148)</f>
        <v>0.210526315789474</v>
      </c>
      <c r="IA148" s="9" t="n">
        <f aca="false">HV148/GS148</f>
        <v>0</v>
      </c>
      <c r="IB148" s="9" t="n">
        <f aca="false">(HW148/GT148)</f>
        <v>0.16</v>
      </c>
      <c r="IC148" s="9" t="n">
        <f aca="false">(HX148/GU148)</f>
        <v>0</v>
      </c>
      <c r="ID148" s="9" t="n">
        <f aca="false">(HY148/GV148)</f>
        <v>0.117647058823529</v>
      </c>
      <c r="IE148" s="9" t="n">
        <f aca="false">(100*ID148)</f>
        <v>11.7647058823529</v>
      </c>
      <c r="IF148" s="18" t="n">
        <v>2</v>
      </c>
      <c r="IG148" s="9" t="n">
        <v>0</v>
      </c>
      <c r="IH148" s="9" t="n">
        <v>2</v>
      </c>
      <c r="II148" s="19" t="n">
        <v>11</v>
      </c>
      <c r="IJ148" s="9" t="n">
        <v>15</v>
      </c>
      <c r="IK148" s="9" t="n">
        <f aca="false">(IG148+IH148+II148+IJ148)/4</f>
        <v>7</v>
      </c>
      <c r="IL148" s="9" t="n">
        <f aca="false">(IG148/GM148)</f>
        <v>0</v>
      </c>
      <c r="IM148" s="9" t="n">
        <f aca="false">(IH148/GN148)</f>
        <v>0.181818181818182</v>
      </c>
      <c r="IN148" s="9" t="n">
        <f aca="false">(II148/GO148)</f>
        <v>0.196428571428571</v>
      </c>
      <c r="IO148" s="9" t="n">
        <f aca="false">(IJ148/GP148)</f>
        <v>0.789473684210526</v>
      </c>
      <c r="IP148" s="9" t="n">
        <f aca="false">(IK148/GQ148)</f>
        <v>0.177215189873418</v>
      </c>
      <c r="IQ148" s="9" t="n">
        <f aca="false">(100*IP148)</f>
        <v>17.7215189873418</v>
      </c>
      <c r="IR148" s="18" t="n">
        <v>2</v>
      </c>
      <c r="IS148" s="9" t="n">
        <v>60.4</v>
      </c>
      <c r="IT148" s="9" t="n">
        <v>63.2</v>
      </c>
      <c r="IU148" s="19" t="n">
        <v>66.4</v>
      </c>
      <c r="IV148" s="9" t="n">
        <v>49.2</v>
      </c>
      <c r="IW148" s="9" t="n">
        <f aca="false">(IS148+IT148+IU148+IV148)/4</f>
        <v>59.8</v>
      </c>
      <c r="IX148" s="16" t="n">
        <v>45241</v>
      </c>
      <c r="IY148" s="10" t="s">
        <v>268</v>
      </c>
    </row>
    <row r="149" customFormat="false" ht="15.75" hidden="false" customHeight="true" outlineLevel="0" collapsed="false">
      <c r="A149" s="9" t="s">
        <v>370</v>
      </c>
      <c r="B149" s="37" t="s">
        <v>609</v>
      </c>
      <c r="C149" s="37" t="s">
        <v>514</v>
      </c>
      <c r="D149" s="37" t="n">
        <v>2</v>
      </c>
      <c r="E149" s="37" t="n">
        <v>50</v>
      </c>
      <c r="F149" s="37" t="s">
        <v>610</v>
      </c>
      <c r="G149" s="37" t="s">
        <v>320</v>
      </c>
      <c r="H149" s="37" t="n">
        <v>20</v>
      </c>
      <c r="I149" s="37" t="n">
        <v>4</v>
      </c>
      <c r="J149" s="38" t="s">
        <v>264</v>
      </c>
      <c r="K149" s="13" t="s">
        <v>611</v>
      </c>
      <c r="L149" s="13" t="s">
        <v>612</v>
      </c>
      <c r="M149" s="32" t="n">
        <v>1284</v>
      </c>
      <c r="N149" s="15" t="n">
        <v>45155</v>
      </c>
      <c r="O149" s="10" t="s">
        <v>294</v>
      </c>
      <c r="P149" s="9"/>
      <c r="Q149" s="9" t="n">
        <v>21.11</v>
      </c>
      <c r="R149" s="9" t="n">
        <v>10</v>
      </c>
      <c r="S149" s="9" t="n">
        <v>-12</v>
      </c>
      <c r="T149" s="9" t="n">
        <v>90</v>
      </c>
      <c r="U149" s="9"/>
      <c r="V149" s="9" t="n">
        <f aca="false">(18.73/100)</f>
        <v>0.1873</v>
      </c>
      <c r="W149" s="9" t="s">
        <v>613</v>
      </c>
      <c r="X149" s="9" t="n">
        <v>0</v>
      </c>
      <c r="Y149" s="9" t="n">
        <v>0</v>
      </c>
      <c r="Z149" s="9" t="n">
        <v>0</v>
      </c>
      <c r="AA149" s="9" t="n">
        <v>0</v>
      </c>
      <c r="AB149" s="11" t="n">
        <f aca="false">(X149+Y149+Z149+AA149)/4</f>
        <v>0</v>
      </c>
      <c r="AC149" s="9" t="n">
        <v>1</v>
      </c>
      <c r="AD149" s="9" t="n">
        <v>0</v>
      </c>
      <c r="AE149" s="9" t="n">
        <v>1</v>
      </c>
      <c r="AF149" s="9" t="n">
        <v>0</v>
      </c>
      <c r="AG149" s="11" t="n">
        <f aca="false">(AC149+AD149+AE149+AF149)/4</f>
        <v>0.5</v>
      </c>
      <c r="AH149" s="9" t="n">
        <v>1</v>
      </c>
      <c r="AI149" s="9" t="n">
        <v>1</v>
      </c>
      <c r="AJ149" s="9" t="n">
        <v>1</v>
      </c>
      <c r="AK149" s="9" t="n">
        <v>1</v>
      </c>
      <c r="AL149" s="11" t="n">
        <f aca="false">(AH149+AI149+AJ149+AK149)/4</f>
        <v>1</v>
      </c>
      <c r="AM149" s="9" t="n">
        <v>38</v>
      </c>
      <c r="AN149" s="9" t="n">
        <v>72</v>
      </c>
      <c r="AO149" s="9" t="n">
        <v>36</v>
      </c>
      <c r="AP149" s="9" t="n">
        <v>5</v>
      </c>
      <c r="AQ149" s="11" t="n">
        <f aca="false">(AM149+AN149+AO149+AP149)/4</f>
        <v>37.75</v>
      </c>
      <c r="AR149" s="9" t="n">
        <v>25</v>
      </c>
      <c r="AS149" s="9" t="n">
        <v>12</v>
      </c>
      <c r="AT149" s="9" t="n">
        <v>10</v>
      </c>
      <c r="AU149" s="9" t="n">
        <v>6</v>
      </c>
      <c r="AV149" s="11" t="n">
        <f aca="false">(AR149+AS149+AT149+AU149)/4</f>
        <v>13.25</v>
      </c>
      <c r="AW149" s="9" t="n">
        <v>0</v>
      </c>
      <c r="AX149" s="9" t="n">
        <v>0</v>
      </c>
      <c r="AY149" s="9" t="n">
        <v>0</v>
      </c>
      <c r="AZ149" s="9" t="n">
        <v>0</v>
      </c>
      <c r="BA149" s="11" t="n">
        <f aca="false">(AW149+AX149+AY149+AZ149)/4</f>
        <v>0</v>
      </c>
      <c r="BB149" s="11" t="n">
        <f aca="false">(AW149/AR149)</f>
        <v>0</v>
      </c>
      <c r="BC149" s="11" t="n">
        <f aca="false">(AX149/AS149)</f>
        <v>0</v>
      </c>
      <c r="BD149" s="11" t="n">
        <f aca="false">(AY149/AT149)</f>
        <v>0</v>
      </c>
      <c r="BE149" s="11" t="n">
        <f aca="false">(AZ149/AU149)</f>
        <v>0</v>
      </c>
      <c r="BF149" s="11" t="n">
        <f aca="false">(BA149/AV149)</f>
        <v>0</v>
      </c>
      <c r="BG149" s="11" t="n">
        <f aca="false">(BF149*100)</f>
        <v>0</v>
      </c>
      <c r="BH149" s="9" t="n">
        <v>0</v>
      </c>
      <c r="BI149" s="9" t="n">
        <v>8</v>
      </c>
      <c r="BJ149" s="9" t="n">
        <v>0</v>
      </c>
      <c r="BK149" s="9" t="n">
        <v>5</v>
      </c>
      <c r="BL149" s="9" t="n">
        <v>0</v>
      </c>
      <c r="BM149" s="11" t="n">
        <f aca="false">(BI149+BJ149+BK149+BL149)/4</f>
        <v>3.25</v>
      </c>
      <c r="BN149" s="11" t="n">
        <f aca="false">(BI149/AR149)</f>
        <v>0.32</v>
      </c>
      <c r="BO149" s="11" t="n">
        <f aca="false">(BJ149/AS149)</f>
        <v>0</v>
      </c>
      <c r="BP149" s="11" t="n">
        <f aca="false">(BK149/AT149)</f>
        <v>0.5</v>
      </c>
      <c r="BQ149" s="11" t="n">
        <f aca="false">(BL149/AU149)</f>
        <v>0</v>
      </c>
      <c r="BR149" s="11" t="n">
        <f aca="false">(BM149/AV149)</f>
        <v>0.245283018867925</v>
      </c>
      <c r="BS149" s="11" t="n">
        <f aca="false">(100*BR149)</f>
        <v>24.5283018867925</v>
      </c>
      <c r="BT149" s="9" t="n">
        <v>2</v>
      </c>
      <c r="BU149" s="9" t="n">
        <v>0</v>
      </c>
      <c r="BV149" s="9" t="n">
        <v>3</v>
      </c>
      <c r="BW149" s="9" t="n">
        <v>0</v>
      </c>
      <c r="BX149" s="9" t="n">
        <v>2</v>
      </c>
      <c r="BY149" s="11" t="n">
        <f aca="false">(BU149+BV149+BW149+BX149)/4</f>
        <v>1.25</v>
      </c>
      <c r="BZ149" s="11" t="n">
        <f aca="false">(BU149/AR149)</f>
        <v>0</v>
      </c>
      <c r="CA149" s="11" t="n">
        <f aca="false">(BV149/AS149)</f>
        <v>0.25</v>
      </c>
      <c r="CB149" s="11" t="n">
        <f aca="false">(BW149/AT149)</f>
        <v>0</v>
      </c>
      <c r="CC149" s="11" t="n">
        <f aca="false">(BX149/AU149)</f>
        <v>0.333333333333333</v>
      </c>
      <c r="CD149" s="11" t="n">
        <f aca="false">(BY149/AV149)</f>
        <v>0.0943396226415094</v>
      </c>
      <c r="CE149" s="11" t="n">
        <f aca="false">(100*CD149)</f>
        <v>9.43396226415094</v>
      </c>
      <c r="CF149" s="9" t="n">
        <v>1</v>
      </c>
      <c r="CG149" s="9" t="n">
        <v>3</v>
      </c>
      <c r="CH149" s="9" t="n">
        <v>3</v>
      </c>
      <c r="CI149" s="9" t="n">
        <v>5</v>
      </c>
      <c r="CJ149" s="9" t="n">
        <v>0</v>
      </c>
      <c r="CK149" s="11" t="n">
        <f aca="false">(CG149+CH149+CI149+CJ149)/4</f>
        <v>2.75</v>
      </c>
      <c r="CL149" s="11" t="n">
        <f aca="false">(CG149/AM149)</f>
        <v>0.0789473684210526</v>
      </c>
      <c r="CM149" s="11" t="n">
        <f aca="false">(CH149/AN149)</f>
        <v>0.0416666666666667</v>
      </c>
      <c r="CN149" s="11" t="n">
        <f aca="false">(CI149/AO149)</f>
        <v>0.138888888888889</v>
      </c>
      <c r="CO149" s="9" t="n">
        <f aca="false">(CJ149/AP149)</f>
        <v>0</v>
      </c>
      <c r="CP149" s="9" t="n">
        <f aca="false">(CK149/AQ149)</f>
        <v>0.0728476821192053</v>
      </c>
      <c r="CQ149" s="9" t="n">
        <f aca="false">(100*CP149)</f>
        <v>7.28476821192053</v>
      </c>
      <c r="CR149" s="18" t="n">
        <v>1</v>
      </c>
      <c r="CS149" s="9" t="n">
        <v>54.6</v>
      </c>
      <c r="CT149" s="9" t="n">
        <v>48.3</v>
      </c>
      <c r="CU149" s="9" t="n">
        <v>49.2</v>
      </c>
      <c r="CV149" s="9" t="n">
        <v>33</v>
      </c>
      <c r="CW149" s="11" t="n">
        <f aca="false">(CS149+CT149+CU149+CV149)/4</f>
        <v>46.275</v>
      </c>
      <c r="CX149" s="9" t="n">
        <v>0</v>
      </c>
      <c r="CY149" s="9" t="n">
        <v>0</v>
      </c>
      <c r="CZ149" s="9" t="n">
        <v>0</v>
      </c>
      <c r="DA149" s="9" t="n">
        <v>0</v>
      </c>
      <c r="DB149" s="11" t="n">
        <f aca="false">(CX149+CY149+CZ149+DA149)/4</f>
        <v>0</v>
      </c>
      <c r="DC149" s="9" t="n">
        <v>0</v>
      </c>
      <c r="DD149" s="9" t="n">
        <v>1</v>
      </c>
      <c r="DE149" s="9" t="n">
        <v>1</v>
      </c>
      <c r="DF149" s="9" t="n">
        <v>1</v>
      </c>
      <c r="DG149" s="11" t="n">
        <f aca="false">(DC149+DD149+DE149+DF149)/4</f>
        <v>0.75</v>
      </c>
      <c r="DH149" s="9" t="n">
        <v>1</v>
      </c>
      <c r="DI149" s="9" t="n">
        <v>1</v>
      </c>
      <c r="DJ149" s="9" t="n">
        <v>1</v>
      </c>
      <c r="DK149" s="9" t="n">
        <v>1</v>
      </c>
      <c r="DL149" s="11" t="n">
        <f aca="false">(DH149+DI149+DJ149+DK149)/4</f>
        <v>1</v>
      </c>
      <c r="DM149" s="9" t="n">
        <v>76</v>
      </c>
      <c r="DN149" s="9" t="n">
        <v>41</v>
      </c>
      <c r="DO149" s="9" t="n">
        <v>146</v>
      </c>
      <c r="DP149" s="9" t="n">
        <v>98</v>
      </c>
      <c r="DQ149" s="11" t="n">
        <f aca="false">(DM149+DN149+DO149+DP149)/4</f>
        <v>90.25</v>
      </c>
      <c r="DR149" s="9" t="n">
        <v>15</v>
      </c>
      <c r="DS149" s="9" t="n">
        <v>5</v>
      </c>
      <c r="DT149" s="9" t="n">
        <v>11</v>
      </c>
      <c r="DU149" s="9" t="n">
        <v>30</v>
      </c>
      <c r="DV149" s="11" t="n">
        <f aca="false">(DR149+DS149+DT149+DU149)/4</f>
        <v>15.25</v>
      </c>
      <c r="DW149" s="9" t="n">
        <v>0</v>
      </c>
      <c r="DX149" s="9" t="n">
        <v>0</v>
      </c>
      <c r="DY149" s="9" t="n">
        <v>0</v>
      </c>
      <c r="DZ149" s="9" t="n">
        <v>0</v>
      </c>
      <c r="EA149" s="11" t="n">
        <f aca="false">(DW149+DX149+DY149+DZ149)/4</f>
        <v>0</v>
      </c>
      <c r="EB149" s="11" t="n">
        <f aca="false">(DW149/DR149)</f>
        <v>0</v>
      </c>
      <c r="EC149" s="11" t="n">
        <f aca="false">(DX149/DS149)</f>
        <v>0</v>
      </c>
      <c r="ED149" s="11" t="n">
        <f aca="false">(DY149/DT149)</f>
        <v>0</v>
      </c>
      <c r="EE149" s="11" t="n">
        <f aca="false">(DZ149/DU149)</f>
        <v>0</v>
      </c>
      <c r="EF149" s="11" t="n">
        <f aca="false">(EA149/DV149)</f>
        <v>0</v>
      </c>
      <c r="EG149" s="11" t="n">
        <f aca="false">(100*EF149)</f>
        <v>0</v>
      </c>
      <c r="EH149" s="9" t="n">
        <v>0</v>
      </c>
      <c r="EI149" s="9" t="n">
        <v>0</v>
      </c>
      <c r="EJ149" s="9" t="n">
        <v>1</v>
      </c>
      <c r="EK149" s="19" t="n">
        <v>10</v>
      </c>
      <c r="EL149" s="9" t="n">
        <v>4</v>
      </c>
      <c r="EM149" s="9" t="n">
        <f aca="false">(EI149+EJ149+EK149+EL149)/4</f>
        <v>3.75</v>
      </c>
      <c r="EN149" s="9" t="n">
        <f aca="false">(EI149/DR149)</f>
        <v>0</v>
      </c>
      <c r="EO149" s="9" t="n">
        <f aca="false">(EJ149/DS149)</f>
        <v>0.2</v>
      </c>
      <c r="EP149" s="9" t="n">
        <f aca="false">(EK149/DT149)</f>
        <v>0.909090909090909</v>
      </c>
      <c r="EQ149" s="9" t="n">
        <f aca="false">(EL149/DU149)</f>
        <v>0.133333333333333</v>
      </c>
      <c r="ER149" s="9" t="n">
        <f aca="false">EM149/DV149</f>
        <v>0.245901639344262</v>
      </c>
      <c r="ES149" s="9" t="n">
        <f aca="false">(100*ER149)</f>
        <v>24.5901639344262</v>
      </c>
      <c r="ET149" s="9" t="n">
        <v>2</v>
      </c>
      <c r="EU149" s="18" t="n">
        <v>4</v>
      </c>
      <c r="EV149" s="9" t="n">
        <v>0</v>
      </c>
      <c r="EW149" s="9" t="n">
        <v>2</v>
      </c>
      <c r="EX149" s="9" t="n">
        <v>2</v>
      </c>
      <c r="EY149" s="11" t="n">
        <f aca="false">(EU149+EV149+EW149+EX149)/4</f>
        <v>2</v>
      </c>
      <c r="EZ149" s="11" t="n">
        <f aca="false">(EU149/DR149)</f>
        <v>0.266666666666667</v>
      </c>
      <c r="FA149" s="11" t="n">
        <f aca="false">(EV149/DS149)</f>
        <v>0</v>
      </c>
      <c r="FB149" s="11" t="n">
        <f aca="false">(EW149/DT149)</f>
        <v>0.181818181818182</v>
      </c>
      <c r="FC149" s="11" t="n">
        <f aca="false">(EX149/DU149)</f>
        <v>0.0666666666666667</v>
      </c>
      <c r="FD149" s="11" t="n">
        <f aca="false">(EY149/DV149)</f>
        <v>0.131147540983607</v>
      </c>
      <c r="FE149" s="11" t="n">
        <f aca="false">(100*FD149)</f>
        <v>13.1147540983607</v>
      </c>
      <c r="FF149" s="9" t="n">
        <v>2</v>
      </c>
      <c r="FG149" s="9" t="n">
        <v>0</v>
      </c>
      <c r="FH149" s="9" t="n">
        <v>8</v>
      </c>
      <c r="FI149" s="9" t="n">
        <v>8</v>
      </c>
      <c r="FJ149" s="9" t="n">
        <v>0</v>
      </c>
      <c r="FK149" s="11" t="n">
        <f aca="false">(FG149+FH149+FI149+FJ149)/4</f>
        <v>4</v>
      </c>
      <c r="FL149" s="11" t="n">
        <f aca="false">(FG149/DR149)</f>
        <v>0</v>
      </c>
      <c r="FM149" s="11" t="n">
        <f aca="false">(FH149/DS149)</f>
        <v>1.6</v>
      </c>
      <c r="FN149" s="11" t="n">
        <f aca="false">(FI149/DT149)</f>
        <v>0.727272727272727</v>
      </c>
      <c r="FO149" s="11" t="n">
        <f aca="false">(FJ149/DU149)</f>
        <v>0</v>
      </c>
      <c r="FP149" s="11" t="n">
        <f aca="false">(FK149/DV149)</f>
        <v>0.262295081967213</v>
      </c>
      <c r="FQ149" s="11" t="n">
        <f aca="false">(100*FP149)</f>
        <v>26.2295081967213</v>
      </c>
      <c r="FR149" s="9" t="n">
        <v>2</v>
      </c>
      <c r="FS149" s="9" t="n">
        <v>41.4</v>
      </c>
      <c r="FT149" s="9" t="n">
        <v>44.3</v>
      </c>
      <c r="FU149" s="9" t="n">
        <v>54.1</v>
      </c>
      <c r="FV149" s="9" t="n">
        <v>58.3</v>
      </c>
      <c r="FW149" s="11" t="n">
        <f aca="false">(FS149+FT149+FU149+FV149)/4</f>
        <v>49.525</v>
      </c>
      <c r="FX149" s="9" t="n">
        <v>0</v>
      </c>
      <c r="FY149" s="9" t="n">
        <v>1</v>
      </c>
      <c r="FZ149" s="9" t="n">
        <v>0</v>
      </c>
      <c r="GA149" s="9" t="n">
        <v>0</v>
      </c>
      <c r="GB149" s="11" t="n">
        <f aca="false">(FX149+FY149+FZ149+GA149)/4</f>
        <v>0.25</v>
      </c>
      <c r="GC149" s="9" t="n">
        <v>1</v>
      </c>
      <c r="GD149" s="9" t="n">
        <v>0</v>
      </c>
      <c r="GE149" s="9" t="n">
        <v>0</v>
      </c>
      <c r="GF149" s="9" t="n">
        <v>0</v>
      </c>
      <c r="GG149" s="11" t="n">
        <f aca="false">(GC149+GD149+GE149+GF149)/4</f>
        <v>0.25</v>
      </c>
      <c r="GH149" s="9" t="n">
        <v>1</v>
      </c>
      <c r="GI149" s="9" t="n">
        <v>1</v>
      </c>
      <c r="GJ149" s="9" t="n">
        <v>1</v>
      </c>
      <c r="GK149" s="9" t="n">
        <v>1</v>
      </c>
      <c r="GL149" s="11" t="n">
        <f aca="false">(GH149+GI149+GJ149+GK149)/4</f>
        <v>1</v>
      </c>
      <c r="GM149" s="9" t="n">
        <v>178</v>
      </c>
      <c r="GN149" s="9" t="n">
        <v>148</v>
      </c>
      <c r="GO149" s="9" t="n">
        <v>48</v>
      </c>
      <c r="GP149" s="9" t="n">
        <v>156</v>
      </c>
      <c r="GQ149" s="11" t="n">
        <f aca="false">(GM149+GN149+GO149+GP149)/4</f>
        <v>132.5</v>
      </c>
      <c r="GR149" s="9" t="n">
        <v>7</v>
      </c>
      <c r="GS149" s="9" t="n">
        <v>21</v>
      </c>
      <c r="GT149" s="9" t="n">
        <v>13</v>
      </c>
      <c r="GU149" s="9" t="n">
        <v>18</v>
      </c>
      <c r="GV149" s="11" t="n">
        <f aca="false">(GR149+GS149+GT149+GU149)/4</f>
        <v>14.75</v>
      </c>
      <c r="GW149" s="9" t="n">
        <v>0</v>
      </c>
      <c r="GX149" s="9" t="n">
        <v>0</v>
      </c>
      <c r="GY149" s="9" t="n">
        <v>1</v>
      </c>
      <c r="GZ149" s="9" t="n">
        <v>0</v>
      </c>
      <c r="HA149" s="11" t="n">
        <f aca="false">(GW149+GX149+GY149+GZ149)/4</f>
        <v>0.25</v>
      </c>
      <c r="HB149" s="9" t="n">
        <f aca="false">(GW149/GR149)</f>
        <v>0</v>
      </c>
      <c r="HC149" s="9" t="n">
        <f aca="false">(GX149/GS149)</f>
        <v>0</v>
      </c>
      <c r="HD149" s="9" t="n">
        <f aca="false">(GY149/GT149)</f>
        <v>0.0769230769230769</v>
      </c>
      <c r="HE149" s="9" t="n">
        <f aca="false">(GZ149/GU149)/4</f>
        <v>0</v>
      </c>
      <c r="HF149" s="9" t="n">
        <f aca="false">(HB149+HC149+HD149+HE149)/4</f>
        <v>0.0192307692307692</v>
      </c>
      <c r="HG149" s="9" t="n">
        <f aca="false">(100*HF149)</f>
        <v>1.92307692307692</v>
      </c>
      <c r="HH149" s="18" t="n">
        <v>1</v>
      </c>
      <c r="HI149" s="9" t="n">
        <v>2</v>
      </c>
      <c r="HJ149" s="9" t="n">
        <v>0</v>
      </c>
      <c r="HK149" s="9" t="n">
        <v>0</v>
      </c>
      <c r="HL149" s="19" t="n">
        <v>0</v>
      </c>
      <c r="HM149" s="9" t="n">
        <f aca="false">(HI149+HJ149+HK149+HL149)/4</f>
        <v>0.5</v>
      </c>
      <c r="HN149" s="9" t="n">
        <f aca="false">(HI149/GR149)</f>
        <v>0.285714285714286</v>
      </c>
      <c r="HO149" s="9" t="n">
        <f aca="false">(HJ149/GS149)</f>
        <v>0</v>
      </c>
      <c r="HP149" s="9" t="n">
        <f aca="false">(HK149/GT149)</f>
        <v>0</v>
      </c>
      <c r="HQ149" s="9" t="n">
        <f aca="false">(HL149/GU149)</f>
        <v>0</v>
      </c>
      <c r="HR149" s="9" t="n">
        <f aca="false">(HM149/GV149)</f>
        <v>0.0338983050847458</v>
      </c>
      <c r="HS149" s="9" t="n">
        <f aca="false">(100*HR149)</f>
        <v>3.38983050847458</v>
      </c>
      <c r="HT149" s="18" t="n">
        <v>1</v>
      </c>
      <c r="HU149" s="9" t="n">
        <v>1</v>
      </c>
      <c r="HV149" s="9" t="n">
        <v>4</v>
      </c>
      <c r="HW149" s="9" t="n">
        <v>0</v>
      </c>
      <c r="HX149" s="19" t="n">
        <v>9</v>
      </c>
      <c r="HY149" s="9" t="n">
        <f aca="false">(HU149+HV149+HW149+HX149)/4</f>
        <v>3.5</v>
      </c>
      <c r="HZ149" s="9" t="n">
        <f aca="false">(HU149/GR149)</f>
        <v>0.142857142857143</v>
      </c>
      <c r="IA149" s="9" t="n">
        <f aca="false">HV149/GS149</f>
        <v>0.19047619047619</v>
      </c>
      <c r="IB149" s="9" t="n">
        <f aca="false">(HW149/GT149)</f>
        <v>0</v>
      </c>
      <c r="IC149" s="9" t="n">
        <f aca="false">(HX149/GU149)</f>
        <v>0.5</v>
      </c>
      <c r="ID149" s="9" t="n">
        <f aca="false">(HY149/GV149)</f>
        <v>0.23728813559322</v>
      </c>
      <c r="IE149" s="9" t="n">
        <f aca="false">(100*ID149)</f>
        <v>23.728813559322</v>
      </c>
      <c r="IF149" s="18" t="n">
        <v>2</v>
      </c>
      <c r="IG149" s="9" t="n">
        <v>101</v>
      </c>
      <c r="IH149" s="9" t="n">
        <v>3</v>
      </c>
      <c r="II149" s="19" t="n">
        <v>5</v>
      </c>
      <c r="IJ149" s="9" t="n">
        <v>2</v>
      </c>
      <c r="IK149" s="9" t="n">
        <f aca="false">(IG149+IH149+II149+IJ149)/4</f>
        <v>27.75</v>
      </c>
      <c r="IL149" s="9" t="n">
        <f aca="false">(IG149/GM149)</f>
        <v>0.567415730337079</v>
      </c>
      <c r="IM149" s="9" t="n">
        <f aca="false">(IH149/GN149)</f>
        <v>0.0202702702702703</v>
      </c>
      <c r="IN149" s="9" t="n">
        <f aca="false">(II149/GO149)</f>
        <v>0.104166666666667</v>
      </c>
      <c r="IO149" s="9" t="n">
        <f aca="false">(IJ149/GP149)</f>
        <v>0.0128205128205128</v>
      </c>
      <c r="IP149" s="9" t="n">
        <f aca="false">(IK149/GQ149)</f>
        <v>0.209433962264151</v>
      </c>
      <c r="IQ149" s="9" t="n">
        <f aca="false">(100*IP149)</f>
        <v>20.9433962264151</v>
      </c>
      <c r="IR149" s="18" t="n">
        <v>2</v>
      </c>
      <c r="IS149" s="9" t="n">
        <v>47.9</v>
      </c>
      <c r="IT149" s="9" t="n">
        <v>46.6</v>
      </c>
      <c r="IU149" s="19" t="n">
        <v>54</v>
      </c>
      <c r="IV149" s="9" t="n">
        <v>55.2</v>
      </c>
      <c r="IW149" s="9" t="n">
        <f aca="false">(IS149+IT149+IU149+IV149)/4</f>
        <v>50.925</v>
      </c>
      <c r="IX149" s="16" t="n">
        <v>45210</v>
      </c>
      <c r="IY149" s="10" t="s">
        <v>268</v>
      </c>
    </row>
    <row r="150" customFormat="false" ht="15.75" hidden="false" customHeight="true" outlineLevel="0" collapsed="false">
      <c r="A150" s="9" t="s">
        <v>370</v>
      </c>
      <c r="B150" s="10" t="s">
        <v>609</v>
      </c>
      <c r="C150" s="10" t="s">
        <v>514</v>
      </c>
      <c r="D150" s="9" t="n">
        <v>2</v>
      </c>
      <c r="E150" s="9" t="n">
        <v>50</v>
      </c>
      <c r="F150" s="10" t="s">
        <v>614</v>
      </c>
      <c r="G150" s="10" t="s">
        <v>297</v>
      </c>
      <c r="H150" s="9" t="n">
        <v>20</v>
      </c>
      <c r="I150" s="9" t="n">
        <v>11</v>
      </c>
      <c r="J150" s="12" t="s">
        <v>270</v>
      </c>
      <c r="K150" s="20"/>
      <c r="L150" s="20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 t="n">
        <v>0</v>
      </c>
      <c r="Y150" s="9" t="n">
        <v>1</v>
      </c>
      <c r="Z150" s="9" t="n">
        <v>0</v>
      </c>
      <c r="AA150" s="9" t="n">
        <v>0</v>
      </c>
      <c r="AB150" s="11" t="n">
        <f aca="false">(X150+Y150+Z150+AA150)/4</f>
        <v>0.25</v>
      </c>
      <c r="AC150" s="9" t="n">
        <v>0</v>
      </c>
      <c r="AD150" s="9" t="n">
        <v>1</v>
      </c>
      <c r="AE150" s="9" t="n">
        <v>1</v>
      </c>
      <c r="AF150" s="9" t="n">
        <v>1</v>
      </c>
      <c r="AG150" s="11" t="n">
        <f aca="false">(AC150+AD150+AE150+AF150)/4</f>
        <v>0.75</v>
      </c>
      <c r="AH150" s="9" t="n">
        <v>1</v>
      </c>
      <c r="AI150" s="9" t="n">
        <v>1</v>
      </c>
      <c r="AJ150" s="9" t="n">
        <v>1</v>
      </c>
      <c r="AK150" s="9" t="n">
        <v>1</v>
      </c>
      <c r="AL150" s="11" t="n">
        <f aca="false">(AH150+AI150+AJ150+AK150)/4</f>
        <v>1</v>
      </c>
      <c r="AM150" s="9" t="n">
        <v>56</v>
      </c>
      <c r="AN150" s="9" t="n">
        <v>20</v>
      </c>
      <c r="AO150" s="9" t="n">
        <v>68</v>
      </c>
      <c r="AP150" s="9" t="n">
        <v>54</v>
      </c>
      <c r="AQ150" s="11" t="n">
        <f aca="false">(AM150+AN150+AO150+AP150)/4</f>
        <v>49.5</v>
      </c>
      <c r="AR150" s="9" t="n">
        <v>8</v>
      </c>
      <c r="AS150" s="9" t="n">
        <v>16</v>
      </c>
      <c r="AT150" s="9" t="n">
        <v>5</v>
      </c>
      <c r="AU150" s="9" t="n">
        <v>11</v>
      </c>
      <c r="AV150" s="11" t="n">
        <f aca="false">(AR150+AS150+AT150+AU150)/4</f>
        <v>10</v>
      </c>
      <c r="AW150" s="9" t="n">
        <v>0</v>
      </c>
      <c r="AX150" s="9" t="n">
        <v>1</v>
      </c>
      <c r="AY150" s="9" t="n">
        <v>0</v>
      </c>
      <c r="AZ150" s="9" t="n">
        <v>0</v>
      </c>
      <c r="BA150" s="11" t="n">
        <f aca="false">(AW150+AX150+AY150+AZ150)/4</f>
        <v>0.25</v>
      </c>
      <c r="BB150" s="11" t="n">
        <f aca="false">(AW150/AR150)</f>
        <v>0</v>
      </c>
      <c r="BC150" s="11" t="n">
        <f aca="false">(AX150/AS150)</f>
        <v>0.0625</v>
      </c>
      <c r="BD150" s="11" t="n">
        <f aca="false">(AY150/AT150)</f>
        <v>0</v>
      </c>
      <c r="BE150" s="11" t="n">
        <f aca="false">(AZ150/AU150)</f>
        <v>0</v>
      </c>
      <c r="BF150" s="11" t="n">
        <f aca="false">(BA150/AV150)</f>
        <v>0.025</v>
      </c>
      <c r="BG150" s="11" t="n">
        <f aca="false">(BF150*100)</f>
        <v>2.5</v>
      </c>
      <c r="BH150" s="9" t="n">
        <v>1</v>
      </c>
      <c r="BI150" s="9" t="n">
        <v>0</v>
      </c>
      <c r="BJ150" s="9" t="n">
        <v>4</v>
      </c>
      <c r="BK150" s="9" t="n">
        <v>2</v>
      </c>
      <c r="BL150" s="9" t="n">
        <v>2</v>
      </c>
      <c r="BM150" s="11" t="n">
        <f aca="false">(BI150+BJ150+BK150+BL150)/4</f>
        <v>2</v>
      </c>
      <c r="BN150" s="11" t="n">
        <f aca="false">(BI150/AR150)</f>
        <v>0</v>
      </c>
      <c r="BO150" s="11" t="n">
        <f aca="false">(BJ150/AS150)</f>
        <v>0.25</v>
      </c>
      <c r="BP150" s="11" t="n">
        <f aca="false">(BK150/AT150)</f>
        <v>0.4</v>
      </c>
      <c r="BQ150" s="11" t="n">
        <f aca="false">(BL150/AU150)</f>
        <v>0.181818181818182</v>
      </c>
      <c r="BR150" s="11" t="n">
        <f aca="false">(BM150/AV150)</f>
        <v>0.2</v>
      </c>
      <c r="BS150" s="11" t="n">
        <f aca="false">(100*BR150)</f>
        <v>20</v>
      </c>
      <c r="BT150" s="9" t="n">
        <v>2</v>
      </c>
      <c r="BU150" s="9" t="n">
        <v>0</v>
      </c>
      <c r="BV150" s="9" t="n">
        <v>4</v>
      </c>
      <c r="BW150" s="9" t="n">
        <v>0</v>
      </c>
      <c r="BX150" s="9" t="n">
        <v>0</v>
      </c>
      <c r="BY150" s="11" t="n">
        <f aca="false">(BU150+BV150+BW150+BX150)/4</f>
        <v>1</v>
      </c>
      <c r="BZ150" s="11" t="n">
        <f aca="false">(BU150/AR150)</f>
        <v>0</v>
      </c>
      <c r="CA150" s="11" t="n">
        <f aca="false">(BV150/AS150)</f>
        <v>0.25</v>
      </c>
      <c r="CB150" s="11" t="n">
        <f aca="false">(BW150/AT150)</f>
        <v>0</v>
      </c>
      <c r="CC150" s="11" t="n">
        <f aca="false">(BX150/AU150)</f>
        <v>0</v>
      </c>
      <c r="CD150" s="11" t="n">
        <f aca="false">(BY150/AV150)</f>
        <v>0.1</v>
      </c>
      <c r="CE150" s="11" t="n">
        <f aca="false">(100*CD150)</f>
        <v>10</v>
      </c>
      <c r="CF150" s="9" t="n">
        <v>2</v>
      </c>
      <c r="CG150" s="9" t="n">
        <v>9</v>
      </c>
      <c r="CH150" s="9" t="n">
        <v>0</v>
      </c>
      <c r="CI150" s="9" t="n">
        <v>12</v>
      </c>
      <c r="CJ150" s="9" t="n">
        <v>2</v>
      </c>
      <c r="CK150" s="11" t="n">
        <f aca="false">(CG150+CH150+CI150+CJ150)/4</f>
        <v>5.75</v>
      </c>
      <c r="CL150" s="11" t="n">
        <f aca="false">(CG150/AM150)</f>
        <v>0.160714285714286</v>
      </c>
      <c r="CM150" s="11" t="n">
        <f aca="false">(CH150/AN150)</f>
        <v>0</v>
      </c>
      <c r="CN150" s="11" t="n">
        <f aca="false">(CI150/AO150)</f>
        <v>0.176470588235294</v>
      </c>
      <c r="CO150" s="9" t="n">
        <f aca="false">(CJ150/AP150)</f>
        <v>0.037037037037037</v>
      </c>
      <c r="CP150" s="9" t="n">
        <f aca="false">(CK150/AQ150)</f>
        <v>0.116161616161616</v>
      </c>
      <c r="CQ150" s="9" t="n">
        <f aca="false">(100*CP150)</f>
        <v>11.6161616161616</v>
      </c>
      <c r="CR150" s="18" t="n">
        <v>2</v>
      </c>
      <c r="CS150" s="9" t="n">
        <v>48</v>
      </c>
      <c r="CT150" s="9" t="n">
        <v>63.4</v>
      </c>
      <c r="CU150" s="9" t="n">
        <v>51.7</v>
      </c>
      <c r="CV150" s="9" t="n">
        <v>52.8</v>
      </c>
      <c r="CW150" s="11" t="n">
        <f aca="false">(CS150+CT150+CU150+CV150)/4</f>
        <v>53.975</v>
      </c>
      <c r="CX150" s="9" t="n">
        <v>0</v>
      </c>
      <c r="CY150" s="9" t="n">
        <v>0</v>
      </c>
      <c r="CZ150" s="9" t="n">
        <v>0</v>
      </c>
      <c r="DA150" s="9" t="n">
        <v>0</v>
      </c>
      <c r="DB150" s="11" t="n">
        <f aca="false">(CX150+CY150+CZ150+DA150)/4</f>
        <v>0</v>
      </c>
      <c r="DC150" s="9" t="n">
        <v>1</v>
      </c>
      <c r="DD150" s="9" t="n">
        <v>1</v>
      </c>
      <c r="DE150" s="9" t="n">
        <v>1</v>
      </c>
      <c r="DF150" s="9" t="n">
        <v>0</v>
      </c>
      <c r="DG150" s="11" t="n">
        <f aca="false">(DC150+DD150+DE150+DF150)/4</f>
        <v>0.75</v>
      </c>
      <c r="DH150" s="9" t="n">
        <v>1</v>
      </c>
      <c r="DI150" s="9" t="n">
        <v>1</v>
      </c>
      <c r="DJ150" s="9" t="n">
        <v>1</v>
      </c>
      <c r="DK150" s="9" t="n">
        <v>1</v>
      </c>
      <c r="DL150" s="11" t="n">
        <f aca="false">(DH150+DI150+DJ150+DK150)/4</f>
        <v>1</v>
      </c>
      <c r="DM150" s="9" t="n">
        <v>154</v>
      </c>
      <c r="DN150" s="9" t="n">
        <v>62</v>
      </c>
      <c r="DO150" s="9" t="n">
        <v>78</v>
      </c>
      <c r="DP150" s="9" t="n">
        <v>17</v>
      </c>
      <c r="DQ150" s="11" t="n">
        <f aca="false">(DM150+DN150+DO150+DP150)/4</f>
        <v>77.75</v>
      </c>
      <c r="DR150" s="9" t="n">
        <v>13</v>
      </c>
      <c r="DS150" s="9" t="n">
        <v>15</v>
      </c>
      <c r="DT150" s="9" t="n">
        <v>48</v>
      </c>
      <c r="DU150" s="9" t="n">
        <v>32</v>
      </c>
      <c r="DV150" s="11" t="n">
        <f aca="false">(DR150+DS150+DT150+DU150)/4</f>
        <v>27</v>
      </c>
      <c r="DW150" s="9" t="n">
        <v>0</v>
      </c>
      <c r="DX150" s="9" t="n">
        <v>0</v>
      </c>
      <c r="DY150" s="9" t="n">
        <v>0</v>
      </c>
      <c r="DZ150" s="9" t="n">
        <v>0</v>
      </c>
      <c r="EA150" s="11" t="n">
        <f aca="false">(DW150+DX150+DY150+DZ150)/4</f>
        <v>0</v>
      </c>
      <c r="EB150" s="11" t="n">
        <f aca="false">(DW150/DR150)</f>
        <v>0</v>
      </c>
      <c r="EC150" s="11" t="n">
        <f aca="false">(DX150/DS150)</f>
        <v>0</v>
      </c>
      <c r="ED150" s="11" t="n">
        <f aca="false">(DY150/DT150)</f>
        <v>0</v>
      </c>
      <c r="EE150" s="11" t="n">
        <f aca="false">(DZ150/DU150)</f>
        <v>0</v>
      </c>
      <c r="EF150" s="11" t="n">
        <f aca="false">(EA150/DV150)</f>
        <v>0</v>
      </c>
      <c r="EG150" s="11" t="n">
        <f aca="false">(100*EF150)</f>
        <v>0</v>
      </c>
      <c r="EH150" s="9" t="n">
        <v>0</v>
      </c>
      <c r="EI150" s="9" t="n">
        <v>3</v>
      </c>
      <c r="EJ150" s="9" t="n">
        <v>2</v>
      </c>
      <c r="EK150" s="19" t="n">
        <v>2</v>
      </c>
      <c r="EL150" s="9" t="n">
        <v>0</v>
      </c>
      <c r="EM150" s="9" t="n">
        <f aca="false">(EI150+EJ150+EK150+EL150)/4</f>
        <v>1.75</v>
      </c>
      <c r="EN150" s="9" t="n">
        <f aca="false">(EI150/DR150)</f>
        <v>0.230769230769231</v>
      </c>
      <c r="EO150" s="9" t="n">
        <f aca="false">(EJ150/DS150)</f>
        <v>0.133333333333333</v>
      </c>
      <c r="EP150" s="9" t="n">
        <f aca="false">(EK150/DT150)</f>
        <v>0.0416666666666667</v>
      </c>
      <c r="EQ150" s="9" t="n">
        <f aca="false">(EL150/DU150)</f>
        <v>0</v>
      </c>
      <c r="ER150" s="9" t="n">
        <f aca="false">EM150/DV150</f>
        <v>0.0648148148148148</v>
      </c>
      <c r="ES150" s="9" t="n">
        <f aca="false">(100*ER150)</f>
        <v>6.48148148148148</v>
      </c>
      <c r="ET150" s="9" t="n">
        <v>1</v>
      </c>
      <c r="EU150" s="18" t="n">
        <v>1</v>
      </c>
      <c r="EV150" s="9" t="n">
        <v>0</v>
      </c>
      <c r="EW150" s="9" t="n">
        <v>0</v>
      </c>
      <c r="EX150" s="9" t="n">
        <v>0</v>
      </c>
      <c r="EY150" s="11" t="n">
        <f aca="false">(EU150+EV150+EW150+EX150)/4</f>
        <v>0.25</v>
      </c>
      <c r="EZ150" s="11" t="n">
        <f aca="false">(EU150/DR150)</f>
        <v>0.0769230769230769</v>
      </c>
      <c r="FA150" s="11" t="n">
        <f aca="false">(EV150/DS150)</f>
        <v>0</v>
      </c>
      <c r="FB150" s="11" t="n">
        <f aca="false">(EW150/DT150)</f>
        <v>0</v>
      </c>
      <c r="FC150" s="11" t="n">
        <f aca="false">(EX150/DU150)</f>
        <v>0</v>
      </c>
      <c r="FD150" s="11" t="n">
        <f aca="false">(EY150/DV150)</f>
        <v>0.00925925925925926</v>
      </c>
      <c r="FE150" s="11" t="n">
        <f aca="false">(100*FD150)</f>
        <v>0.925925925925926</v>
      </c>
      <c r="FF150" s="9" t="n">
        <v>1</v>
      </c>
      <c r="FG150" s="9" t="n">
        <v>3</v>
      </c>
      <c r="FH150" s="9" t="n">
        <v>3</v>
      </c>
      <c r="FI150" s="9" t="n">
        <v>9</v>
      </c>
      <c r="FJ150" s="9" t="n">
        <v>2</v>
      </c>
      <c r="FK150" s="11" t="n">
        <f aca="false">(FG150+FH150+FI150+FJ150)/4</f>
        <v>4.25</v>
      </c>
      <c r="FL150" s="11" t="n">
        <f aca="false">(FG150/DR150)</f>
        <v>0.230769230769231</v>
      </c>
      <c r="FM150" s="11" t="n">
        <f aca="false">(FH150/DS150)</f>
        <v>0.2</v>
      </c>
      <c r="FN150" s="11" t="n">
        <f aca="false">(FI150/DT150)</f>
        <v>0.1875</v>
      </c>
      <c r="FO150" s="11" t="n">
        <f aca="false">(FJ150/DU150)</f>
        <v>0.0625</v>
      </c>
      <c r="FP150" s="11" t="n">
        <f aca="false">(FK150/DV150)</f>
        <v>0.157407407407407</v>
      </c>
      <c r="FQ150" s="11" t="n">
        <f aca="false">(100*FP150)</f>
        <v>15.7407407407407</v>
      </c>
      <c r="FR150" s="9" t="n">
        <v>2</v>
      </c>
      <c r="FS150" s="9" t="n">
        <v>61.5</v>
      </c>
      <c r="FT150" s="9" t="n">
        <v>49.2</v>
      </c>
      <c r="FU150" s="9" t="n">
        <v>58.1</v>
      </c>
      <c r="FV150" s="9" t="n">
        <v>49.5</v>
      </c>
      <c r="FW150" s="11" t="n">
        <f aca="false">(FS150+FT150+FU150+FV150)/4</f>
        <v>54.575</v>
      </c>
      <c r="FX150" s="9" t="n">
        <v>0</v>
      </c>
      <c r="FY150" s="9" t="n">
        <v>0</v>
      </c>
      <c r="FZ150" s="9" t="n">
        <v>1</v>
      </c>
      <c r="GA150" s="9" t="n">
        <v>0</v>
      </c>
      <c r="GB150" s="11" t="n">
        <f aca="false">(FX150+FY150+FZ150+GA150)/4</f>
        <v>0.25</v>
      </c>
      <c r="GC150" s="9" t="n">
        <v>1</v>
      </c>
      <c r="GD150" s="9" t="n">
        <v>1</v>
      </c>
      <c r="GE150" s="9" t="n">
        <v>0</v>
      </c>
      <c r="GF150" s="9" t="n">
        <v>0</v>
      </c>
      <c r="GG150" s="11" t="n">
        <f aca="false">(GC150+GD150+GE150+GF150)/4</f>
        <v>0.5</v>
      </c>
      <c r="GH150" s="9" t="n">
        <v>1</v>
      </c>
      <c r="GI150" s="9" t="n">
        <v>1</v>
      </c>
      <c r="GJ150" s="9" t="n">
        <v>1</v>
      </c>
      <c r="GK150" s="9" t="n">
        <v>1</v>
      </c>
      <c r="GL150" s="11" t="n">
        <f aca="false">(GH150+GI150+GJ150+GK150)/4</f>
        <v>1</v>
      </c>
      <c r="GM150" s="9" t="n">
        <v>116</v>
      </c>
      <c r="GN150" s="9" t="n">
        <v>56</v>
      </c>
      <c r="GO150" s="9" t="n">
        <v>30</v>
      </c>
      <c r="GP150" s="9" t="n">
        <v>152</v>
      </c>
      <c r="GQ150" s="11" t="n">
        <f aca="false">(GM150+GN150+GO150+GP150)/4</f>
        <v>88.5</v>
      </c>
      <c r="GR150" s="9" t="n">
        <v>17</v>
      </c>
      <c r="GS150" s="9" t="n">
        <v>15</v>
      </c>
      <c r="GT150" s="9" t="n">
        <v>9</v>
      </c>
      <c r="GU150" s="9" t="n">
        <v>32</v>
      </c>
      <c r="GV150" s="11" t="n">
        <f aca="false">(GR150+GS150+GT150+GU150)/4</f>
        <v>18.25</v>
      </c>
      <c r="GW150" s="9" t="n">
        <v>0</v>
      </c>
      <c r="GX150" s="9" t="n">
        <v>0</v>
      </c>
      <c r="GY150" s="9" t="n">
        <v>1</v>
      </c>
      <c r="GZ150" s="9" t="n">
        <v>0</v>
      </c>
      <c r="HA150" s="11" t="n">
        <f aca="false">(GW150+GX150+GY150+GZ150)/4</f>
        <v>0.25</v>
      </c>
      <c r="HB150" s="9" t="n">
        <f aca="false">(GW150/GR150)</f>
        <v>0</v>
      </c>
      <c r="HC150" s="9" t="n">
        <f aca="false">(GX150/GS150)</f>
        <v>0</v>
      </c>
      <c r="HD150" s="9" t="n">
        <f aca="false">(GY150/GT150)</f>
        <v>0.111111111111111</v>
      </c>
      <c r="HE150" s="9" t="n">
        <f aca="false">(GZ150/GU150)/4</f>
        <v>0</v>
      </c>
      <c r="HF150" s="9" t="n">
        <f aca="false">(HB150+HC150+HD150+HE150)/4</f>
        <v>0.0277777777777778</v>
      </c>
      <c r="HG150" s="9" t="n">
        <f aca="false">(100*HF150)</f>
        <v>2.77777777777778</v>
      </c>
      <c r="HH150" s="18" t="n">
        <v>1</v>
      </c>
      <c r="HI150" s="9" t="n">
        <v>3</v>
      </c>
      <c r="HJ150" s="9" t="n">
        <v>3</v>
      </c>
      <c r="HK150" s="9" t="n">
        <v>0</v>
      </c>
      <c r="HL150" s="19" t="n">
        <v>0</v>
      </c>
      <c r="HM150" s="9" t="n">
        <f aca="false">(HI150+HJ150+HK150+HL150)/4</f>
        <v>1.5</v>
      </c>
      <c r="HN150" s="9" t="n">
        <f aca="false">(HI150/GR150)</f>
        <v>0.176470588235294</v>
      </c>
      <c r="HO150" s="9" t="n">
        <f aca="false">(HJ150/GS150)</f>
        <v>0.2</v>
      </c>
      <c r="HP150" s="9" t="n">
        <f aca="false">(HK150/GT150)</f>
        <v>0</v>
      </c>
      <c r="HQ150" s="9" t="n">
        <f aca="false">(HL150/GU150)</f>
        <v>0</v>
      </c>
      <c r="HR150" s="9" t="n">
        <f aca="false">(HM150/GV150)</f>
        <v>0.0821917808219178</v>
      </c>
      <c r="HS150" s="9" t="n">
        <f aca="false">(100*HR150)</f>
        <v>8.21917808219178</v>
      </c>
      <c r="HT150" s="18" t="n">
        <v>1</v>
      </c>
      <c r="HU150" s="9" t="n">
        <v>0</v>
      </c>
      <c r="HV150" s="9" t="n">
        <v>0</v>
      </c>
      <c r="HW150" s="9" t="n">
        <v>0</v>
      </c>
      <c r="HX150" s="19" t="n">
        <v>0</v>
      </c>
      <c r="HY150" s="9" t="n">
        <f aca="false">(HU150+HV150+HW150+HX150)/4</f>
        <v>0</v>
      </c>
      <c r="HZ150" s="9" t="n">
        <f aca="false">(HU150/GR150)</f>
        <v>0</v>
      </c>
      <c r="IA150" s="9" t="n">
        <f aca="false">HV150/GS150</f>
        <v>0</v>
      </c>
      <c r="IB150" s="9" t="n">
        <f aca="false">(HW150/GT150)</f>
        <v>0</v>
      </c>
      <c r="IC150" s="9" t="n">
        <f aca="false">(HX150/GU150)</f>
        <v>0</v>
      </c>
      <c r="ID150" s="9" t="n">
        <f aca="false">(HY150/GV150)</f>
        <v>0</v>
      </c>
      <c r="IE150" s="9" t="n">
        <f aca="false">(100*ID150)</f>
        <v>0</v>
      </c>
      <c r="IF150" s="18" t="n">
        <v>0</v>
      </c>
      <c r="IG150" s="9" t="n">
        <v>3</v>
      </c>
      <c r="IH150" s="9" t="n">
        <v>7</v>
      </c>
      <c r="II150" s="19" t="n">
        <v>11</v>
      </c>
      <c r="IJ150" s="9" t="n">
        <v>18</v>
      </c>
      <c r="IK150" s="9" t="n">
        <f aca="false">(IG150+IH150+II150+IJ150)/4</f>
        <v>9.75</v>
      </c>
      <c r="IL150" s="9" t="n">
        <f aca="false">(IG150/GM150)</f>
        <v>0.0258620689655172</v>
      </c>
      <c r="IM150" s="9" t="n">
        <f aca="false">(IH150/GN150)</f>
        <v>0.125</v>
      </c>
      <c r="IN150" s="9" t="n">
        <f aca="false">(II150/GO150)</f>
        <v>0.366666666666667</v>
      </c>
      <c r="IO150" s="9" t="n">
        <f aca="false">(IJ150/GP150)</f>
        <v>0.118421052631579</v>
      </c>
      <c r="IP150" s="9" t="n">
        <f aca="false">(IK150/GQ150)</f>
        <v>0.110169491525424</v>
      </c>
      <c r="IQ150" s="9" t="n">
        <f aca="false">(100*IP150)</f>
        <v>11.0169491525424</v>
      </c>
      <c r="IR150" s="18" t="n">
        <v>2</v>
      </c>
      <c r="IS150" s="9" t="n">
        <v>56.9</v>
      </c>
      <c r="IT150" s="9" t="n">
        <v>57.2</v>
      </c>
      <c r="IU150" s="19" t="n">
        <v>47.5</v>
      </c>
      <c r="IV150" s="9" t="n">
        <v>55.3</v>
      </c>
      <c r="IW150" s="9" t="n">
        <f aca="false">(IS150+IT150+IU150+IV150)/4</f>
        <v>54.225</v>
      </c>
      <c r="IX150" s="16" t="n">
        <v>45210</v>
      </c>
      <c r="IY150" s="10" t="s">
        <v>268</v>
      </c>
    </row>
    <row r="151" customFormat="false" ht="15.75" hidden="false" customHeight="true" outlineLevel="0" collapsed="false">
      <c r="A151" s="9" t="s">
        <v>370</v>
      </c>
      <c r="B151" s="10" t="s">
        <v>609</v>
      </c>
      <c r="C151" s="10" t="s">
        <v>514</v>
      </c>
      <c r="D151" s="9" t="n">
        <v>2</v>
      </c>
      <c r="E151" s="9" t="n">
        <v>50</v>
      </c>
      <c r="F151" s="10" t="s">
        <v>615</v>
      </c>
      <c r="G151" s="10" t="s">
        <v>297</v>
      </c>
      <c r="H151" s="9" t="n">
        <v>20</v>
      </c>
      <c r="I151" s="9" t="n">
        <v>19</v>
      </c>
      <c r="J151" s="10" t="s">
        <v>272</v>
      </c>
      <c r="K151" s="20"/>
      <c r="L151" s="20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 t="n">
        <v>0</v>
      </c>
      <c r="Y151" s="9" t="n">
        <v>0</v>
      </c>
      <c r="Z151" s="9" t="n">
        <v>0</v>
      </c>
      <c r="AA151" s="9" t="n">
        <v>0</v>
      </c>
      <c r="AB151" s="11" t="n">
        <f aca="false">(X151+Y151+Z151+AA151)/4</f>
        <v>0</v>
      </c>
      <c r="AC151" s="9" t="n">
        <v>1</v>
      </c>
      <c r="AD151" s="9" t="n">
        <v>1</v>
      </c>
      <c r="AE151" s="9" t="n">
        <v>1</v>
      </c>
      <c r="AF151" s="9" t="n">
        <v>1</v>
      </c>
      <c r="AG151" s="11" t="n">
        <f aca="false">(AC151+AD151+AE151+AF151)/4</f>
        <v>1</v>
      </c>
      <c r="AH151" s="9" t="n">
        <v>1</v>
      </c>
      <c r="AI151" s="9" t="n">
        <v>1</v>
      </c>
      <c r="AJ151" s="9" t="n">
        <v>1</v>
      </c>
      <c r="AK151" s="9" t="n">
        <v>1</v>
      </c>
      <c r="AL151" s="11" t="n">
        <f aca="false">(AH151+AI151+AJ151+AK151)/4</f>
        <v>1</v>
      </c>
      <c r="AM151" s="9" t="n">
        <v>62</v>
      </c>
      <c r="AN151" s="9" t="n">
        <v>18</v>
      </c>
      <c r="AO151" s="9" t="n">
        <v>72</v>
      </c>
      <c r="AP151" s="9" t="n">
        <v>76</v>
      </c>
      <c r="AQ151" s="11" t="n">
        <f aca="false">(AM151+AN151+AO151+AP151)/4</f>
        <v>57</v>
      </c>
      <c r="AR151" s="9" t="n">
        <v>26</v>
      </c>
      <c r="AS151" s="9" t="n">
        <v>8</v>
      </c>
      <c r="AT151" s="9" t="n">
        <v>13</v>
      </c>
      <c r="AU151" s="9" t="n">
        <v>10</v>
      </c>
      <c r="AV151" s="11" t="n">
        <f aca="false">(AR151+AS151+AT151+AU151)/4</f>
        <v>14.25</v>
      </c>
      <c r="AW151" s="9" t="n">
        <v>0</v>
      </c>
      <c r="AX151" s="9" t="n">
        <v>0</v>
      </c>
      <c r="AY151" s="9" t="n">
        <v>0</v>
      </c>
      <c r="AZ151" s="9" t="n">
        <v>0</v>
      </c>
      <c r="BA151" s="11" t="n">
        <f aca="false">(AW151+AX151+AY151+AZ151)/4</f>
        <v>0</v>
      </c>
      <c r="BB151" s="11" t="n">
        <f aca="false">(AW151/AR151)</f>
        <v>0</v>
      </c>
      <c r="BC151" s="11" t="n">
        <f aca="false">(AX151/AS151)</f>
        <v>0</v>
      </c>
      <c r="BD151" s="11" t="n">
        <f aca="false">(AY151/AT151)</f>
        <v>0</v>
      </c>
      <c r="BE151" s="11" t="n">
        <f aca="false">(AZ151/AU151)</f>
        <v>0</v>
      </c>
      <c r="BF151" s="11" t="n">
        <f aca="false">(BA151/AV151)</f>
        <v>0</v>
      </c>
      <c r="BG151" s="11" t="n">
        <f aca="false">(BF151*100)</f>
        <v>0</v>
      </c>
      <c r="BH151" s="9" t="n">
        <v>0</v>
      </c>
      <c r="BI151" s="9" t="n">
        <v>2</v>
      </c>
      <c r="BJ151" s="9" t="n">
        <v>1</v>
      </c>
      <c r="BK151" s="9" t="n">
        <v>1</v>
      </c>
      <c r="BL151" s="9" t="n">
        <v>2</v>
      </c>
      <c r="BM151" s="11" t="n">
        <f aca="false">(BI151+BJ151+BK151+BL151)/4</f>
        <v>1.5</v>
      </c>
      <c r="BN151" s="11" t="n">
        <f aca="false">(BI151/AR151)</f>
        <v>0.0769230769230769</v>
      </c>
      <c r="BO151" s="11" t="n">
        <f aca="false">(BJ151/AS151)</f>
        <v>0.125</v>
      </c>
      <c r="BP151" s="11" t="n">
        <f aca="false">(BK151/AT151)</f>
        <v>0.0769230769230769</v>
      </c>
      <c r="BQ151" s="11" t="n">
        <f aca="false">(BL151/AU151)</f>
        <v>0.2</v>
      </c>
      <c r="BR151" s="11" t="n">
        <f aca="false">(BM151/AV151)</f>
        <v>0.105263157894737</v>
      </c>
      <c r="BS151" s="11" t="n">
        <f aca="false">(100*BR151)</f>
        <v>10.5263157894737</v>
      </c>
      <c r="BT151" s="9" t="n">
        <v>2</v>
      </c>
      <c r="BU151" s="9" t="n">
        <v>6</v>
      </c>
      <c r="BV151" s="9" t="n">
        <v>4</v>
      </c>
      <c r="BW151" s="9" t="n">
        <v>0</v>
      </c>
      <c r="BX151" s="9" t="n">
        <v>0</v>
      </c>
      <c r="BY151" s="11" t="n">
        <f aca="false">(BU151+BV151+BW151+BX151)/4</f>
        <v>2.5</v>
      </c>
      <c r="BZ151" s="11" t="n">
        <f aca="false">(BU151/AR151)</f>
        <v>0.230769230769231</v>
      </c>
      <c r="CA151" s="11" t="n">
        <f aca="false">(BV151/AS151)</f>
        <v>0.5</v>
      </c>
      <c r="CB151" s="11" t="n">
        <f aca="false">(BW151/AT151)</f>
        <v>0</v>
      </c>
      <c r="CC151" s="11" t="n">
        <f aca="false">(BX151/AU151)</f>
        <v>0</v>
      </c>
      <c r="CD151" s="11" t="n">
        <f aca="false">(BY151/AV151)</f>
        <v>0.175438596491228</v>
      </c>
      <c r="CE151" s="11" t="n">
        <f aca="false">(100*CD151)</f>
        <v>17.5438596491228</v>
      </c>
      <c r="CF151" s="9" t="n">
        <v>2</v>
      </c>
      <c r="CG151" s="9" t="n">
        <v>8</v>
      </c>
      <c r="CH151" s="9" t="n">
        <v>4</v>
      </c>
      <c r="CI151" s="9" t="n">
        <v>10</v>
      </c>
      <c r="CJ151" s="9" t="n">
        <v>6</v>
      </c>
      <c r="CK151" s="11" t="n">
        <f aca="false">(CG151+CH151+CI151+CJ151)/4</f>
        <v>7</v>
      </c>
      <c r="CL151" s="11" t="n">
        <f aca="false">(CG151/AM151)</f>
        <v>0.129032258064516</v>
      </c>
      <c r="CM151" s="11" t="n">
        <f aca="false">(CH151/AN151)</f>
        <v>0.222222222222222</v>
      </c>
      <c r="CN151" s="11" t="n">
        <f aca="false">(CI151/AO151)</f>
        <v>0.138888888888889</v>
      </c>
      <c r="CO151" s="9" t="n">
        <f aca="false">(CJ151/AP151)</f>
        <v>0.0789473684210526</v>
      </c>
      <c r="CP151" s="9" t="n">
        <f aca="false">(CK151/AQ151)</f>
        <v>0.12280701754386</v>
      </c>
      <c r="CQ151" s="9" t="n">
        <f aca="false">(100*CP151)</f>
        <v>12.280701754386</v>
      </c>
      <c r="CR151" s="18" t="n">
        <v>2</v>
      </c>
      <c r="CS151" s="9" t="n">
        <v>48.9</v>
      </c>
      <c r="CT151" s="9" t="n">
        <v>73.2</v>
      </c>
      <c r="CU151" s="9" t="n">
        <v>57.4</v>
      </c>
      <c r="CV151" s="9" t="n">
        <v>53.8</v>
      </c>
      <c r="CW151" s="11" t="n">
        <f aca="false">(CS151+CT151+CU151+CV151)/4</f>
        <v>58.325</v>
      </c>
      <c r="CX151" s="9" t="n">
        <v>0</v>
      </c>
      <c r="CY151" s="9" t="n">
        <v>0</v>
      </c>
      <c r="CZ151" s="9" t="n">
        <v>0</v>
      </c>
      <c r="DA151" s="9" t="n">
        <v>0</v>
      </c>
      <c r="DB151" s="11" t="n">
        <f aca="false">(CX151+CY151+CZ151+DA151)/4</f>
        <v>0</v>
      </c>
      <c r="DC151" s="9" t="n">
        <v>0</v>
      </c>
      <c r="DD151" s="9" t="n">
        <v>1</v>
      </c>
      <c r="DE151" s="9" t="n">
        <v>0</v>
      </c>
      <c r="DF151" s="9" t="n">
        <v>1</v>
      </c>
      <c r="DG151" s="11" t="n">
        <f aca="false">(DC151+DD151+DE151+DF151)/4</f>
        <v>0.5</v>
      </c>
      <c r="DH151" s="9" t="n">
        <v>1</v>
      </c>
      <c r="DI151" s="9" t="n">
        <v>1</v>
      </c>
      <c r="DJ151" s="9" t="n">
        <v>1</v>
      </c>
      <c r="DK151" s="9" t="n">
        <v>1</v>
      </c>
      <c r="DL151" s="11" t="n">
        <f aca="false">(DH151+DI151+DJ151+DK151)/4</f>
        <v>1</v>
      </c>
      <c r="DM151" s="9" t="n">
        <v>76</v>
      </c>
      <c r="DN151" s="9" t="n">
        <v>175</v>
      </c>
      <c r="DO151" s="9" t="n">
        <v>46</v>
      </c>
      <c r="DP151" s="9" t="n">
        <v>98</v>
      </c>
      <c r="DQ151" s="11" t="n">
        <f aca="false">(DM151+DN151+DO151+DP151)/4</f>
        <v>98.75</v>
      </c>
      <c r="DR151" s="9" t="n">
        <v>14</v>
      </c>
      <c r="DS151" s="9" t="n">
        <v>11</v>
      </c>
      <c r="DT151" s="9" t="n">
        <v>33</v>
      </c>
      <c r="DU151" s="9" t="n">
        <v>13</v>
      </c>
      <c r="DV151" s="11" t="n">
        <f aca="false">(DR151+DS151+DT151+DU151)/4</f>
        <v>17.75</v>
      </c>
      <c r="DW151" s="9" t="n">
        <v>0</v>
      </c>
      <c r="DX151" s="9" t="n">
        <v>0</v>
      </c>
      <c r="DY151" s="9" t="n">
        <v>0</v>
      </c>
      <c r="DZ151" s="9" t="n">
        <v>0</v>
      </c>
      <c r="EA151" s="11" t="n">
        <f aca="false">(DW151+DX151+DY151+DZ151)/4</f>
        <v>0</v>
      </c>
      <c r="EB151" s="11" t="n">
        <f aca="false">(DW151/DR151)</f>
        <v>0</v>
      </c>
      <c r="EC151" s="11" t="n">
        <f aca="false">(DX151/DS151)</f>
        <v>0</v>
      </c>
      <c r="ED151" s="11" t="n">
        <f aca="false">(DY151/DT151)</f>
        <v>0</v>
      </c>
      <c r="EE151" s="11" t="n">
        <f aca="false">(DZ151/DU151)</f>
        <v>0</v>
      </c>
      <c r="EF151" s="11" t="n">
        <f aca="false">(EA151/DV151)</f>
        <v>0</v>
      </c>
      <c r="EG151" s="11" t="n">
        <f aca="false">(100*EF151)</f>
        <v>0</v>
      </c>
      <c r="EH151" s="9" t="n">
        <v>0</v>
      </c>
      <c r="EI151" s="9" t="n">
        <v>0</v>
      </c>
      <c r="EJ151" s="9" t="n">
        <v>1</v>
      </c>
      <c r="EK151" s="19" t="n">
        <v>0</v>
      </c>
      <c r="EL151" s="9" t="n">
        <v>2</v>
      </c>
      <c r="EM151" s="9" t="n">
        <f aca="false">(EI151+EJ151+EK151+EL151)/4</f>
        <v>0.75</v>
      </c>
      <c r="EN151" s="9" t="n">
        <f aca="false">(EI151/DR151)</f>
        <v>0</v>
      </c>
      <c r="EO151" s="9" t="n">
        <f aca="false">(EJ151/DS151)</f>
        <v>0.0909090909090909</v>
      </c>
      <c r="EP151" s="9" t="n">
        <f aca="false">(EK151/DT151)</f>
        <v>0</v>
      </c>
      <c r="EQ151" s="9" t="n">
        <f aca="false">(EL151/DU151)</f>
        <v>0.153846153846154</v>
      </c>
      <c r="ER151" s="9" t="n">
        <f aca="false">EM151/DV151</f>
        <v>0.0422535211267606</v>
      </c>
      <c r="ES151" s="9" t="n">
        <f aca="false">(100*ER151)</f>
        <v>4.22535211267606</v>
      </c>
      <c r="ET151" s="9" t="n">
        <v>1</v>
      </c>
      <c r="EU151" s="18" t="n">
        <v>0</v>
      </c>
      <c r="EV151" s="9" t="n">
        <v>3</v>
      </c>
      <c r="EW151" s="9" t="n">
        <v>0</v>
      </c>
      <c r="EX151" s="9" t="n">
        <v>0</v>
      </c>
      <c r="EY151" s="11" t="n">
        <f aca="false">(EU151+EV151+EW151+EX151)/4</f>
        <v>0.75</v>
      </c>
      <c r="EZ151" s="11" t="n">
        <f aca="false">(EU151/DR151)</f>
        <v>0</v>
      </c>
      <c r="FA151" s="11" t="n">
        <f aca="false">(EV151/DS151)</f>
        <v>0.272727272727273</v>
      </c>
      <c r="FB151" s="11" t="n">
        <f aca="false">(EW151/DT151)</f>
        <v>0</v>
      </c>
      <c r="FC151" s="11" t="n">
        <f aca="false">(EX151/DU151)</f>
        <v>0</v>
      </c>
      <c r="FD151" s="11" t="n">
        <f aca="false">(EY151/DV151)</f>
        <v>0.0422535211267606</v>
      </c>
      <c r="FE151" s="11" t="n">
        <f aca="false">(100*FD151)</f>
        <v>4.22535211267606</v>
      </c>
      <c r="FF151" s="9" t="n">
        <v>1</v>
      </c>
      <c r="FG151" s="9" t="n">
        <v>10</v>
      </c>
      <c r="FH151" s="9" t="n">
        <v>22</v>
      </c>
      <c r="FI151" s="9" t="n">
        <v>41</v>
      </c>
      <c r="FJ151" s="9" t="n">
        <v>6</v>
      </c>
      <c r="FK151" s="11" t="n">
        <f aca="false">(FG151+FH151+FI151+FJ151)/4</f>
        <v>19.75</v>
      </c>
      <c r="FL151" s="11" t="n">
        <f aca="false">(FG151/DR151)</f>
        <v>0.714285714285714</v>
      </c>
      <c r="FM151" s="11" t="n">
        <f aca="false">(FH151/DS151)</f>
        <v>2</v>
      </c>
      <c r="FN151" s="11" t="n">
        <f aca="false">(FI151/DT151)</f>
        <v>1.24242424242424</v>
      </c>
      <c r="FO151" s="11" t="n">
        <f aca="false">(FJ151/DU151)</f>
        <v>0.461538461538462</v>
      </c>
      <c r="FP151" s="11" t="n">
        <f aca="false">(FK151/DV151)</f>
        <v>1.11267605633803</v>
      </c>
      <c r="FQ151" s="11" t="n">
        <f aca="false">(100*FP151)</f>
        <v>111.267605633803</v>
      </c>
      <c r="FR151" s="9" t="n">
        <v>3</v>
      </c>
      <c r="FS151" s="9" t="n">
        <v>67.8</v>
      </c>
      <c r="FT151" s="9" t="n">
        <v>64.6</v>
      </c>
      <c r="FU151" s="9" t="n">
        <v>55.8</v>
      </c>
      <c r="FV151" s="9" t="n">
        <v>64.6</v>
      </c>
      <c r="FW151" s="11" t="n">
        <f aca="false">(FS151+FT151+FU151+FV151)/4</f>
        <v>63.2</v>
      </c>
      <c r="FX151" s="9" t="n">
        <v>0</v>
      </c>
      <c r="FY151" s="9" t="n">
        <v>0</v>
      </c>
      <c r="FZ151" s="9" t="n">
        <v>1</v>
      </c>
      <c r="GA151" s="9" t="n">
        <v>0</v>
      </c>
      <c r="GB151" s="11" t="n">
        <f aca="false">(FX151+FY151+FZ151+GA151)/4</f>
        <v>0.25</v>
      </c>
      <c r="GC151" s="9" t="n">
        <v>0</v>
      </c>
      <c r="GD151" s="9" t="n">
        <v>1</v>
      </c>
      <c r="GE151" s="9" t="n">
        <v>1</v>
      </c>
      <c r="GF151" s="9" t="n">
        <v>1</v>
      </c>
      <c r="GG151" s="11" t="n">
        <f aca="false">(GC151+GD151+GE151+GF151)/4</f>
        <v>0.75</v>
      </c>
      <c r="GH151" s="9" t="n">
        <v>1</v>
      </c>
      <c r="GI151" s="9" t="n">
        <v>1</v>
      </c>
      <c r="GJ151" s="9" t="n">
        <v>1</v>
      </c>
      <c r="GK151" s="9" t="n">
        <v>1</v>
      </c>
      <c r="GL151" s="11" t="n">
        <f aca="false">(GH151+GI151+GJ151+GK151)/4</f>
        <v>1</v>
      </c>
      <c r="GM151" s="9" t="n">
        <v>61</v>
      </c>
      <c r="GN151" s="9" t="n">
        <v>54</v>
      </c>
      <c r="GO151" s="9" t="n">
        <v>92</v>
      </c>
      <c r="GP151" s="9" t="n">
        <v>100</v>
      </c>
      <c r="GQ151" s="11" t="n">
        <f aca="false">(GM151+GN151+GO151+GP151)/4</f>
        <v>76.75</v>
      </c>
      <c r="GR151" s="9" t="n">
        <v>19</v>
      </c>
      <c r="GS151" s="9" t="n">
        <v>11</v>
      </c>
      <c r="GT151" s="9" t="n">
        <v>12</v>
      </c>
      <c r="GU151" s="9" t="n">
        <v>14</v>
      </c>
      <c r="GV151" s="11" t="n">
        <f aca="false">(GR151+GS151+GT151+GU151)/4</f>
        <v>14</v>
      </c>
      <c r="GW151" s="9" t="n">
        <v>0</v>
      </c>
      <c r="GX151" s="9" t="n">
        <v>0</v>
      </c>
      <c r="GY151" s="9" t="n">
        <v>1</v>
      </c>
      <c r="GZ151" s="9" t="n">
        <v>0</v>
      </c>
      <c r="HA151" s="11" t="n">
        <f aca="false">(GW151+GX151+GY151+GZ151)/4</f>
        <v>0.25</v>
      </c>
      <c r="HB151" s="9" t="n">
        <f aca="false">(GW151/GR151)</f>
        <v>0</v>
      </c>
      <c r="HC151" s="9" t="n">
        <f aca="false">(GX151/GS151)</f>
        <v>0</v>
      </c>
      <c r="HD151" s="9" t="n">
        <f aca="false">(GY151/GT151)</f>
        <v>0.0833333333333333</v>
      </c>
      <c r="HE151" s="9" t="n">
        <f aca="false">(GZ151/GU151)/4</f>
        <v>0</v>
      </c>
      <c r="HF151" s="9" t="n">
        <f aca="false">(HB151+HC151+HD151+HE151)/4</f>
        <v>0.0208333333333333</v>
      </c>
      <c r="HG151" s="9" t="n">
        <f aca="false">(100*HF151)</f>
        <v>2.08333333333333</v>
      </c>
      <c r="HH151" s="18" t="n">
        <v>1</v>
      </c>
      <c r="HI151" s="9" t="n">
        <v>0</v>
      </c>
      <c r="HJ151" s="9" t="n">
        <v>3</v>
      </c>
      <c r="HK151" s="9" t="n">
        <v>3</v>
      </c>
      <c r="HL151" s="19" t="n">
        <v>2</v>
      </c>
      <c r="HM151" s="9" t="n">
        <f aca="false">(HI151+HJ151+HK151+HL151)/4</f>
        <v>2</v>
      </c>
      <c r="HN151" s="9" t="n">
        <f aca="false">(HI151/GR151)</f>
        <v>0</v>
      </c>
      <c r="HO151" s="9" t="n">
        <f aca="false">(HJ151/GS151)</f>
        <v>0.272727272727273</v>
      </c>
      <c r="HP151" s="9" t="n">
        <f aca="false">(HK151/GT151)</f>
        <v>0.25</v>
      </c>
      <c r="HQ151" s="9" t="n">
        <f aca="false">(HL151/GU151)</f>
        <v>0.142857142857143</v>
      </c>
      <c r="HR151" s="9" t="n">
        <f aca="false">(HM151/GV151)</f>
        <v>0.142857142857143</v>
      </c>
      <c r="HS151" s="9" t="n">
        <f aca="false">(100*HR151)</f>
        <v>14.2857142857143</v>
      </c>
      <c r="HT151" s="18" t="n">
        <v>1</v>
      </c>
      <c r="HU151" s="9" t="n">
        <v>2</v>
      </c>
      <c r="HV151" s="9" t="n">
        <v>3</v>
      </c>
      <c r="HW151" s="9" t="n">
        <v>0</v>
      </c>
      <c r="HX151" s="19" t="n">
        <v>0</v>
      </c>
      <c r="HY151" s="9" t="n">
        <f aca="false">(HU151+HV151+HW151+HX151)/4</f>
        <v>1.25</v>
      </c>
      <c r="HZ151" s="9" t="n">
        <f aca="false">(HU151/GR151)</f>
        <v>0.105263157894737</v>
      </c>
      <c r="IA151" s="9" t="n">
        <f aca="false">HV151/GS151</f>
        <v>0.272727272727273</v>
      </c>
      <c r="IB151" s="9" t="n">
        <f aca="false">(HW151/GT151)</f>
        <v>0</v>
      </c>
      <c r="IC151" s="9" t="n">
        <f aca="false">(HX151/GU151)</f>
        <v>0</v>
      </c>
      <c r="ID151" s="9" t="n">
        <f aca="false">(HY151/GV151)</f>
        <v>0.0892857142857143</v>
      </c>
      <c r="IE151" s="9" t="n">
        <f aca="false">(100*ID151)</f>
        <v>8.92857142857143</v>
      </c>
      <c r="IF151" s="18" t="n">
        <v>1</v>
      </c>
      <c r="IG151" s="9" t="n">
        <v>10</v>
      </c>
      <c r="IH151" s="9" t="n">
        <v>3</v>
      </c>
      <c r="II151" s="19" t="n">
        <v>13</v>
      </c>
      <c r="IJ151" s="9" t="n">
        <v>14</v>
      </c>
      <c r="IK151" s="9" t="n">
        <f aca="false">(IG151+IH151+II151+IJ151)/4</f>
        <v>10</v>
      </c>
      <c r="IL151" s="9" t="n">
        <f aca="false">(IG151/GM151)</f>
        <v>0.163934426229508</v>
      </c>
      <c r="IM151" s="9" t="n">
        <f aca="false">(IH151/GN151)</f>
        <v>0.0555555555555556</v>
      </c>
      <c r="IN151" s="9" t="n">
        <f aca="false">(II151/GO151)</f>
        <v>0.141304347826087</v>
      </c>
      <c r="IO151" s="9" t="n">
        <f aca="false">(IJ151/GP151)</f>
        <v>0.14</v>
      </c>
      <c r="IP151" s="9" t="n">
        <f aca="false">(IK151/GQ151)</f>
        <v>0.130293159609121</v>
      </c>
      <c r="IQ151" s="9" t="n">
        <f aca="false">(100*IP151)</f>
        <v>13.0293159609121</v>
      </c>
      <c r="IR151" s="18" t="n">
        <v>2</v>
      </c>
      <c r="IS151" s="9" t="n">
        <v>61.8</v>
      </c>
      <c r="IT151" s="9" t="n">
        <v>63.5</v>
      </c>
      <c r="IU151" s="19" t="n">
        <v>55.8</v>
      </c>
      <c r="IV151" s="9" t="n">
        <v>70.1</v>
      </c>
      <c r="IW151" s="9" t="n">
        <f aca="false">(IS151+IT151+IU151+IV151)/4</f>
        <v>62.8</v>
      </c>
      <c r="IX151" s="16" t="n">
        <v>45210</v>
      </c>
      <c r="IY151" s="10" t="s">
        <v>268</v>
      </c>
    </row>
    <row r="152" customFormat="false" ht="15.75" hidden="false" customHeight="true" outlineLevel="0" collapsed="false">
      <c r="A152" s="9" t="s">
        <v>370</v>
      </c>
      <c r="B152" s="37" t="s">
        <v>616</v>
      </c>
      <c r="C152" s="37" t="s">
        <v>514</v>
      </c>
      <c r="D152" s="37" t="n">
        <v>3</v>
      </c>
      <c r="E152" s="37" t="n">
        <v>51</v>
      </c>
      <c r="F152" s="37" t="s">
        <v>617</v>
      </c>
      <c r="G152" s="37" t="s">
        <v>275</v>
      </c>
      <c r="H152" s="37" t="n">
        <v>20</v>
      </c>
      <c r="I152" s="37" t="n">
        <v>5</v>
      </c>
      <c r="J152" s="38" t="s">
        <v>264</v>
      </c>
      <c r="K152" s="13" t="s">
        <v>611</v>
      </c>
      <c r="L152" s="13" t="s">
        <v>612</v>
      </c>
      <c r="M152" s="32" t="n">
        <v>1284</v>
      </c>
      <c r="N152" s="15" t="n">
        <v>45155</v>
      </c>
      <c r="O152" s="10" t="s">
        <v>294</v>
      </c>
      <c r="P152" s="9"/>
      <c r="Q152" s="9" t="n">
        <v>6.2</v>
      </c>
      <c r="R152" s="9" t="n">
        <v>10</v>
      </c>
      <c r="S152" s="9" t="n">
        <v>-15</v>
      </c>
      <c r="T152" s="9" t="n">
        <v>80</v>
      </c>
      <c r="U152" s="9"/>
      <c r="V152" s="9" t="n">
        <f aca="false">(18/100)</f>
        <v>0.18</v>
      </c>
      <c r="W152" s="9" t="s">
        <v>618</v>
      </c>
      <c r="X152" s="9" t="n">
        <v>0</v>
      </c>
      <c r="Y152" s="9" t="n">
        <v>0</v>
      </c>
      <c r="Z152" s="9" t="n">
        <v>0</v>
      </c>
      <c r="AA152" s="9" t="n">
        <v>0</v>
      </c>
      <c r="AB152" s="11" t="n">
        <f aca="false">(X152+Y152+Z152+AA152)/4</f>
        <v>0</v>
      </c>
      <c r="AC152" s="9" t="n">
        <v>1</v>
      </c>
      <c r="AD152" s="9" t="n">
        <v>1</v>
      </c>
      <c r="AE152" s="9" t="n">
        <v>1</v>
      </c>
      <c r="AF152" s="9" t="n">
        <v>1</v>
      </c>
      <c r="AG152" s="11" t="n">
        <f aca="false">(AC152+AD152+AE152+AF152)/4</f>
        <v>1</v>
      </c>
      <c r="AH152" s="9" t="n">
        <v>1</v>
      </c>
      <c r="AI152" s="9" t="n">
        <v>1</v>
      </c>
      <c r="AJ152" s="9" t="n">
        <v>1</v>
      </c>
      <c r="AK152" s="9" t="n">
        <v>1</v>
      </c>
      <c r="AL152" s="11" t="n">
        <f aca="false">(AH152+AI152+AJ152+AK152)/4</f>
        <v>1</v>
      </c>
      <c r="AM152" s="9" t="n">
        <v>14</v>
      </c>
      <c r="AN152" s="9" t="n">
        <v>32</v>
      </c>
      <c r="AO152" s="9" t="n">
        <v>24</v>
      </c>
      <c r="AP152" s="9" t="n">
        <v>32</v>
      </c>
      <c r="AQ152" s="11" t="n">
        <f aca="false">(AM152+AN152+AO152+AP152)/4</f>
        <v>25.5</v>
      </c>
      <c r="AR152" s="9" t="n">
        <v>8</v>
      </c>
      <c r="AS152" s="9" t="n">
        <v>6</v>
      </c>
      <c r="AT152" s="9" t="n">
        <v>7</v>
      </c>
      <c r="AU152" s="9" t="n">
        <v>8</v>
      </c>
      <c r="AV152" s="11" t="n">
        <f aca="false">(AR152+AS152+AT152+AU152)/4</f>
        <v>7.25</v>
      </c>
      <c r="AW152" s="9" t="n">
        <v>0</v>
      </c>
      <c r="AX152" s="9" t="n">
        <v>0</v>
      </c>
      <c r="AY152" s="9" t="n">
        <v>0</v>
      </c>
      <c r="AZ152" s="9" t="n">
        <v>0</v>
      </c>
      <c r="BA152" s="11" t="n">
        <f aca="false">(AW152+AX152+AY152+AZ152)/4</f>
        <v>0</v>
      </c>
      <c r="BB152" s="11" t="n">
        <f aca="false">(AW152/AR152)</f>
        <v>0</v>
      </c>
      <c r="BC152" s="11" t="n">
        <f aca="false">(AX152/AS152)</f>
        <v>0</v>
      </c>
      <c r="BD152" s="11" t="n">
        <f aca="false">(AY152/AT152)</f>
        <v>0</v>
      </c>
      <c r="BE152" s="11" t="n">
        <f aca="false">(AZ152/AU152)</f>
        <v>0</v>
      </c>
      <c r="BF152" s="11" t="n">
        <f aca="false">(BA152/AV152)</f>
        <v>0</v>
      </c>
      <c r="BG152" s="11" t="n">
        <f aca="false">(BF152*100)</f>
        <v>0</v>
      </c>
      <c r="BH152" s="9" t="n">
        <v>0</v>
      </c>
      <c r="BI152" s="9" t="n">
        <v>1</v>
      </c>
      <c r="BJ152" s="9" t="n">
        <v>3</v>
      </c>
      <c r="BK152" s="9" t="n">
        <v>5</v>
      </c>
      <c r="BL152" s="9" t="n">
        <v>1</v>
      </c>
      <c r="BM152" s="11" t="n">
        <f aca="false">(BI152+BJ152+BK152+BL152)/4</f>
        <v>2.5</v>
      </c>
      <c r="BN152" s="11" t="n">
        <f aca="false">(BI152/AR152)</f>
        <v>0.125</v>
      </c>
      <c r="BO152" s="11" t="n">
        <f aca="false">(BJ152/AS152)</f>
        <v>0.5</v>
      </c>
      <c r="BP152" s="11" t="n">
        <f aca="false">(BK152/AT152)</f>
        <v>0.714285714285714</v>
      </c>
      <c r="BQ152" s="11" t="n">
        <f aca="false">(BL152/AU152)</f>
        <v>0.125</v>
      </c>
      <c r="BR152" s="11" t="n">
        <f aca="false">(BM152/AV152)</f>
        <v>0.344827586206897</v>
      </c>
      <c r="BS152" s="11" t="n">
        <f aca="false">(100*BR152)</f>
        <v>34.4827586206897</v>
      </c>
      <c r="BT152" s="9" t="n">
        <v>3</v>
      </c>
      <c r="BU152" s="9" t="n">
        <v>0</v>
      </c>
      <c r="BV152" s="9" t="n">
        <v>0</v>
      </c>
      <c r="BW152" s="9" t="n">
        <v>0</v>
      </c>
      <c r="BX152" s="9" t="n">
        <v>0</v>
      </c>
      <c r="BY152" s="11" t="n">
        <f aca="false">(BU152+BV152+BW152+BX152)/4</f>
        <v>0</v>
      </c>
      <c r="BZ152" s="11" t="n">
        <f aca="false">(BU152/AR152)</f>
        <v>0</v>
      </c>
      <c r="CA152" s="11" t="n">
        <f aca="false">(BV152/AS152)</f>
        <v>0</v>
      </c>
      <c r="CB152" s="11" t="n">
        <f aca="false">(BW152/AT152)</f>
        <v>0</v>
      </c>
      <c r="CC152" s="11" t="n">
        <f aca="false">(BX152/AU152)</f>
        <v>0</v>
      </c>
      <c r="CD152" s="11" t="n">
        <f aca="false">(BY152/AV152)</f>
        <v>0</v>
      </c>
      <c r="CE152" s="11" t="n">
        <f aca="false">(100*CD152)</f>
        <v>0</v>
      </c>
      <c r="CF152" s="9" t="n">
        <v>0</v>
      </c>
      <c r="CG152" s="9" t="n">
        <v>7</v>
      </c>
      <c r="CH152" s="9" t="n">
        <v>14</v>
      </c>
      <c r="CI152" s="9" t="n">
        <v>9</v>
      </c>
      <c r="CJ152" s="9" t="n">
        <v>6</v>
      </c>
      <c r="CK152" s="11" t="n">
        <f aca="false">(CG152+CH152+CI152+CJ152)/4</f>
        <v>9</v>
      </c>
      <c r="CL152" s="11" t="n">
        <f aca="false">(CG152/AM152)</f>
        <v>0.5</v>
      </c>
      <c r="CM152" s="11" t="n">
        <f aca="false">(CH152/AN152)</f>
        <v>0.4375</v>
      </c>
      <c r="CN152" s="11" t="n">
        <f aca="false">(CI152/AO152)</f>
        <v>0.375</v>
      </c>
      <c r="CO152" s="9" t="n">
        <f aca="false">(CJ152/AP152)</f>
        <v>0.1875</v>
      </c>
      <c r="CP152" s="9" t="n">
        <f aca="false">(CK152/AQ152)</f>
        <v>0.352941176470588</v>
      </c>
      <c r="CQ152" s="9" t="n">
        <f aca="false">(100*CP152)</f>
        <v>35.2941176470588</v>
      </c>
      <c r="CR152" s="18" t="n">
        <v>3</v>
      </c>
      <c r="CS152" s="9" t="n">
        <v>54.5</v>
      </c>
      <c r="CT152" s="9" t="n">
        <v>47.9</v>
      </c>
      <c r="CU152" s="9" t="n">
        <v>60.9</v>
      </c>
      <c r="CV152" s="9" t="n">
        <v>42.5</v>
      </c>
      <c r="CW152" s="11" t="n">
        <f aca="false">(CS152+CT152+CU152+CV152)/4</f>
        <v>51.45</v>
      </c>
      <c r="CX152" s="9" t="n">
        <v>0</v>
      </c>
      <c r="CY152" s="9" t="n">
        <v>0</v>
      </c>
      <c r="CZ152" s="9" t="n">
        <v>0</v>
      </c>
      <c r="DA152" s="9" t="n">
        <v>0</v>
      </c>
      <c r="DB152" s="11" t="n">
        <f aca="false">(CX152+CY152+CZ152+DA152)/4</f>
        <v>0</v>
      </c>
      <c r="DC152" s="9" t="n">
        <v>1</v>
      </c>
      <c r="DD152" s="9" t="n">
        <v>1</v>
      </c>
      <c r="DE152" s="9" t="n">
        <v>1</v>
      </c>
      <c r="DF152" s="9" t="n">
        <v>1</v>
      </c>
      <c r="DG152" s="11" t="n">
        <f aca="false">(DC152+DD152+DE152+DF152)/4</f>
        <v>1</v>
      </c>
      <c r="DH152" s="9" t="n">
        <v>1</v>
      </c>
      <c r="DI152" s="9" t="n">
        <v>1</v>
      </c>
      <c r="DJ152" s="9" t="n">
        <v>1</v>
      </c>
      <c r="DK152" s="9" t="n">
        <v>1</v>
      </c>
      <c r="DL152" s="11" t="n">
        <f aca="false">(DH152+DI152+DJ152+DK152)/4</f>
        <v>1</v>
      </c>
      <c r="DM152" s="9" t="n">
        <v>96</v>
      </c>
      <c r="DN152" s="9" t="n">
        <v>145</v>
      </c>
      <c r="DO152" s="9" t="n">
        <v>81</v>
      </c>
      <c r="DP152" s="9" t="n">
        <v>79</v>
      </c>
      <c r="DQ152" s="11" t="n">
        <f aca="false">(DM152+DN152+DO152+DP152)/4</f>
        <v>100.25</v>
      </c>
      <c r="DR152" s="9" t="n">
        <v>9</v>
      </c>
      <c r="DS152" s="9" t="n">
        <v>9</v>
      </c>
      <c r="DT152" s="9" t="n">
        <v>9</v>
      </c>
      <c r="DU152" s="9" t="n">
        <v>13</v>
      </c>
      <c r="DV152" s="11" t="n">
        <f aca="false">(DR152+DS152+DT152+DU152)/4</f>
        <v>10</v>
      </c>
      <c r="DW152" s="9" t="n">
        <v>0</v>
      </c>
      <c r="DX152" s="9" t="n">
        <v>0</v>
      </c>
      <c r="DY152" s="9" t="n">
        <v>0</v>
      </c>
      <c r="DZ152" s="9" t="n">
        <v>0</v>
      </c>
      <c r="EA152" s="11" t="n">
        <f aca="false">(DW152+DX152+DY152+DZ152)/4</f>
        <v>0</v>
      </c>
      <c r="EB152" s="11" t="n">
        <f aca="false">(DW152/DR152)</f>
        <v>0</v>
      </c>
      <c r="EC152" s="11" t="n">
        <f aca="false">(DX152/DS152)</f>
        <v>0</v>
      </c>
      <c r="ED152" s="11" t="n">
        <f aca="false">(DY152/DT152)</f>
        <v>0</v>
      </c>
      <c r="EE152" s="11" t="n">
        <f aca="false">(DZ152/DU152)</f>
        <v>0</v>
      </c>
      <c r="EF152" s="11" t="n">
        <f aca="false">(EA152/DV152)</f>
        <v>0</v>
      </c>
      <c r="EG152" s="11" t="n">
        <f aca="false">(100*EF152)</f>
        <v>0</v>
      </c>
      <c r="EH152" s="9" t="n">
        <v>0</v>
      </c>
      <c r="EI152" s="9" t="n">
        <v>1</v>
      </c>
      <c r="EJ152" s="9" t="n">
        <v>1</v>
      </c>
      <c r="EK152" s="19" t="n">
        <v>1</v>
      </c>
      <c r="EL152" s="9" t="n">
        <v>1</v>
      </c>
      <c r="EM152" s="9" t="n">
        <f aca="false">(EI152+EJ152+EK152+EL152)/4</f>
        <v>1</v>
      </c>
      <c r="EN152" s="9" t="n">
        <f aca="false">(EI152/DR152)</f>
        <v>0.111111111111111</v>
      </c>
      <c r="EO152" s="9" t="n">
        <f aca="false">(EJ152/DS152)</f>
        <v>0.111111111111111</v>
      </c>
      <c r="EP152" s="9" t="n">
        <f aca="false">(EK152/DT152)</f>
        <v>0.111111111111111</v>
      </c>
      <c r="EQ152" s="9" t="n">
        <f aca="false">(EL152/DU152)</f>
        <v>0.0769230769230769</v>
      </c>
      <c r="ER152" s="9" t="n">
        <f aca="false">EM152/DV152</f>
        <v>0.1</v>
      </c>
      <c r="ES152" s="9" t="n">
        <f aca="false">(100*ER152)</f>
        <v>10</v>
      </c>
      <c r="ET152" s="9" t="n">
        <v>2</v>
      </c>
      <c r="EU152" s="18" t="n">
        <v>0</v>
      </c>
      <c r="EV152" s="9" t="n">
        <v>0</v>
      </c>
      <c r="EW152" s="9" t="n">
        <v>0</v>
      </c>
      <c r="EX152" s="9" t="n">
        <v>0</v>
      </c>
      <c r="EY152" s="11" t="n">
        <f aca="false">(EU152+EV152+EW152+EX152)/4</f>
        <v>0</v>
      </c>
      <c r="EZ152" s="11" t="n">
        <f aca="false">(EU152/DR152)</f>
        <v>0</v>
      </c>
      <c r="FA152" s="11" t="n">
        <f aca="false">(EV152/DS152)</f>
        <v>0</v>
      </c>
      <c r="FB152" s="11" t="n">
        <f aca="false">(EW152/DT152)</f>
        <v>0</v>
      </c>
      <c r="FC152" s="11" t="n">
        <f aca="false">(EX152/DU152)</f>
        <v>0</v>
      </c>
      <c r="FD152" s="11" t="n">
        <f aca="false">(EY152/DV152)</f>
        <v>0</v>
      </c>
      <c r="FE152" s="11" t="n">
        <f aca="false">(100*FD152)</f>
        <v>0</v>
      </c>
      <c r="FF152" s="9" t="n">
        <v>0</v>
      </c>
      <c r="FG152" s="9" t="n">
        <v>25</v>
      </c>
      <c r="FH152" s="9" t="n">
        <v>30</v>
      </c>
      <c r="FI152" s="9" t="n">
        <v>5</v>
      </c>
      <c r="FJ152" s="9" t="n">
        <v>5</v>
      </c>
      <c r="FK152" s="11" t="n">
        <f aca="false">(FG152+FH152+FI152+FJ152)/4</f>
        <v>16.25</v>
      </c>
      <c r="FL152" s="11" t="n">
        <f aca="false">(FG152/DR152)</f>
        <v>2.77777777777778</v>
      </c>
      <c r="FM152" s="11" t="n">
        <f aca="false">(FH152/DS152)</f>
        <v>3.33333333333333</v>
      </c>
      <c r="FN152" s="11" t="n">
        <f aca="false">(FI152/DT152)</f>
        <v>0.555555555555556</v>
      </c>
      <c r="FO152" s="11" t="n">
        <f aca="false">(FJ152/DU152)</f>
        <v>0.384615384615385</v>
      </c>
      <c r="FP152" s="11" t="n">
        <f aca="false">(FK152/DV152)</f>
        <v>1.625</v>
      </c>
      <c r="FQ152" s="11" t="n">
        <f aca="false">(100*FP152)</f>
        <v>162.5</v>
      </c>
      <c r="FR152" s="9" t="n">
        <v>3</v>
      </c>
      <c r="FS152" s="9" t="n">
        <v>54.5</v>
      </c>
      <c r="FT152" s="9" t="n">
        <v>55.9</v>
      </c>
      <c r="FU152" s="9" t="n">
        <v>72.3</v>
      </c>
      <c r="FV152" s="9" t="n">
        <v>60.5</v>
      </c>
      <c r="FW152" s="11" t="n">
        <f aca="false">(FS152+FT152+FU152+FV152)/4</f>
        <v>60.8</v>
      </c>
      <c r="FX152" s="9" t="n">
        <v>0</v>
      </c>
      <c r="FY152" s="9" t="n">
        <v>0</v>
      </c>
      <c r="FZ152" s="9" t="n">
        <v>0</v>
      </c>
      <c r="GA152" s="9" t="n">
        <v>0</v>
      </c>
      <c r="GB152" s="11" t="n">
        <f aca="false">(FX152+FY152+FZ152+GA152)/4</f>
        <v>0</v>
      </c>
      <c r="GC152" s="9" t="n">
        <v>1</v>
      </c>
      <c r="GD152" s="9" t="n">
        <v>1</v>
      </c>
      <c r="GE152" s="9" t="n">
        <v>1</v>
      </c>
      <c r="GF152" s="9" t="n">
        <v>1</v>
      </c>
      <c r="GG152" s="11" t="n">
        <f aca="false">(GC152+GD152+GE152+GF152)/4</f>
        <v>1</v>
      </c>
      <c r="GH152" s="9" t="n">
        <v>1</v>
      </c>
      <c r="GI152" s="9" t="n">
        <v>0</v>
      </c>
      <c r="GJ152" s="9" t="n">
        <v>1</v>
      </c>
      <c r="GK152" s="9" t="n">
        <v>1</v>
      </c>
      <c r="GL152" s="11" t="n">
        <f aca="false">(GH152+GI152+GJ152+GK152)/4</f>
        <v>0.75</v>
      </c>
      <c r="GM152" s="9" t="n">
        <v>84</v>
      </c>
      <c r="GN152" s="9" t="n">
        <v>99</v>
      </c>
      <c r="GO152" s="9" t="n">
        <v>48</v>
      </c>
      <c r="GP152" s="9" t="n">
        <v>65</v>
      </c>
      <c r="GQ152" s="11" t="n">
        <f aca="false">(GM152+GN152+GO152+GP152)/4</f>
        <v>74</v>
      </c>
      <c r="GR152" s="9" t="n">
        <v>5</v>
      </c>
      <c r="GS152" s="9" t="n">
        <v>18</v>
      </c>
      <c r="GT152" s="9" t="n">
        <v>17</v>
      </c>
      <c r="GU152" s="9" t="n">
        <v>20</v>
      </c>
      <c r="GV152" s="11" t="n">
        <f aca="false">(GR152+GS152+GT152+GU152)/4</f>
        <v>15</v>
      </c>
      <c r="GW152" s="9" t="n">
        <v>0</v>
      </c>
      <c r="GX152" s="9" t="n">
        <v>0</v>
      </c>
      <c r="GY152" s="9" t="n">
        <v>0</v>
      </c>
      <c r="GZ152" s="9" t="n">
        <v>0</v>
      </c>
      <c r="HA152" s="11" t="n">
        <f aca="false">(GW152+GX152+GY152+GZ152)/4</f>
        <v>0</v>
      </c>
      <c r="HB152" s="9" t="n">
        <f aca="false">(GW152/GR152)</f>
        <v>0</v>
      </c>
      <c r="HC152" s="9" t="n">
        <f aca="false">(GX152/GS152)</f>
        <v>0</v>
      </c>
      <c r="HD152" s="9" t="n">
        <f aca="false">(GY152/GT152)</f>
        <v>0</v>
      </c>
      <c r="HE152" s="9" t="n">
        <f aca="false">(GZ152/GU152)/4</f>
        <v>0</v>
      </c>
      <c r="HF152" s="9" t="n">
        <f aca="false">(HB152+HC152+HD152+HE152)/4</f>
        <v>0</v>
      </c>
      <c r="HG152" s="9" t="n">
        <f aca="false">(100*HF152)</f>
        <v>0</v>
      </c>
      <c r="HH152" s="18" t="n">
        <v>0</v>
      </c>
      <c r="HI152" s="9" t="n">
        <v>3</v>
      </c>
      <c r="HJ152" s="9" t="n">
        <v>5</v>
      </c>
      <c r="HK152" s="9" t="n">
        <v>6</v>
      </c>
      <c r="HL152" s="19" t="n">
        <v>8</v>
      </c>
      <c r="HM152" s="9" t="n">
        <f aca="false">(HI152+HJ152+HK152+HL152)/4</f>
        <v>5.5</v>
      </c>
      <c r="HN152" s="9" t="n">
        <f aca="false">(HI152/GR152)</f>
        <v>0.6</v>
      </c>
      <c r="HO152" s="9" t="n">
        <f aca="false">(HJ152/GS152)</f>
        <v>0.277777777777778</v>
      </c>
      <c r="HP152" s="9" t="n">
        <f aca="false">(HK152/GT152)</f>
        <v>0.352941176470588</v>
      </c>
      <c r="HQ152" s="9" t="n">
        <f aca="false">(HL152/GU152)</f>
        <v>0.4</v>
      </c>
      <c r="HR152" s="9" t="n">
        <f aca="false">(HM152/GV152)</f>
        <v>0.366666666666667</v>
      </c>
      <c r="HS152" s="9" t="n">
        <f aca="false">(100*HR152)</f>
        <v>36.6666666666667</v>
      </c>
      <c r="HT152" s="18" t="n">
        <v>3</v>
      </c>
      <c r="HU152" s="9" t="n">
        <v>0</v>
      </c>
      <c r="HV152" s="9" t="n">
        <v>0</v>
      </c>
      <c r="HW152" s="9" t="n">
        <v>0</v>
      </c>
      <c r="HX152" s="19" t="n">
        <v>0</v>
      </c>
      <c r="HY152" s="9" t="n">
        <f aca="false">(HU152+HV152+HW152+HX152)/4</f>
        <v>0</v>
      </c>
      <c r="HZ152" s="9" t="n">
        <f aca="false">(HU152/GR152)</f>
        <v>0</v>
      </c>
      <c r="IA152" s="9" t="n">
        <f aca="false">HV152/GS152</f>
        <v>0</v>
      </c>
      <c r="IB152" s="9" t="n">
        <f aca="false">(HW152/GT152)</f>
        <v>0</v>
      </c>
      <c r="IC152" s="9" t="n">
        <f aca="false">(HX152/GU152)</f>
        <v>0</v>
      </c>
      <c r="ID152" s="9" t="n">
        <f aca="false">(HY152/GV152)</f>
        <v>0</v>
      </c>
      <c r="IE152" s="9" t="n">
        <f aca="false">(100*ID152)</f>
        <v>0</v>
      </c>
      <c r="IF152" s="18" t="n">
        <v>0</v>
      </c>
      <c r="IG152" s="9" t="n">
        <v>7</v>
      </c>
      <c r="IH152" s="9" t="n">
        <v>0</v>
      </c>
      <c r="II152" s="19" t="n">
        <v>6</v>
      </c>
      <c r="IJ152" s="9" t="n">
        <v>2</v>
      </c>
      <c r="IK152" s="9" t="n">
        <f aca="false">(IG152+IH152+II152+IJ152)/4</f>
        <v>3.75</v>
      </c>
      <c r="IL152" s="9" t="n">
        <f aca="false">(IG152/GM152)</f>
        <v>0.0833333333333333</v>
      </c>
      <c r="IM152" s="9" t="n">
        <f aca="false">(IH152/GN152)</f>
        <v>0</v>
      </c>
      <c r="IN152" s="9" t="n">
        <f aca="false">(II152/GO152)</f>
        <v>0.125</v>
      </c>
      <c r="IO152" s="9" t="n">
        <f aca="false">(IJ152/GP152)</f>
        <v>0.0307692307692308</v>
      </c>
      <c r="IP152" s="9" t="n">
        <f aca="false">(IK152/GQ152)</f>
        <v>0.0506756756756757</v>
      </c>
      <c r="IQ152" s="9" t="n">
        <f aca="false">(100*IP152)</f>
        <v>5.06756756756757</v>
      </c>
      <c r="IR152" s="18" t="n">
        <v>1</v>
      </c>
      <c r="IS152" s="9" t="n">
        <v>75</v>
      </c>
      <c r="IT152" s="9" t="n">
        <v>62.7</v>
      </c>
      <c r="IU152" s="19" t="n">
        <v>68.2</v>
      </c>
      <c r="IV152" s="9" t="n">
        <v>53.5</v>
      </c>
      <c r="IW152" s="9" t="n">
        <f aca="false">(IS152+IT152+IU152+IV152)/4</f>
        <v>64.85</v>
      </c>
      <c r="IX152" s="16" t="n">
        <v>45210</v>
      </c>
      <c r="IY152" s="10" t="s">
        <v>268</v>
      </c>
    </row>
    <row r="153" customFormat="false" ht="15.75" hidden="false" customHeight="true" outlineLevel="0" collapsed="false">
      <c r="A153" s="9" t="s">
        <v>370</v>
      </c>
      <c r="B153" s="10" t="s">
        <v>616</v>
      </c>
      <c r="C153" s="10" t="s">
        <v>514</v>
      </c>
      <c r="D153" s="9" t="n">
        <v>3</v>
      </c>
      <c r="E153" s="9" t="n">
        <v>51</v>
      </c>
      <c r="F153" s="10" t="s">
        <v>619</v>
      </c>
      <c r="G153" s="10" t="s">
        <v>275</v>
      </c>
      <c r="H153" s="9" t="n">
        <v>20</v>
      </c>
      <c r="I153" s="9" t="n">
        <v>10</v>
      </c>
      <c r="J153" s="12" t="s">
        <v>270</v>
      </c>
      <c r="K153" s="20"/>
      <c r="L153" s="20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 t="n">
        <v>0</v>
      </c>
      <c r="Y153" s="9" t="n">
        <v>0</v>
      </c>
      <c r="Z153" s="9" t="n">
        <v>0</v>
      </c>
      <c r="AA153" s="9" t="n">
        <v>0</v>
      </c>
      <c r="AB153" s="11" t="n">
        <f aca="false">(X153+Y153+Z153+AA153)/4</f>
        <v>0</v>
      </c>
      <c r="AC153" s="9" t="n">
        <v>1</v>
      </c>
      <c r="AD153" s="9" t="n">
        <v>1</v>
      </c>
      <c r="AE153" s="9" t="n">
        <v>1</v>
      </c>
      <c r="AF153" s="9" t="n">
        <v>1</v>
      </c>
      <c r="AG153" s="11" t="n">
        <f aca="false">(AC153+AD153+AE153+AF153)/4</f>
        <v>1</v>
      </c>
      <c r="AH153" s="9" t="n">
        <v>1</v>
      </c>
      <c r="AI153" s="9" t="n">
        <v>1</v>
      </c>
      <c r="AJ153" s="9" t="n">
        <v>1</v>
      </c>
      <c r="AK153" s="9" t="n">
        <v>0</v>
      </c>
      <c r="AL153" s="11" t="n">
        <f aca="false">(AH153+AI153+AJ153+AK153)/4</f>
        <v>0.75</v>
      </c>
      <c r="AM153" s="9" t="n">
        <v>1</v>
      </c>
      <c r="AN153" s="9" t="n">
        <v>20</v>
      </c>
      <c r="AO153" s="9" t="n">
        <v>1</v>
      </c>
      <c r="AP153" s="9" t="n">
        <v>9</v>
      </c>
      <c r="AQ153" s="11" t="n">
        <f aca="false">(AM153+AN153+AO153+AP153)/4</f>
        <v>7.75</v>
      </c>
      <c r="AR153" s="9" t="n">
        <v>8</v>
      </c>
      <c r="AS153" s="9" t="n">
        <v>41</v>
      </c>
      <c r="AT153" s="9" t="n">
        <v>24</v>
      </c>
      <c r="AU153" s="9" t="n">
        <v>14</v>
      </c>
      <c r="AV153" s="11" t="n">
        <f aca="false">(AR153+AS153+AT153+AU153)/4</f>
        <v>21.75</v>
      </c>
      <c r="AW153" s="9" t="n">
        <v>0</v>
      </c>
      <c r="AX153" s="9" t="n">
        <v>0</v>
      </c>
      <c r="AY153" s="9" t="n">
        <v>0</v>
      </c>
      <c r="AZ153" s="9" t="n">
        <v>0</v>
      </c>
      <c r="BA153" s="11" t="n">
        <f aca="false">(AW153+AX153+AY153+AZ153)/4</f>
        <v>0</v>
      </c>
      <c r="BB153" s="11" t="n">
        <f aca="false">(AW153/AR153)</f>
        <v>0</v>
      </c>
      <c r="BC153" s="11" t="n">
        <f aca="false">(AX153/AS153)</f>
        <v>0</v>
      </c>
      <c r="BD153" s="11" t="n">
        <f aca="false">(AY153/AT153)</f>
        <v>0</v>
      </c>
      <c r="BE153" s="11" t="n">
        <f aca="false">(AZ153/AU153)</f>
        <v>0</v>
      </c>
      <c r="BF153" s="11" t="n">
        <f aca="false">(BA153/AV153)</f>
        <v>0</v>
      </c>
      <c r="BG153" s="11" t="n">
        <f aca="false">(BF153*100)</f>
        <v>0</v>
      </c>
      <c r="BH153" s="9" t="n">
        <v>0</v>
      </c>
      <c r="BI153" s="9" t="n">
        <v>4</v>
      </c>
      <c r="BJ153" s="9" t="n">
        <v>13</v>
      </c>
      <c r="BK153" s="9" t="n">
        <v>4</v>
      </c>
      <c r="BL153" s="9" t="n">
        <v>8</v>
      </c>
      <c r="BM153" s="11" t="n">
        <f aca="false">(BI153+BJ153+BK153+BL153)/4</f>
        <v>7.25</v>
      </c>
      <c r="BN153" s="11" t="n">
        <f aca="false">(BI153/AR153)</f>
        <v>0.5</v>
      </c>
      <c r="BO153" s="11" t="n">
        <f aca="false">(BJ153/AS153)</f>
        <v>0.317073170731707</v>
      </c>
      <c r="BP153" s="11" t="n">
        <f aca="false">(BK153/AT153)</f>
        <v>0.166666666666667</v>
      </c>
      <c r="BQ153" s="11" t="n">
        <f aca="false">(BL153/AU153)</f>
        <v>0.571428571428571</v>
      </c>
      <c r="BR153" s="11" t="n">
        <f aca="false">(BM153/AV153)</f>
        <v>0.333333333333333</v>
      </c>
      <c r="BS153" s="11" t="n">
        <f aca="false">(100*BR153)</f>
        <v>33.3333333333333</v>
      </c>
      <c r="BT153" s="9" t="n">
        <v>3</v>
      </c>
      <c r="BU153" s="9" t="n">
        <v>0</v>
      </c>
      <c r="BV153" s="9" t="n">
        <v>0</v>
      </c>
      <c r="BW153" s="9" t="n">
        <v>0</v>
      </c>
      <c r="BX153" s="9" t="n">
        <v>0</v>
      </c>
      <c r="BY153" s="11" t="n">
        <f aca="false">(BU153+BV153+BW153+BX153)/4</f>
        <v>0</v>
      </c>
      <c r="BZ153" s="11" t="n">
        <f aca="false">(BU153/AR153)</f>
        <v>0</v>
      </c>
      <c r="CA153" s="11" t="n">
        <f aca="false">(BV153/AS153)</f>
        <v>0</v>
      </c>
      <c r="CB153" s="11" t="n">
        <f aca="false">(BW153/AT153)</f>
        <v>0</v>
      </c>
      <c r="CC153" s="11" t="n">
        <f aca="false">(BX153/AU153)</f>
        <v>0</v>
      </c>
      <c r="CD153" s="11" t="n">
        <f aca="false">(BY153/AV153)</f>
        <v>0</v>
      </c>
      <c r="CE153" s="11" t="n">
        <f aca="false">(100*CD153)</f>
        <v>0</v>
      </c>
      <c r="CF153" s="9" t="n">
        <v>0</v>
      </c>
      <c r="CG153" s="9" t="n">
        <v>1</v>
      </c>
      <c r="CH153" s="9" t="n">
        <v>10</v>
      </c>
      <c r="CI153" s="9" t="n">
        <v>1</v>
      </c>
      <c r="CJ153" s="9" t="n">
        <v>0</v>
      </c>
      <c r="CK153" s="11" t="n">
        <f aca="false">(CG153+CH153+CI153+CJ153)/4</f>
        <v>3</v>
      </c>
      <c r="CL153" s="11" t="n">
        <f aca="false">(CG153/AM153)</f>
        <v>1</v>
      </c>
      <c r="CM153" s="11" t="n">
        <f aca="false">(CH153/AN153)</f>
        <v>0.5</v>
      </c>
      <c r="CN153" s="11" t="n">
        <f aca="false">(CI153/AO153)</f>
        <v>1</v>
      </c>
      <c r="CO153" s="9" t="n">
        <f aca="false">(CJ153/AP153)</f>
        <v>0</v>
      </c>
      <c r="CP153" s="9" t="n">
        <f aca="false">(CK153/AQ153)</f>
        <v>0.387096774193548</v>
      </c>
      <c r="CQ153" s="9" t="n">
        <f aca="false">(100*CP153)</f>
        <v>38.7096774193548</v>
      </c>
      <c r="CR153" s="18" t="n">
        <v>3</v>
      </c>
      <c r="CS153" s="9" t="n">
        <v>64.2</v>
      </c>
      <c r="CT153" s="9" t="n">
        <v>67</v>
      </c>
      <c r="CU153" s="9" t="n">
        <v>70</v>
      </c>
      <c r="CV153" s="9" t="n">
        <v>54.7</v>
      </c>
      <c r="CW153" s="11" t="n">
        <f aca="false">(CS153+CT153+CU153+CV153)/4</f>
        <v>63.975</v>
      </c>
      <c r="CX153" s="9" t="n">
        <v>0</v>
      </c>
      <c r="CY153" s="9" t="n">
        <v>0</v>
      </c>
      <c r="CZ153" s="9" t="n">
        <v>0</v>
      </c>
      <c r="DA153" s="9" t="n">
        <v>0</v>
      </c>
      <c r="DB153" s="11" t="n">
        <f aca="false">(CX153+CY153+CZ153+DA153)/4</f>
        <v>0</v>
      </c>
      <c r="DC153" s="9" t="n">
        <v>1</v>
      </c>
      <c r="DD153" s="9" t="n">
        <v>1</v>
      </c>
      <c r="DE153" s="9" t="n">
        <v>1</v>
      </c>
      <c r="DF153" s="9" t="n">
        <v>1</v>
      </c>
      <c r="DG153" s="11" t="n">
        <f aca="false">(DC153+DD153+DE153+DF153)/4</f>
        <v>1</v>
      </c>
      <c r="DH153" s="9" t="n">
        <v>1</v>
      </c>
      <c r="DI153" s="9" t="n">
        <v>1</v>
      </c>
      <c r="DJ153" s="9" t="n">
        <v>1</v>
      </c>
      <c r="DK153" s="9" t="n">
        <v>1</v>
      </c>
      <c r="DL153" s="11" t="n">
        <f aca="false">(DH153+DI153+DJ153+DK153)/4</f>
        <v>1</v>
      </c>
      <c r="DM153" s="9" t="n">
        <v>3</v>
      </c>
      <c r="DN153" s="9" t="n">
        <v>20</v>
      </c>
      <c r="DO153" s="9" t="n">
        <v>3</v>
      </c>
      <c r="DP153" s="9" t="n">
        <v>11</v>
      </c>
      <c r="DQ153" s="11" t="n">
        <f aca="false">(DM153+DN153+DO153+DP153)/4</f>
        <v>9.25</v>
      </c>
      <c r="DR153" s="9" t="n">
        <v>8</v>
      </c>
      <c r="DS153" s="9" t="n">
        <v>10</v>
      </c>
      <c r="DT153" s="9" t="n">
        <v>18</v>
      </c>
      <c r="DU153" s="9" t="n">
        <v>14</v>
      </c>
      <c r="DV153" s="11" t="n">
        <f aca="false">(DR153+DS153+DT153+DU153)/4</f>
        <v>12.5</v>
      </c>
      <c r="DW153" s="9" t="n">
        <v>0</v>
      </c>
      <c r="DX153" s="9" t="n">
        <v>0</v>
      </c>
      <c r="DY153" s="9" t="n">
        <v>0</v>
      </c>
      <c r="DZ153" s="9" t="n">
        <v>0</v>
      </c>
      <c r="EA153" s="11" t="n">
        <f aca="false">(DW153+DX153+DY153+DZ153)/4</f>
        <v>0</v>
      </c>
      <c r="EB153" s="11" t="n">
        <f aca="false">(DW153/DR153)</f>
        <v>0</v>
      </c>
      <c r="EC153" s="11" t="n">
        <f aca="false">(DX153/DS153)</f>
        <v>0</v>
      </c>
      <c r="ED153" s="11" t="n">
        <f aca="false">(DY153/DT153)</f>
        <v>0</v>
      </c>
      <c r="EE153" s="11" t="n">
        <f aca="false">(DZ153/DU153)</f>
        <v>0</v>
      </c>
      <c r="EF153" s="11" t="n">
        <f aca="false">(EA153/DV153)</f>
        <v>0</v>
      </c>
      <c r="EG153" s="11" t="n">
        <f aca="false">(100*EF153)</f>
        <v>0</v>
      </c>
      <c r="EH153" s="9" t="n">
        <v>0</v>
      </c>
      <c r="EI153" s="9" t="n">
        <v>2</v>
      </c>
      <c r="EJ153" s="9" t="n">
        <v>4</v>
      </c>
      <c r="EK153" s="19" t="n">
        <v>1</v>
      </c>
      <c r="EL153" s="9" t="n">
        <v>4</v>
      </c>
      <c r="EM153" s="9" t="n">
        <f aca="false">(EI153+EJ153+EK153+EL153)/4</f>
        <v>2.75</v>
      </c>
      <c r="EN153" s="9" t="n">
        <f aca="false">(EI153/DR153)</f>
        <v>0.25</v>
      </c>
      <c r="EO153" s="9" t="n">
        <f aca="false">(EJ153/DS153)</f>
        <v>0.4</v>
      </c>
      <c r="EP153" s="9" t="n">
        <f aca="false">(EK153/DT153)</f>
        <v>0.0555555555555556</v>
      </c>
      <c r="EQ153" s="9" t="n">
        <f aca="false">(EL153/DU153)</f>
        <v>0.285714285714286</v>
      </c>
      <c r="ER153" s="9" t="n">
        <f aca="false">EM153/DV153</f>
        <v>0.22</v>
      </c>
      <c r="ES153" s="9" t="n">
        <f aca="false">(100*ER153)</f>
        <v>22</v>
      </c>
      <c r="ET153" s="9" t="n">
        <v>2</v>
      </c>
      <c r="EU153" s="18" t="n">
        <v>0</v>
      </c>
      <c r="EV153" s="9" t="n">
        <v>0</v>
      </c>
      <c r="EW153" s="9" t="n">
        <v>0</v>
      </c>
      <c r="EX153" s="9" t="n">
        <v>0</v>
      </c>
      <c r="EY153" s="11" t="n">
        <f aca="false">(EU153+EV153+EW153+EX153)/4</f>
        <v>0</v>
      </c>
      <c r="EZ153" s="11" t="n">
        <f aca="false">(EU153/DR153)</f>
        <v>0</v>
      </c>
      <c r="FA153" s="11" t="n">
        <f aca="false">(EV153/DS153)</f>
        <v>0</v>
      </c>
      <c r="FB153" s="11" t="n">
        <f aca="false">(EW153/DT153)</f>
        <v>0</v>
      </c>
      <c r="FC153" s="11" t="n">
        <f aca="false">(EX153/DU153)</f>
        <v>0</v>
      </c>
      <c r="FD153" s="11" t="n">
        <f aca="false">(EY153/DV153)</f>
        <v>0</v>
      </c>
      <c r="FE153" s="11" t="n">
        <f aca="false">(100*FD153)</f>
        <v>0</v>
      </c>
      <c r="FF153" s="9" t="n">
        <v>0</v>
      </c>
      <c r="FG153" s="9" t="n">
        <v>2</v>
      </c>
      <c r="FH153" s="9" t="n">
        <v>3</v>
      </c>
      <c r="FI153" s="9" t="n">
        <v>1</v>
      </c>
      <c r="FJ153" s="9" t="n">
        <v>4</v>
      </c>
      <c r="FK153" s="11" t="n">
        <f aca="false">(FG153+FH153+FI153+FJ153)/4</f>
        <v>2.5</v>
      </c>
      <c r="FL153" s="11" t="n">
        <f aca="false">(FG153/DR153)</f>
        <v>0.25</v>
      </c>
      <c r="FM153" s="11" t="n">
        <f aca="false">(FH153/DS153)</f>
        <v>0.3</v>
      </c>
      <c r="FN153" s="11" t="n">
        <f aca="false">(FI153/DT153)</f>
        <v>0.0555555555555556</v>
      </c>
      <c r="FO153" s="11" t="n">
        <f aca="false">(FJ153/DU153)</f>
        <v>0.285714285714286</v>
      </c>
      <c r="FP153" s="11" t="n">
        <f aca="false">(FK153/DV153)</f>
        <v>0.2</v>
      </c>
      <c r="FQ153" s="11" t="n">
        <f aca="false">(100*FP153)</f>
        <v>20</v>
      </c>
      <c r="FR153" s="9" t="n">
        <v>2</v>
      </c>
      <c r="FS153" s="9" t="n">
        <v>65.6</v>
      </c>
      <c r="FT153" s="9" t="n">
        <v>68</v>
      </c>
      <c r="FU153" s="9" t="n">
        <v>46.2</v>
      </c>
      <c r="FV153" s="9" t="n">
        <v>70.5</v>
      </c>
      <c r="FW153" s="11" t="n">
        <f aca="false">(FS153+FT153+FU153+FV153)/4</f>
        <v>62.575</v>
      </c>
      <c r="FX153" s="9" t="n">
        <v>0</v>
      </c>
      <c r="FY153" s="9" t="n">
        <v>0</v>
      </c>
      <c r="FZ153" s="9" t="n">
        <v>0</v>
      </c>
      <c r="GA153" s="9" t="n">
        <v>0</v>
      </c>
      <c r="GB153" s="11" t="n">
        <f aca="false">(FX153+FY153+FZ153+GA153)/4</f>
        <v>0</v>
      </c>
      <c r="GC153" s="9" t="n">
        <v>0</v>
      </c>
      <c r="GD153" s="9" t="n">
        <v>1</v>
      </c>
      <c r="GE153" s="9" t="n">
        <v>1</v>
      </c>
      <c r="GF153" s="9" t="n">
        <v>1</v>
      </c>
      <c r="GG153" s="11" t="n">
        <f aca="false">(GC153+GD153+GE153+GF153)/4</f>
        <v>0.75</v>
      </c>
      <c r="GH153" s="9" t="n">
        <v>1</v>
      </c>
      <c r="GI153" s="9" t="n">
        <v>0</v>
      </c>
      <c r="GJ153" s="9" t="n">
        <v>0</v>
      </c>
      <c r="GK153" s="9" t="n">
        <v>0</v>
      </c>
      <c r="GL153" s="11" t="n">
        <f aca="false">(GH153+GI153+GJ153+GK153)/4</f>
        <v>0.25</v>
      </c>
      <c r="GM153" s="9" t="n">
        <v>7</v>
      </c>
      <c r="GN153" s="9" t="n">
        <v>2</v>
      </c>
      <c r="GO153" s="9" t="n">
        <v>0</v>
      </c>
      <c r="GP153" s="9" t="n">
        <v>0</v>
      </c>
      <c r="GQ153" s="11" t="n">
        <f aca="false">(GM153+GN153+GO153+GP153)/4</f>
        <v>2.25</v>
      </c>
      <c r="GR153" s="9" t="n">
        <v>11</v>
      </c>
      <c r="GS153" s="9" t="n">
        <v>11</v>
      </c>
      <c r="GT153" s="9" t="n">
        <v>9</v>
      </c>
      <c r="GU153" s="9" t="n">
        <v>16</v>
      </c>
      <c r="GV153" s="11" t="n">
        <f aca="false">(GR153+GS153+GT153+GU153)/4</f>
        <v>11.75</v>
      </c>
      <c r="GW153" s="9" t="n">
        <v>0</v>
      </c>
      <c r="GX153" s="9" t="n">
        <v>0</v>
      </c>
      <c r="GY153" s="9" t="n">
        <v>0</v>
      </c>
      <c r="GZ153" s="9" t="n">
        <v>0</v>
      </c>
      <c r="HA153" s="11" t="n">
        <f aca="false">(GW153+GX153+GY153+GZ153)/4</f>
        <v>0</v>
      </c>
      <c r="HB153" s="9" t="n">
        <f aca="false">(GW153/GR153)</f>
        <v>0</v>
      </c>
      <c r="HC153" s="9" t="n">
        <f aca="false">(GX153/GS153)</f>
        <v>0</v>
      </c>
      <c r="HD153" s="9" t="n">
        <f aca="false">(GY153/GT153)</f>
        <v>0</v>
      </c>
      <c r="HE153" s="9" t="n">
        <f aca="false">(GZ153/GU153)/4</f>
        <v>0</v>
      </c>
      <c r="HF153" s="9" t="n">
        <f aca="false">(HB153+HC153+HD153+HE153)/4</f>
        <v>0</v>
      </c>
      <c r="HG153" s="9" t="n">
        <f aca="false">(100*HF153)</f>
        <v>0</v>
      </c>
      <c r="HH153" s="18" t="n">
        <v>0</v>
      </c>
      <c r="HI153" s="9" t="n">
        <v>0</v>
      </c>
      <c r="HJ153" s="9" t="n">
        <v>5</v>
      </c>
      <c r="HK153" s="9" t="n">
        <v>5</v>
      </c>
      <c r="HL153" s="19" t="n">
        <v>2</v>
      </c>
      <c r="HM153" s="9" t="n">
        <f aca="false">(HI153+HJ153+HK153+HL153)/4</f>
        <v>3</v>
      </c>
      <c r="HN153" s="9" t="n">
        <f aca="false">(HI153/GR153)</f>
        <v>0</v>
      </c>
      <c r="HO153" s="9" t="n">
        <f aca="false">(HJ153/GS153)</f>
        <v>0.454545454545455</v>
      </c>
      <c r="HP153" s="9" t="n">
        <f aca="false">(HK153/GT153)</f>
        <v>0.555555555555556</v>
      </c>
      <c r="HQ153" s="9" t="n">
        <f aca="false">(HL153/GU153)</f>
        <v>0.125</v>
      </c>
      <c r="HR153" s="9" t="n">
        <f aca="false">(HM153/GV153)</f>
        <v>0.25531914893617</v>
      </c>
      <c r="HS153" s="9" t="n">
        <f aca="false">(100*HR153)</f>
        <v>25.531914893617</v>
      </c>
      <c r="HT153" s="18" t="n">
        <v>2</v>
      </c>
      <c r="HU153" s="9" t="n">
        <v>0</v>
      </c>
      <c r="HV153" s="9" t="n">
        <v>0</v>
      </c>
      <c r="HW153" s="9" t="n">
        <v>0</v>
      </c>
      <c r="HX153" s="19" t="n">
        <v>0</v>
      </c>
      <c r="HY153" s="9" t="n">
        <f aca="false">(HU153+HV153+HW153+HX153)/4</f>
        <v>0</v>
      </c>
      <c r="HZ153" s="9" t="n">
        <f aca="false">(HU153/GR153)</f>
        <v>0</v>
      </c>
      <c r="IA153" s="9" t="n">
        <f aca="false">HV153/GS153</f>
        <v>0</v>
      </c>
      <c r="IB153" s="9" t="n">
        <f aca="false">(HW153/GT153)</f>
        <v>0</v>
      </c>
      <c r="IC153" s="9" t="n">
        <f aca="false">(HX153/GU153)</f>
        <v>0</v>
      </c>
      <c r="ID153" s="9" t="n">
        <f aca="false">(HY153/GV153)</f>
        <v>0</v>
      </c>
      <c r="IE153" s="9" t="n">
        <f aca="false">(100*ID153)</f>
        <v>0</v>
      </c>
      <c r="IF153" s="18" t="n">
        <v>0</v>
      </c>
      <c r="IG153" s="9" t="n">
        <v>4</v>
      </c>
      <c r="IH153" s="9" t="n">
        <v>0</v>
      </c>
      <c r="II153" s="19" t="n">
        <v>0</v>
      </c>
      <c r="IJ153" s="9" t="n">
        <v>0</v>
      </c>
      <c r="IK153" s="9" t="n">
        <f aca="false">(IG153+IH153+II153+IJ153)/4</f>
        <v>1</v>
      </c>
      <c r="IL153" s="9" t="n">
        <f aca="false">(IG153/GM153)</f>
        <v>0.571428571428571</v>
      </c>
      <c r="IM153" s="9" t="n">
        <f aca="false">(IH153/GN153)</f>
        <v>0</v>
      </c>
      <c r="IN153" s="9" t="e">
        <f aca="false">(II153/GO153)</f>
        <v>#DIV/0!</v>
      </c>
      <c r="IO153" s="9" t="e">
        <f aca="false">(IJ153/GP153)</f>
        <v>#DIV/0!</v>
      </c>
      <c r="IP153" s="9" t="n">
        <f aca="false">(IK153/GQ153)</f>
        <v>0.444444444444444</v>
      </c>
      <c r="IQ153" s="9" t="n">
        <f aca="false">(100*IP153)</f>
        <v>44.4444444444444</v>
      </c>
      <c r="IR153" s="18" t="n">
        <v>3</v>
      </c>
      <c r="IS153" s="9" t="n">
        <v>63.1</v>
      </c>
      <c r="IT153" s="9" t="n">
        <v>47.5</v>
      </c>
      <c r="IU153" s="19" t="n">
        <v>48</v>
      </c>
      <c r="IV153" s="9" t="n">
        <v>62.9</v>
      </c>
      <c r="IW153" s="9" t="n">
        <f aca="false">(IS153+IT153+IU153+IV153)/4</f>
        <v>55.375</v>
      </c>
      <c r="IX153" s="16" t="n">
        <v>45210</v>
      </c>
      <c r="IY153" s="10" t="s">
        <v>268</v>
      </c>
    </row>
    <row r="154" customFormat="false" ht="15.75" hidden="false" customHeight="true" outlineLevel="0" collapsed="false">
      <c r="A154" s="9" t="s">
        <v>370</v>
      </c>
      <c r="B154" s="10" t="s">
        <v>616</v>
      </c>
      <c r="C154" s="10" t="s">
        <v>514</v>
      </c>
      <c r="D154" s="9" t="n">
        <v>3</v>
      </c>
      <c r="E154" s="9" t="n">
        <v>51</v>
      </c>
      <c r="F154" s="10" t="s">
        <v>620</v>
      </c>
      <c r="G154" s="10" t="s">
        <v>297</v>
      </c>
      <c r="H154" s="9" t="n">
        <v>20</v>
      </c>
      <c r="I154" s="9" t="n">
        <v>20</v>
      </c>
      <c r="J154" s="10" t="s">
        <v>272</v>
      </c>
      <c r="K154" s="20"/>
      <c r="L154" s="20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 t="n">
        <v>0</v>
      </c>
      <c r="Y154" s="9" t="n">
        <v>0</v>
      </c>
      <c r="Z154" s="9" t="n">
        <v>0</v>
      </c>
      <c r="AA154" s="9" t="n">
        <v>0</v>
      </c>
      <c r="AB154" s="11" t="n">
        <f aca="false">(X154+Y154+Z154+AA154)/4</f>
        <v>0</v>
      </c>
      <c r="AC154" s="9" t="n">
        <v>1</v>
      </c>
      <c r="AD154" s="9" t="n">
        <v>1</v>
      </c>
      <c r="AE154" s="9" t="n">
        <v>1</v>
      </c>
      <c r="AF154" s="9" t="n">
        <v>1</v>
      </c>
      <c r="AG154" s="11" t="n">
        <f aca="false">(AC154+AD154+AE154+AF154)/4</f>
        <v>1</v>
      </c>
      <c r="AH154" s="9" t="n">
        <v>1</v>
      </c>
      <c r="AI154" s="9" t="n">
        <v>1</v>
      </c>
      <c r="AJ154" s="9" t="n">
        <v>1</v>
      </c>
      <c r="AK154" s="9" t="n">
        <v>0</v>
      </c>
      <c r="AL154" s="11" t="n">
        <f aca="false">(AH154+AI154+AJ154+AK154)/4</f>
        <v>0.75</v>
      </c>
      <c r="AM154" s="9" t="n">
        <v>118</v>
      </c>
      <c r="AN154" s="9" t="n">
        <v>48</v>
      </c>
      <c r="AO154" s="9" t="n">
        <v>71</v>
      </c>
      <c r="AP154" s="9" t="n">
        <v>42</v>
      </c>
      <c r="AQ154" s="11" t="n">
        <f aca="false">(AM154+AN154+AO154+AP154)/4</f>
        <v>69.75</v>
      </c>
      <c r="AR154" s="9" t="n">
        <v>38</v>
      </c>
      <c r="AS154" s="9" t="n">
        <v>23</v>
      </c>
      <c r="AT154" s="9" t="n">
        <v>2</v>
      </c>
      <c r="AU154" s="9" t="n">
        <v>10</v>
      </c>
      <c r="AV154" s="11" t="n">
        <f aca="false">(AR154+AS154+AT154+AU154)/4</f>
        <v>18.25</v>
      </c>
      <c r="AW154" s="9" t="n">
        <v>0</v>
      </c>
      <c r="AX154" s="9" t="n">
        <v>0</v>
      </c>
      <c r="AY154" s="9" t="n">
        <v>0</v>
      </c>
      <c r="AZ154" s="9" t="n">
        <v>0</v>
      </c>
      <c r="BA154" s="11" t="n">
        <f aca="false">(AW154+AX154+AY154+AZ154)/4</f>
        <v>0</v>
      </c>
      <c r="BB154" s="11" t="n">
        <f aca="false">(AW154/AR154)</f>
        <v>0</v>
      </c>
      <c r="BC154" s="11" t="n">
        <f aca="false">(AX154/AS154)</f>
        <v>0</v>
      </c>
      <c r="BD154" s="11" t="n">
        <f aca="false">(AY154/AT154)</f>
        <v>0</v>
      </c>
      <c r="BE154" s="11" t="n">
        <f aca="false">(AZ154/AU154)</f>
        <v>0</v>
      </c>
      <c r="BF154" s="11" t="n">
        <f aca="false">(BA154/AV154)</f>
        <v>0</v>
      </c>
      <c r="BG154" s="11" t="n">
        <f aca="false">(BF154*100)</f>
        <v>0</v>
      </c>
      <c r="BH154" s="9" t="n">
        <v>0</v>
      </c>
      <c r="BI154" s="9" t="n">
        <v>5</v>
      </c>
      <c r="BJ154" s="9" t="n">
        <v>3</v>
      </c>
      <c r="BK154" s="9" t="n">
        <v>2</v>
      </c>
      <c r="BL154" s="9" t="n">
        <v>6</v>
      </c>
      <c r="BM154" s="11" t="n">
        <f aca="false">(BI154+BJ154+BK154+BL154)/4</f>
        <v>4</v>
      </c>
      <c r="BN154" s="11" t="n">
        <f aca="false">(BI154/AR154)</f>
        <v>0.131578947368421</v>
      </c>
      <c r="BO154" s="11" t="n">
        <f aca="false">(BJ154/AS154)</f>
        <v>0.130434782608696</v>
      </c>
      <c r="BP154" s="11" t="n">
        <f aca="false">(BK154/AT154)</f>
        <v>1</v>
      </c>
      <c r="BQ154" s="11" t="n">
        <f aca="false">(BL154/AU154)</f>
        <v>0.6</v>
      </c>
      <c r="BR154" s="11" t="n">
        <f aca="false">(BM154/AV154)</f>
        <v>0.219178082191781</v>
      </c>
      <c r="BS154" s="11" t="n">
        <f aca="false">(100*BR154)</f>
        <v>21.9178082191781</v>
      </c>
      <c r="BT154" s="9" t="n">
        <v>2</v>
      </c>
      <c r="BU154" s="9" t="n">
        <v>0</v>
      </c>
      <c r="BV154" s="9" t="n">
        <v>0</v>
      </c>
      <c r="BW154" s="9" t="n">
        <v>0</v>
      </c>
      <c r="BX154" s="9" t="n">
        <v>0</v>
      </c>
      <c r="BY154" s="11" t="n">
        <f aca="false">(BU154+BV154+BW154+BX154)/4</f>
        <v>0</v>
      </c>
      <c r="BZ154" s="11" t="n">
        <f aca="false">(BU154/AR154)</f>
        <v>0</v>
      </c>
      <c r="CA154" s="11" t="n">
        <f aca="false">(BV154/AS154)</f>
        <v>0</v>
      </c>
      <c r="CB154" s="11" t="n">
        <f aca="false">(BW154/AT154)</f>
        <v>0</v>
      </c>
      <c r="CC154" s="11" t="n">
        <f aca="false">(BX154/AU154)</f>
        <v>0</v>
      </c>
      <c r="CD154" s="11" t="n">
        <f aca="false">(BY154/AV154)</f>
        <v>0</v>
      </c>
      <c r="CE154" s="11" t="n">
        <f aca="false">(100*CD154)</f>
        <v>0</v>
      </c>
      <c r="CF154" s="9" t="n">
        <v>0</v>
      </c>
      <c r="CG154" s="9" t="n">
        <v>4</v>
      </c>
      <c r="CH154" s="9" t="n">
        <v>10</v>
      </c>
      <c r="CI154" s="9" t="n">
        <v>2</v>
      </c>
      <c r="CJ154" s="9" t="n">
        <v>0</v>
      </c>
      <c r="CK154" s="11" t="n">
        <f aca="false">(CG154+CH154+CI154+CJ154)/4</f>
        <v>4</v>
      </c>
      <c r="CL154" s="11" t="n">
        <f aca="false">(CG154/AM154)</f>
        <v>0.0338983050847458</v>
      </c>
      <c r="CM154" s="11" t="n">
        <f aca="false">(CH154/AN154)</f>
        <v>0.208333333333333</v>
      </c>
      <c r="CN154" s="11" t="n">
        <f aca="false">(CI154/AO154)</f>
        <v>0.028169014084507</v>
      </c>
      <c r="CO154" s="9" t="n">
        <f aca="false">(CJ154/AP154)</f>
        <v>0</v>
      </c>
      <c r="CP154" s="9" t="n">
        <f aca="false">(CK154/AQ154)</f>
        <v>0.0573476702508961</v>
      </c>
      <c r="CQ154" s="9" t="n">
        <f aca="false">(100*CP154)</f>
        <v>5.73476702508961</v>
      </c>
      <c r="CR154" s="18" t="n">
        <v>1</v>
      </c>
      <c r="CS154" s="9" t="n">
        <v>61.2</v>
      </c>
      <c r="CT154" s="9" t="n">
        <v>62.3</v>
      </c>
      <c r="CU154" s="9" t="n">
        <v>67.4</v>
      </c>
      <c r="CV154" s="9" t="n">
        <v>66.4</v>
      </c>
      <c r="CW154" s="11" t="n">
        <f aca="false">(CS154+CT154+CU154+CV154)/4</f>
        <v>64.325</v>
      </c>
      <c r="CX154" s="9" t="n">
        <v>0</v>
      </c>
      <c r="CY154" s="9" t="n">
        <v>0</v>
      </c>
      <c r="CZ154" s="9" t="n">
        <v>0</v>
      </c>
      <c r="DA154" s="9" t="n">
        <v>1</v>
      </c>
      <c r="DB154" s="11" t="n">
        <f aca="false">(CX154+CY154+CZ154+DA154)/4</f>
        <v>0.25</v>
      </c>
      <c r="DC154" s="9" t="n">
        <v>1</v>
      </c>
      <c r="DD154" s="9" t="n">
        <v>1</v>
      </c>
      <c r="DE154" s="9" t="n">
        <v>1</v>
      </c>
      <c r="DF154" s="9" t="n">
        <v>1</v>
      </c>
      <c r="DG154" s="11" t="n">
        <f aca="false">(DC154+DD154+DE154+DF154)/4</f>
        <v>1</v>
      </c>
      <c r="DH154" s="9" t="n">
        <v>1</v>
      </c>
      <c r="DI154" s="9" t="n">
        <v>1</v>
      </c>
      <c r="DJ154" s="9" t="n">
        <v>1</v>
      </c>
      <c r="DK154" s="9" t="n">
        <v>1</v>
      </c>
      <c r="DL154" s="11" t="n">
        <f aca="false">(DH154+DI154+DJ154+DK154)/4</f>
        <v>1</v>
      </c>
      <c r="DM154" s="9" t="n">
        <v>60</v>
      </c>
      <c r="DN154" s="9" t="n">
        <v>118</v>
      </c>
      <c r="DO154" s="9" t="n">
        <v>92</v>
      </c>
      <c r="DP154" s="9" t="n">
        <v>106</v>
      </c>
      <c r="DQ154" s="11" t="n">
        <f aca="false">(DM154+DN154+DO154+DP154)/4</f>
        <v>94</v>
      </c>
      <c r="DR154" s="9" t="n">
        <v>9</v>
      </c>
      <c r="DS154" s="9" t="n">
        <v>14</v>
      </c>
      <c r="DT154" s="9" t="n">
        <v>29</v>
      </c>
      <c r="DU154" s="9" t="n">
        <v>15</v>
      </c>
      <c r="DV154" s="11" t="n">
        <f aca="false">(DR154+DS154+DT154+DU154)/4</f>
        <v>16.75</v>
      </c>
      <c r="DW154" s="9" t="n">
        <v>0</v>
      </c>
      <c r="DX154" s="9" t="n">
        <v>0</v>
      </c>
      <c r="DY154" s="9" t="n">
        <v>0</v>
      </c>
      <c r="DZ154" s="9" t="n">
        <v>1</v>
      </c>
      <c r="EA154" s="11" t="n">
        <f aca="false">(DW154+DX154+DY154+DZ154)/4</f>
        <v>0.25</v>
      </c>
      <c r="EB154" s="11" t="n">
        <f aca="false">(DW154/DR154)</f>
        <v>0</v>
      </c>
      <c r="EC154" s="11" t="n">
        <f aca="false">(DX154/DS154)</f>
        <v>0</v>
      </c>
      <c r="ED154" s="11" t="n">
        <f aca="false">(DY154/DT154)</f>
        <v>0</v>
      </c>
      <c r="EE154" s="11" t="n">
        <f aca="false">(DZ154/DU154)</f>
        <v>0.0666666666666667</v>
      </c>
      <c r="EF154" s="11" t="n">
        <f aca="false">(EA154/DV154)</f>
        <v>0.0149253731343284</v>
      </c>
      <c r="EG154" s="11" t="n">
        <f aca="false">(100*EF154)</f>
        <v>1.49253731343284</v>
      </c>
      <c r="EH154" s="9" t="n">
        <v>1</v>
      </c>
      <c r="EI154" s="9" t="n">
        <v>3</v>
      </c>
      <c r="EJ154" s="9" t="n">
        <v>6</v>
      </c>
      <c r="EK154" s="19" t="n">
        <v>2</v>
      </c>
      <c r="EL154" s="9" t="n">
        <v>2</v>
      </c>
      <c r="EM154" s="9" t="n">
        <f aca="false">(EI154+EJ154+EK154+EL154)/4</f>
        <v>3.25</v>
      </c>
      <c r="EN154" s="9" t="n">
        <f aca="false">(EI154/DR154)</f>
        <v>0.333333333333333</v>
      </c>
      <c r="EO154" s="9" t="n">
        <f aca="false">(EJ154/DS154)</f>
        <v>0.428571428571429</v>
      </c>
      <c r="EP154" s="9" t="n">
        <f aca="false">(EK154/DT154)</f>
        <v>0.0689655172413793</v>
      </c>
      <c r="EQ154" s="9" t="n">
        <f aca="false">(EL154/DU154)</f>
        <v>0.133333333333333</v>
      </c>
      <c r="ER154" s="9" t="n">
        <f aca="false">EM154/DV154</f>
        <v>0.194029850746269</v>
      </c>
      <c r="ES154" s="9" t="n">
        <f aca="false">(100*ER154)</f>
        <v>19.4029850746269</v>
      </c>
      <c r="ET154" s="9" t="n">
        <v>2</v>
      </c>
      <c r="EU154" s="18" t="n">
        <v>0</v>
      </c>
      <c r="EV154" s="9" t="n">
        <v>0</v>
      </c>
      <c r="EW154" s="9" t="n">
        <v>0</v>
      </c>
      <c r="EX154" s="9" t="n">
        <v>0</v>
      </c>
      <c r="EY154" s="11" t="n">
        <f aca="false">(EU154+EV154+EW154+EX154)/4</f>
        <v>0</v>
      </c>
      <c r="EZ154" s="11" t="n">
        <f aca="false">(EU154/DR154)</f>
        <v>0</v>
      </c>
      <c r="FA154" s="11" t="n">
        <f aca="false">(EV154/DS154)</f>
        <v>0</v>
      </c>
      <c r="FB154" s="11" t="n">
        <f aca="false">(EW154/DT154)</f>
        <v>0</v>
      </c>
      <c r="FC154" s="11" t="n">
        <f aca="false">(EX154/DU154)</f>
        <v>0</v>
      </c>
      <c r="FD154" s="11" t="n">
        <f aca="false">(EY154/DV154)</f>
        <v>0</v>
      </c>
      <c r="FE154" s="11" t="n">
        <f aca="false">(100*FD154)</f>
        <v>0</v>
      </c>
      <c r="FF154" s="9" t="n">
        <v>0</v>
      </c>
      <c r="FG154" s="9" t="n">
        <v>4</v>
      </c>
      <c r="FH154" s="9" t="n">
        <v>8</v>
      </c>
      <c r="FI154" s="9" t="n">
        <v>7</v>
      </c>
      <c r="FJ154" s="9" t="n">
        <v>7</v>
      </c>
      <c r="FK154" s="11" t="n">
        <f aca="false">(FG154+FH154+FI154+FJ154)/4</f>
        <v>6.5</v>
      </c>
      <c r="FL154" s="11" t="n">
        <f aca="false">(FG154/DR154)</f>
        <v>0.444444444444444</v>
      </c>
      <c r="FM154" s="11" t="n">
        <f aca="false">(FH154/DS154)</f>
        <v>0.571428571428571</v>
      </c>
      <c r="FN154" s="11" t="n">
        <f aca="false">(FI154/DT154)</f>
        <v>0.241379310344828</v>
      </c>
      <c r="FO154" s="11" t="n">
        <f aca="false">(FJ154/DU154)</f>
        <v>0.466666666666667</v>
      </c>
      <c r="FP154" s="11" t="n">
        <f aca="false">(FK154/DV154)</f>
        <v>0.388059701492537</v>
      </c>
      <c r="FQ154" s="11" t="n">
        <f aca="false">(100*FP154)</f>
        <v>38.8059701492537</v>
      </c>
      <c r="FR154" s="9" t="n">
        <v>3</v>
      </c>
      <c r="FS154" s="9" t="n">
        <v>59.2</v>
      </c>
      <c r="FT154" s="9" t="n">
        <v>67.5</v>
      </c>
      <c r="FU154" s="9" t="n">
        <v>65</v>
      </c>
      <c r="FV154" s="9" t="n">
        <v>58.1</v>
      </c>
      <c r="FW154" s="11" t="n">
        <f aca="false">(FS154+FT154+FU154+FV154)/4</f>
        <v>62.45</v>
      </c>
      <c r="FX154" s="9" t="n">
        <v>0</v>
      </c>
      <c r="FY154" s="9" t="n">
        <v>0</v>
      </c>
      <c r="FZ154" s="9" t="n">
        <v>1</v>
      </c>
      <c r="GA154" s="9" t="n">
        <v>0</v>
      </c>
      <c r="GB154" s="11" t="n">
        <f aca="false">(FX154+FY154+FZ154+GA154)/4</f>
        <v>0.25</v>
      </c>
      <c r="GC154" s="9" t="n">
        <v>1</v>
      </c>
      <c r="GD154" s="9" t="n">
        <v>1</v>
      </c>
      <c r="GE154" s="9" t="n">
        <v>0</v>
      </c>
      <c r="GF154" s="9" t="n">
        <v>0</v>
      </c>
      <c r="GG154" s="11" t="n">
        <f aca="false">(GC154+GD154+GE154+GF154)/4</f>
        <v>0.5</v>
      </c>
      <c r="GH154" s="9" t="n">
        <v>1</v>
      </c>
      <c r="GI154" s="9" t="n">
        <v>0</v>
      </c>
      <c r="GJ154" s="9" t="n">
        <v>0</v>
      </c>
      <c r="GK154" s="9" t="n">
        <v>1</v>
      </c>
      <c r="GL154" s="11" t="n">
        <f aca="false">(GH154+GI154+GJ154+GK154)/4</f>
        <v>0.5</v>
      </c>
      <c r="GM154" s="9" t="n">
        <v>72</v>
      </c>
      <c r="GN154" s="9" t="n">
        <v>26</v>
      </c>
      <c r="GO154" s="9" t="n">
        <v>72</v>
      </c>
      <c r="GP154" s="9" t="n">
        <v>43</v>
      </c>
      <c r="GQ154" s="11" t="n">
        <f aca="false">(GM154+GN154+GO154+GP154)/4</f>
        <v>53.25</v>
      </c>
      <c r="GR154" s="9" t="n">
        <v>10</v>
      </c>
      <c r="GS154" s="9" t="n">
        <v>15</v>
      </c>
      <c r="GT154" s="9" t="n">
        <v>16</v>
      </c>
      <c r="GU154" s="9" t="n">
        <v>10</v>
      </c>
      <c r="GV154" s="11" t="n">
        <f aca="false">(GR154+GS154+GT154+GU154)/4</f>
        <v>12.75</v>
      </c>
      <c r="GW154" s="9" t="n">
        <v>0</v>
      </c>
      <c r="GX154" s="9" t="n">
        <v>0</v>
      </c>
      <c r="GY154" s="9" t="n">
        <v>11</v>
      </c>
      <c r="GZ154" s="9" t="n">
        <v>0</v>
      </c>
      <c r="HA154" s="11" t="n">
        <f aca="false">(GW154+GX154+GY154+GZ154)/4</f>
        <v>2.75</v>
      </c>
      <c r="HB154" s="9" t="n">
        <f aca="false">(GW154/GR154)</f>
        <v>0</v>
      </c>
      <c r="HC154" s="9" t="n">
        <f aca="false">(GX154/GS154)</f>
        <v>0</v>
      </c>
      <c r="HD154" s="9" t="n">
        <f aca="false">(GY154/GT154)</f>
        <v>0.6875</v>
      </c>
      <c r="HE154" s="9" t="n">
        <f aca="false">(GZ154/GU154)/4</f>
        <v>0</v>
      </c>
      <c r="HF154" s="9" t="n">
        <f aca="false">(HB154+HC154+HD154+HE154)/4</f>
        <v>0.171875</v>
      </c>
      <c r="HG154" s="9" t="n">
        <f aca="false">(100*HF154)</f>
        <v>17.1875</v>
      </c>
      <c r="HH154" s="18" t="n">
        <v>2</v>
      </c>
      <c r="HI154" s="9" t="n">
        <v>6</v>
      </c>
      <c r="HJ154" s="9" t="n">
        <v>3</v>
      </c>
      <c r="HK154" s="9" t="n">
        <v>0</v>
      </c>
      <c r="HL154" s="19" t="n">
        <v>0</v>
      </c>
      <c r="HM154" s="9" t="n">
        <f aca="false">(HI154+HJ154+HK154+HL154)/4</f>
        <v>2.25</v>
      </c>
      <c r="HN154" s="9" t="n">
        <f aca="false">(HI154/GR154)</f>
        <v>0.6</v>
      </c>
      <c r="HO154" s="9" t="n">
        <f aca="false">(HJ154/GS154)</f>
        <v>0.2</v>
      </c>
      <c r="HP154" s="9" t="n">
        <f aca="false">(HK154/GT154)</f>
        <v>0</v>
      </c>
      <c r="HQ154" s="9" t="n">
        <f aca="false">(HL154/GU154)</f>
        <v>0</v>
      </c>
      <c r="HR154" s="9" t="n">
        <f aca="false">(HM154/GV154)</f>
        <v>0.176470588235294</v>
      </c>
      <c r="HS154" s="9" t="n">
        <f aca="false">(100*HR154)</f>
        <v>17.6470588235294</v>
      </c>
      <c r="HT154" s="18" t="n">
        <v>2</v>
      </c>
      <c r="HU154" s="9" t="n">
        <v>0</v>
      </c>
      <c r="HV154" s="9" t="n">
        <v>0</v>
      </c>
      <c r="HW154" s="9" t="n">
        <v>0</v>
      </c>
      <c r="HX154" s="19" t="n">
        <v>3</v>
      </c>
      <c r="HY154" s="9" t="n">
        <f aca="false">(HU154+HV154+HW154+HX154)/4</f>
        <v>0.75</v>
      </c>
      <c r="HZ154" s="9" t="n">
        <f aca="false">(HU154/GR154)</f>
        <v>0</v>
      </c>
      <c r="IA154" s="9" t="n">
        <f aca="false">HV154/GS154</f>
        <v>0</v>
      </c>
      <c r="IB154" s="9" t="n">
        <f aca="false">(HW154/GT154)</f>
        <v>0</v>
      </c>
      <c r="IC154" s="9" t="n">
        <f aca="false">(HX154/GU154)</f>
        <v>0.3</v>
      </c>
      <c r="ID154" s="9" t="n">
        <f aca="false">(HY154/GV154)</f>
        <v>0.0588235294117647</v>
      </c>
      <c r="IE154" s="9" t="n">
        <f aca="false">(100*ID154)</f>
        <v>5.88235294117647</v>
      </c>
      <c r="IF154" s="18" t="n">
        <v>1</v>
      </c>
      <c r="IG154" s="9" t="n">
        <v>17</v>
      </c>
      <c r="IH154" s="9" t="n">
        <v>0</v>
      </c>
      <c r="II154" s="19" t="n">
        <v>0</v>
      </c>
      <c r="IJ154" s="9" t="n">
        <v>0</v>
      </c>
      <c r="IK154" s="9" t="n">
        <f aca="false">(IG154+IH154+II154+IJ154)/4</f>
        <v>4.25</v>
      </c>
      <c r="IL154" s="9" t="n">
        <f aca="false">(IG154/GM154)</f>
        <v>0.236111111111111</v>
      </c>
      <c r="IM154" s="9" t="n">
        <f aca="false">(IH154/GN154)</f>
        <v>0</v>
      </c>
      <c r="IN154" s="9" t="n">
        <f aca="false">(II154/GO154)</f>
        <v>0</v>
      </c>
      <c r="IO154" s="9" t="n">
        <f aca="false">(IJ154/GP154)</f>
        <v>0</v>
      </c>
      <c r="IP154" s="9" t="n">
        <f aca="false">(IK154/GQ154)</f>
        <v>0.07981220657277</v>
      </c>
      <c r="IQ154" s="9" t="n">
        <f aca="false">(100*IP154)</f>
        <v>7.981220657277</v>
      </c>
      <c r="IR154" s="18" t="n">
        <v>1</v>
      </c>
      <c r="IS154" s="9" t="n">
        <v>66.3</v>
      </c>
      <c r="IT154" s="9" t="n">
        <v>66.8</v>
      </c>
      <c r="IU154" s="19" t="n">
        <v>67.5</v>
      </c>
      <c r="IV154" s="9" t="n">
        <v>66.9</v>
      </c>
      <c r="IW154" s="9" t="n">
        <f aca="false">(IS154+IT154+IU154+IV154)/4</f>
        <v>66.875</v>
      </c>
      <c r="IX154" s="16" t="n">
        <v>45210</v>
      </c>
      <c r="IY154" s="10" t="s">
        <v>268</v>
      </c>
    </row>
    <row r="155" customFormat="false" ht="15.75" hidden="false" customHeight="true" outlineLevel="0" collapsed="false">
      <c r="A155" s="39" t="s">
        <v>370</v>
      </c>
      <c r="B155" s="34" t="s">
        <v>621</v>
      </c>
      <c r="C155" s="34" t="s">
        <v>514</v>
      </c>
      <c r="D155" s="34" t="n">
        <v>4</v>
      </c>
      <c r="E155" s="34" t="n">
        <v>52</v>
      </c>
      <c r="F155" s="34" t="s">
        <v>622</v>
      </c>
      <c r="G155" s="34" t="s">
        <v>297</v>
      </c>
      <c r="H155" s="34" t="n">
        <v>20</v>
      </c>
      <c r="I155" s="34" t="n">
        <v>5</v>
      </c>
      <c r="J155" s="36" t="s">
        <v>264</v>
      </c>
      <c r="K155" s="13" t="s">
        <v>597</v>
      </c>
      <c r="L155" s="13" t="s">
        <v>598</v>
      </c>
      <c r="M155" s="32" t="n">
        <v>1287</v>
      </c>
      <c r="N155" s="15" t="n">
        <v>45155</v>
      </c>
      <c r="O155" s="10" t="s">
        <v>294</v>
      </c>
      <c r="P155" s="9"/>
      <c r="Q155" s="9" t="n">
        <v>2.32</v>
      </c>
      <c r="R155" s="9" t="n">
        <v>10</v>
      </c>
      <c r="S155" s="9" t="n">
        <v>-15</v>
      </c>
      <c r="T155" s="9" t="n">
        <v>75</v>
      </c>
      <c r="U155" s="9"/>
      <c r="V155" s="9"/>
      <c r="W155" s="9" t="s">
        <v>623</v>
      </c>
      <c r="X155" s="9" t="n">
        <v>0</v>
      </c>
      <c r="Y155" s="9" t="n">
        <v>0</v>
      </c>
      <c r="Z155" s="9" t="n">
        <v>0</v>
      </c>
      <c r="AA155" s="9" t="n">
        <v>0</v>
      </c>
      <c r="AB155" s="11" t="n">
        <f aca="false">(X155+Y155+Z155+AA155)/4</f>
        <v>0</v>
      </c>
      <c r="AC155" s="9" t="n">
        <v>1</v>
      </c>
      <c r="AD155" s="9" t="n">
        <v>1</v>
      </c>
      <c r="AE155" s="9" t="n">
        <v>0</v>
      </c>
      <c r="AF155" s="9" t="n">
        <v>1</v>
      </c>
      <c r="AG155" s="11" t="n">
        <f aca="false">(AC155+AD155+AE155+AF155)/4</f>
        <v>0.75</v>
      </c>
      <c r="AH155" s="9" t="n">
        <v>1</v>
      </c>
      <c r="AI155" s="9" t="n">
        <v>1</v>
      </c>
      <c r="AJ155" s="9" t="n">
        <v>1</v>
      </c>
      <c r="AK155" s="9" t="n">
        <v>1</v>
      </c>
      <c r="AL155" s="11" t="n">
        <f aca="false">(AH155+AI155+AJ155+AK155)/4</f>
        <v>1</v>
      </c>
      <c r="AM155" s="9" t="n">
        <v>4</v>
      </c>
      <c r="AN155" s="9" t="n">
        <v>12</v>
      </c>
      <c r="AO155" s="9" t="n">
        <v>5</v>
      </c>
      <c r="AP155" s="9" t="n">
        <v>18</v>
      </c>
      <c r="AQ155" s="11" t="n">
        <f aca="false">(AM155+AN155+AO155+AP155)/4</f>
        <v>9.75</v>
      </c>
      <c r="AR155" s="9" t="n">
        <v>52</v>
      </c>
      <c r="AS155" s="9" t="n">
        <v>11</v>
      </c>
      <c r="AT155" s="9" t="n">
        <v>6</v>
      </c>
      <c r="AU155" s="9" t="n">
        <v>10</v>
      </c>
      <c r="AV155" s="11" t="n">
        <f aca="false">(AR155+AS155+AT155+AU155)/4</f>
        <v>19.75</v>
      </c>
      <c r="AW155" s="9" t="n">
        <v>0</v>
      </c>
      <c r="AX155" s="9" t="n">
        <v>0</v>
      </c>
      <c r="AY155" s="9" t="n">
        <v>0</v>
      </c>
      <c r="AZ155" s="9" t="n">
        <v>0</v>
      </c>
      <c r="BA155" s="11" t="n">
        <f aca="false">(AW155+AX155+AY155+AZ155)/4</f>
        <v>0</v>
      </c>
      <c r="BB155" s="11" t="n">
        <f aca="false">(AW155/AR155)</f>
        <v>0</v>
      </c>
      <c r="BC155" s="11" t="n">
        <f aca="false">(AX155/AS155)</f>
        <v>0</v>
      </c>
      <c r="BD155" s="11" t="n">
        <f aca="false">(AY155/AT155)</f>
        <v>0</v>
      </c>
      <c r="BE155" s="11" t="n">
        <f aca="false">(AZ155/AU155)</f>
        <v>0</v>
      </c>
      <c r="BF155" s="11" t="n">
        <f aca="false">(BA155/AV155)</f>
        <v>0</v>
      </c>
      <c r="BG155" s="11" t="n">
        <f aca="false">(BF155*100)</f>
        <v>0</v>
      </c>
      <c r="BH155" s="9" t="n">
        <v>0</v>
      </c>
      <c r="BI155" s="9" t="n">
        <v>7</v>
      </c>
      <c r="BJ155" s="9" t="n">
        <v>3</v>
      </c>
      <c r="BK155" s="9" t="n">
        <v>0</v>
      </c>
      <c r="BL155" s="9" t="n">
        <v>3</v>
      </c>
      <c r="BM155" s="11" t="n">
        <f aca="false">(BI155+BJ155+BK155+BL155)/4</f>
        <v>3.25</v>
      </c>
      <c r="BN155" s="11" t="n">
        <f aca="false">(BI155/AR155)</f>
        <v>0.134615384615385</v>
      </c>
      <c r="BO155" s="11" t="n">
        <f aca="false">(BJ155/AS155)</f>
        <v>0.272727272727273</v>
      </c>
      <c r="BP155" s="11" t="n">
        <f aca="false">(BK155/AT155)</f>
        <v>0</v>
      </c>
      <c r="BQ155" s="11" t="n">
        <f aca="false">(BL155/AU155)</f>
        <v>0.3</v>
      </c>
      <c r="BR155" s="11" t="n">
        <f aca="false">(BM155/AV155)</f>
        <v>0.164556962025316</v>
      </c>
      <c r="BS155" s="11" t="n">
        <f aca="false">(100*BR155)</f>
        <v>16.4556962025316</v>
      </c>
      <c r="BT155" s="9" t="n">
        <v>2</v>
      </c>
      <c r="BU155" s="9" t="n">
        <v>0</v>
      </c>
      <c r="BV155" s="9" t="n">
        <v>0</v>
      </c>
      <c r="BW155" s="9" t="n">
        <v>4</v>
      </c>
      <c r="BX155" s="9" t="n">
        <v>0</v>
      </c>
      <c r="BY155" s="11" t="n">
        <f aca="false">(BU155+BV155+BW155+BX155)/4</f>
        <v>1</v>
      </c>
      <c r="BZ155" s="11" t="n">
        <f aca="false">(BU155/AR155)</f>
        <v>0</v>
      </c>
      <c r="CA155" s="11" t="n">
        <f aca="false">(BV155/AS155)</f>
        <v>0</v>
      </c>
      <c r="CB155" s="11" t="n">
        <f aca="false">(BW155/AT155)</f>
        <v>0.666666666666667</v>
      </c>
      <c r="CC155" s="11" t="n">
        <f aca="false">(BX155/AU155)</f>
        <v>0</v>
      </c>
      <c r="CD155" s="11" t="n">
        <f aca="false">(BY155/AV155)</f>
        <v>0.0506329113924051</v>
      </c>
      <c r="CE155" s="11" t="n">
        <f aca="false">(100*CD155)</f>
        <v>5.06329113924051</v>
      </c>
      <c r="CF155" s="9" t="n">
        <v>1</v>
      </c>
      <c r="CG155" s="9" t="n">
        <v>3</v>
      </c>
      <c r="CH155" s="9" t="n">
        <v>3</v>
      </c>
      <c r="CI155" s="9" t="n">
        <v>4</v>
      </c>
      <c r="CJ155" s="9" t="n">
        <v>5</v>
      </c>
      <c r="CK155" s="11" t="n">
        <f aca="false">(CG155+CH155+CI155+CJ155)/4</f>
        <v>3.75</v>
      </c>
      <c r="CL155" s="11" t="n">
        <f aca="false">(CG155/AM155)</f>
        <v>0.75</v>
      </c>
      <c r="CM155" s="11" t="n">
        <f aca="false">(CH155/AN155)</f>
        <v>0.25</v>
      </c>
      <c r="CN155" s="11" t="n">
        <f aca="false">(CI155/AO155)</f>
        <v>0.8</v>
      </c>
      <c r="CO155" s="9" t="n">
        <f aca="false">(CJ155/AP155)</f>
        <v>0.277777777777778</v>
      </c>
      <c r="CP155" s="9" t="n">
        <f aca="false">(CK155/AQ155)</f>
        <v>0.384615384615385</v>
      </c>
      <c r="CQ155" s="9" t="n">
        <f aca="false">(100*CP155)</f>
        <v>38.4615384615385</v>
      </c>
      <c r="CR155" s="18" t="n">
        <v>3</v>
      </c>
      <c r="CS155" s="9" t="n">
        <v>69.1</v>
      </c>
      <c r="CT155" s="9" t="n">
        <v>57.9</v>
      </c>
      <c r="CU155" s="9" t="n">
        <v>65.4</v>
      </c>
      <c r="CV155" s="9" t="n">
        <v>63.1</v>
      </c>
      <c r="CW155" s="11" t="n">
        <f aca="false">(CS155+CT155+CU155+CV155)/4</f>
        <v>63.875</v>
      </c>
      <c r="CX155" s="9" t="n">
        <v>1</v>
      </c>
      <c r="CY155" s="9" t="n">
        <v>0</v>
      </c>
      <c r="CZ155" s="9" t="n">
        <v>1</v>
      </c>
      <c r="DA155" s="9" t="n">
        <v>0</v>
      </c>
      <c r="DB155" s="11" t="n">
        <f aca="false">(CX155+CY155+CZ155+DA155)/4</f>
        <v>0.5</v>
      </c>
      <c r="DC155" s="9" t="n">
        <v>0</v>
      </c>
      <c r="DD155" s="9" t="n">
        <v>1</v>
      </c>
      <c r="DE155" s="9" t="n">
        <v>0</v>
      </c>
      <c r="DF155" s="9" t="n">
        <v>0</v>
      </c>
      <c r="DG155" s="11" t="n">
        <f aca="false">(DC155+DD155+DE155+DF155)/4</f>
        <v>0.25</v>
      </c>
      <c r="DH155" s="9" t="n">
        <v>0</v>
      </c>
      <c r="DI155" s="9" t="n">
        <v>1</v>
      </c>
      <c r="DJ155" s="9" t="n">
        <v>1</v>
      </c>
      <c r="DK155" s="9" t="n">
        <v>1</v>
      </c>
      <c r="DL155" s="11" t="n">
        <f aca="false">(DH155+DI155+DJ155+DK155)/4</f>
        <v>0.75</v>
      </c>
      <c r="DM155" s="9" t="n">
        <v>18</v>
      </c>
      <c r="DN155" s="9" t="n">
        <v>19</v>
      </c>
      <c r="DO155" s="9" t="n">
        <v>10</v>
      </c>
      <c r="DP155" s="9" t="n">
        <v>7</v>
      </c>
      <c r="DQ155" s="11" t="n">
        <f aca="false">(DM155+DN155+DO155+DP155)/4</f>
        <v>13.5</v>
      </c>
      <c r="DR155" s="9" t="n">
        <v>25</v>
      </c>
      <c r="DS155" s="9" t="n">
        <v>18</v>
      </c>
      <c r="DT155" s="9" t="n">
        <v>15</v>
      </c>
      <c r="DU155" s="9" t="n">
        <v>12</v>
      </c>
      <c r="DV155" s="11" t="n">
        <f aca="false">(DR155+DS155+DT155+DU155)/4</f>
        <v>17.5</v>
      </c>
      <c r="DW155" s="9" t="n">
        <v>1</v>
      </c>
      <c r="DX155" s="9" t="n">
        <v>0</v>
      </c>
      <c r="DY155" s="9" t="n">
        <v>1</v>
      </c>
      <c r="DZ155" s="9" t="n">
        <v>0</v>
      </c>
      <c r="EA155" s="11" t="n">
        <f aca="false">(DW155+DX155+DY155+DZ155)/4</f>
        <v>0.5</v>
      </c>
      <c r="EB155" s="11" t="n">
        <f aca="false">(DW155/DR155)</f>
        <v>0.04</v>
      </c>
      <c r="EC155" s="11" t="n">
        <f aca="false">(DX155/DS155)</f>
        <v>0</v>
      </c>
      <c r="ED155" s="11" t="n">
        <f aca="false">(DY155/DT155)</f>
        <v>0.0666666666666667</v>
      </c>
      <c r="EE155" s="11" t="n">
        <f aca="false">(DZ155/DU155)</f>
        <v>0</v>
      </c>
      <c r="EF155" s="11" t="n">
        <f aca="false">(EA155/DV155)</f>
        <v>0.0285714285714286</v>
      </c>
      <c r="EG155" s="11" t="n">
        <f aca="false">(100*EF155)</f>
        <v>2.85714285714286</v>
      </c>
      <c r="EH155" s="9" t="n">
        <v>1</v>
      </c>
      <c r="EI155" s="9" t="n">
        <v>0</v>
      </c>
      <c r="EJ155" s="9" t="n">
        <v>4</v>
      </c>
      <c r="EK155" s="19" t="n">
        <v>0</v>
      </c>
      <c r="EL155" s="9" t="n">
        <v>0</v>
      </c>
      <c r="EM155" s="9" t="n">
        <f aca="false">(EI155+EJ155+EK155+EL155)/4</f>
        <v>1</v>
      </c>
      <c r="EN155" s="9" t="n">
        <f aca="false">(EI155/DR155)</f>
        <v>0</v>
      </c>
      <c r="EO155" s="9" t="n">
        <f aca="false">(EJ155/DS155)</f>
        <v>0.222222222222222</v>
      </c>
      <c r="EP155" s="9" t="n">
        <f aca="false">(EK155/DT155)</f>
        <v>0</v>
      </c>
      <c r="EQ155" s="9" t="n">
        <f aca="false">(EL155/DU155)</f>
        <v>0</v>
      </c>
      <c r="ER155" s="9" t="n">
        <f aca="false">EM155/DV155</f>
        <v>0.0571428571428571</v>
      </c>
      <c r="ES155" s="9" t="n">
        <f aca="false">(100*ER155)</f>
        <v>5.71428571428571</v>
      </c>
      <c r="ET155" s="9" t="n">
        <v>1</v>
      </c>
      <c r="EU155" s="18" t="n">
        <v>0</v>
      </c>
      <c r="EV155" s="9" t="n">
        <v>0</v>
      </c>
      <c r="EW155" s="9" t="n">
        <v>0</v>
      </c>
      <c r="EX155" s="9" t="n">
        <v>0</v>
      </c>
      <c r="EY155" s="11" t="n">
        <f aca="false">(EU155+EV155+EW155+EX155)/4</f>
        <v>0</v>
      </c>
      <c r="EZ155" s="11" t="n">
        <f aca="false">(EU155/DR155)</f>
        <v>0</v>
      </c>
      <c r="FA155" s="11" t="n">
        <f aca="false">(EV155/DS155)</f>
        <v>0</v>
      </c>
      <c r="FB155" s="11" t="n">
        <f aca="false">(EW155/DT155)</f>
        <v>0</v>
      </c>
      <c r="FC155" s="11" t="n">
        <f aca="false">(EX155/DU155)</f>
        <v>0</v>
      </c>
      <c r="FD155" s="11" t="n">
        <f aca="false">(EY155/DV155)</f>
        <v>0</v>
      </c>
      <c r="FE155" s="11" t="n">
        <f aca="false">(100*FD155)</f>
        <v>0</v>
      </c>
      <c r="FF155" s="9" t="n">
        <v>0</v>
      </c>
      <c r="FG155" s="9" t="n">
        <v>0</v>
      </c>
      <c r="FH155" s="9" t="n">
        <v>4</v>
      </c>
      <c r="FI155" s="9" t="n">
        <v>3</v>
      </c>
      <c r="FJ155" s="9" t="n">
        <v>4</v>
      </c>
      <c r="FK155" s="11" t="n">
        <f aca="false">(FG155+FH155+FI155+FJ155)/4</f>
        <v>2.75</v>
      </c>
      <c r="FL155" s="11" t="n">
        <f aca="false">(FG155/DR155)</f>
        <v>0</v>
      </c>
      <c r="FM155" s="11" t="n">
        <f aca="false">(FH155/DS155)</f>
        <v>0.222222222222222</v>
      </c>
      <c r="FN155" s="11" t="n">
        <f aca="false">(FI155/DT155)</f>
        <v>0.2</v>
      </c>
      <c r="FO155" s="11" t="n">
        <f aca="false">(FJ155/DU155)</f>
        <v>0.333333333333333</v>
      </c>
      <c r="FP155" s="11" t="n">
        <f aca="false">(FK155/DV155)</f>
        <v>0.157142857142857</v>
      </c>
      <c r="FQ155" s="11" t="n">
        <f aca="false">(100*FP155)</f>
        <v>15.7142857142857</v>
      </c>
      <c r="FR155" s="9" t="n">
        <v>2</v>
      </c>
      <c r="FS155" s="9" t="n">
        <v>67.6</v>
      </c>
      <c r="FT155" s="9" t="n">
        <v>72.5</v>
      </c>
      <c r="FU155" s="9" t="n">
        <v>53.9</v>
      </c>
      <c r="FV155" s="9" t="n">
        <v>58.3</v>
      </c>
      <c r="FW155" s="11" t="n">
        <f aca="false">(FS155+FT155+FU155+FV155)/4</f>
        <v>63.075</v>
      </c>
      <c r="FX155" s="11" t="n">
        <v>0</v>
      </c>
      <c r="FY155" s="11" t="n">
        <v>0</v>
      </c>
      <c r="FZ155" s="11" t="n">
        <v>0</v>
      </c>
      <c r="GA155" s="11" t="n">
        <v>0</v>
      </c>
      <c r="GB155" s="11" t="n">
        <f aca="false">(FX155+FY155+FZ155+GA155)/4</f>
        <v>0</v>
      </c>
      <c r="GC155" s="9" t="n">
        <v>0</v>
      </c>
      <c r="GD155" s="9" t="n">
        <v>0</v>
      </c>
      <c r="GE155" s="9" t="n">
        <v>1</v>
      </c>
      <c r="GF155" s="9" t="n">
        <v>1</v>
      </c>
      <c r="GG155" s="11" t="n">
        <f aca="false">(GC155+GD155+GE155+GF155)/4</f>
        <v>0.5</v>
      </c>
      <c r="GH155" s="9" t="n">
        <v>0</v>
      </c>
      <c r="GI155" s="9" t="n">
        <v>0</v>
      </c>
      <c r="GJ155" s="9" t="n">
        <v>1</v>
      </c>
      <c r="GK155" s="9" t="n">
        <v>0</v>
      </c>
      <c r="GL155" s="11" t="n">
        <f aca="false">(GH155+GI155+GJ155+GK155)/4</f>
        <v>0.25</v>
      </c>
      <c r="GM155" s="9" t="n">
        <v>22</v>
      </c>
      <c r="GN155" s="9" t="n">
        <v>0</v>
      </c>
      <c r="GO155" s="9" t="n">
        <v>14</v>
      </c>
      <c r="GP155" s="9" t="n">
        <v>13</v>
      </c>
      <c r="GQ155" s="11" t="n">
        <f aca="false">(GM155+GN155+GO155+GP155)/4</f>
        <v>12.25</v>
      </c>
      <c r="GR155" s="9" t="n">
        <v>23</v>
      </c>
      <c r="GS155" s="9" t="n">
        <v>18</v>
      </c>
      <c r="GT155" s="9" t="n">
        <v>12</v>
      </c>
      <c r="GU155" s="9" t="n">
        <v>33</v>
      </c>
      <c r="GV155" s="11" t="n">
        <f aca="false">(GR155+GS155+GT155+GU155)/4</f>
        <v>21.5</v>
      </c>
      <c r="GW155" s="9" t="n">
        <v>0</v>
      </c>
      <c r="GX155" s="9" t="n">
        <v>0</v>
      </c>
      <c r="GY155" s="9" t="n">
        <v>0</v>
      </c>
      <c r="GZ155" s="9" t="n">
        <v>0</v>
      </c>
      <c r="HA155" s="11" t="n">
        <f aca="false">(GW155+GX155+GY155+GZ155)/4</f>
        <v>0</v>
      </c>
      <c r="HB155" s="9" t="n">
        <f aca="false">(GW155/GR155)</f>
        <v>0</v>
      </c>
      <c r="HC155" s="9" t="n">
        <f aca="false">(GX155/GS155)</f>
        <v>0</v>
      </c>
      <c r="HD155" s="9" t="n">
        <f aca="false">(GY155/GT155)</f>
        <v>0</v>
      </c>
      <c r="HE155" s="9" t="n">
        <f aca="false">(GZ155/GU155)/4</f>
        <v>0</v>
      </c>
      <c r="HF155" s="9" t="n">
        <f aca="false">(HB155+HC155+HD155+HE155)/4</f>
        <v>0</v>
      </c>
      <c r="HG155" s="9" t="n">
        <f aca="false">(100*HF155)</f>
        <v>0</v>
      </c>
      <c r="HH155" s="18" t="n">
        <v>0</v>
      </c>
      <c r="HI155" s="9" t="n">
        <v>0</v>
      </c>
      <c r="HJ155" s="9" t="n">
        <v>1</v>
      </c>
      <c r="HK155" s="9" t="n">
        <v>2</v>
      </c>
      <c r="HL155" s="19" t="n">
        <v>1</v>
      </c>
      <c r="HM155" s="9" t="n">
        <f aca="false">(HI155+HJ155+HK155+HL155)/4</f>
        <v>1</v>
      </c>
      <c r="HN155" s="9" t="n">
        <f aca="false">(HI155/GR155)</f>
        <v>0</v>
      </c>
      <c r="HO155" s="9" t="n">
        <f aca="false">(HJ155/GS155)</f>
        <v>0.0555555555555556</v>
      </c>
      <c r="HP155" s="9" t="n">
        <f aca="false">(HK155/GT155)</f>
        <v>0.166666666666667</v>
      </c>
      <c r="HQ155" s="9" t="n">
        <f aca="false">(HL155/GU155)</f>
        <v>0.0303030303030303</v>
      </c>
      <c r="HR155" s="9" t="n">
        <f aca="false">(HM155/GV155)</f>
        <v>0.0465116279069767</v>
      </c>
      <c r="HS155" s="9" t="n">
        <f aca="false">(100*HR155)</f>
        <v>4.65116279069768</v>
      </c>
      <c r="HT155" s="18" t="n">
        <v>1</v>
      </c>
      <c r="HU155" s="9" t="n">
        <v>0</v>
      </c>
      <c r="HV155" s="9" t="n">
        <v>0</v>
      </c>
      <c r="HW155" s="9" t="n">
        <v>0</v>
      </c>
      <c r="HX155" s="19" t="n">
        <v>0</v>
      </c>
      <c r="HY155" s="9" t="n">
        <f aca="false">(HU155+HV155+HW155+HX155)/4</f>
        <v>0</v>
      </c>
      <c r="HZ155" s="9" t="n">
        <f aca="false">(HU155/GR155)</f>
        <v>0</v>
      </c>
      <c r="IA155" s="9" t="n">
        <f aca="false">HV155/GS155</f>
        <v>0</v>
      </c>
      <c r="IB155" s="9" t="n">
        <f aca="false">(HW155/GT155)</f>
        <v>0</v>
      </c>
      <c r="IC155" s="9" t="n">
        <f aca="false">(HX155/GU155)</f>
        <v>0</v>
      </c>
      <c r="ID155" s="9" t="n">
        <f aca="false">(HY155/GV155)</f>
        <v>0</v>
      </c>
      <c r="IE155" s="9" t="n">
        <f aca="false">(100*ID155)</f>
        <v>0</v>
      </c>
      <c r="IF155" s="18" t="n">
        <v>0</v>
      </c>
      <c r="IG155" s="9" t="n">
        <v>0</v>
      </c>
      <c r="IH155" s="9" t="n">
        <v>0</v>
      </c>
      <c r="II155" s="19" t="n">
        <v>2</v>
      </c>
      <c r="IJ155" s="9" t="n">
        <v>0</v>
      </c>
      <c r="IK155" s="9" t="n">
        <f aca="false">(IG155+IH155+II155+IJ155)/4</f>
        <v>0.5</v>
      </c>
      <c r="IL155" s="9" t="n">
        <f aca="false">(IG155/GM155)</f>
        <v>0</v>
      </c>
      <c r="IM155" s="9" t="e">
        <f aca="false">(IH155/GN155)</f>
        <v>#DIV/0!</v>
      </c>
      <c r="IN155" s="9" t="n">
        <f aca="false">(II155/GO155)</f>
        <v>0.142857142857143</v>
      </c>
      <c r="IO155" s="9" t="n">
        <f aca="false">(IJ155/GP155)</f>
        <v>0</v>
      </c>
      <c r="IP155" s="9" t="n">
        <f aca="false">(IK155/GQ155)</f>
        <v>0.0408163265306122</v>
      </c>
      <c r="IQ155" s="9" t="n">
        <f aca="false">(100*IP155)</f>
        <v>4.08163265306123</v>
      </c>
      <c r="IR155" s="18" t="n">
        <v>1</v>
      </c>
      <c r="IS155" s="9" t="n">
        <v>68</v>
      </c>
      <c r="IT155" s="9" t="n">
        <v>63.6</v>
      </c>
      <c r="IU155" s="19" t="n">
        <v>75.1</v>
      </c>
      <c r="IV155" s="9" t="n">
        <v>67.9</v>
      </c>
      <c r="IW155" s="9" t="n">
        <f aca="false">(IS155+IT155+IU155+IV155)/4</f>
        <v>68.65</v>
      </c>
      <c r="IX155" s="16" t="n">
        <v>45210</v>
      </c>
      <c r="IY155" s="10" t="s">
        <v>268</v>
      </c>
    </row>
    <row r="156" customFormat="false" ht="15.75" hidden="false" customHeight="true" outlineLevel="0" collapsed="false">
      <c r="A156" s="9" t="s">
        <v>370</v>
      </c>
      <c r="B156" s="10" t="s">
        <v>621</v>
      </c>
      <c r="C156" s="10" t="s">
        <v>514</v>
      </c>
      <c r="D156" s="9" t="n">
        <v>4</v>
      </c>
      <c r="E156" s="9" t="n">
        <v>52</v>
      </c>
      <c r="F156" s="10" t="s">
        <v>624</v>
      </c>
      <c r="G156" s="10" t="s">
        <v>297</v>
      </c>
      <c r="H156" s="9" t="n">
        <v>20</v>
      </c>
      <c r="I156" s="9" t="n">
        <v>11</v>
      </c>
      <c r="J156" s="12" t="s">
        <v>270</v>
      </c>
      <c r="K156" s="20"/>
      <c r="L156" s="20"/>
      <c r="M156" s="9"/>
      <c r="N156" s="9"/>
      <c r="O156" s="9"/>
      <c r="P156" s="9"/>
      <c r="Q156" s="11"/>
      <c r="R156" s="11"/>
      <c r="S156" s="11"/>
      <c r="T156" s="11"/>
      <c r="U156" s="11"/>
      <c r="V156" s="11"/>
      <c r="W156" s="11"/>
      <c r="X156" s="9" t="n">
        <v>1</v>
      </c>
      <c r="Y156" s="9" t="n">
        <v>0</v>
      </c>
      <c r="Z156" s="9" t="n">
        <v>0</v>
      </c>
      <c r="AA156" s="9" t="n">
        <v>0</v>
      </c>
      <c r="AB156" s="11" t="n">
        <f aca="false">(X156+Y156+Z156+AA156)/4</f>
        <v>0.25</v>
      </c>
      <c r="AC156" s="9" t="n">
        <v>1</v>
      </c>
      <c r="AD156" s="9" t="n">
        <v>1</v>
      </c>
      <c r="AE156" s="9" t="n">
        <v>1</v>
      </c>
      <c r="AF156" s="9" t="n">
        <v>1</v>
      </c>
      <c r="AG156" s="11" t="n">
        <f aca="false">(AC156+AD156+AE156+AF156)/4</f>
        <v>1</v>
      </c>
      <c r="AH156" s="9" t="n">
        <v>0</v>
      </c>
      <c r="AI156" s="9" t="n">
        <v>0</v>
      </c>
      <c r="AJ156" s="9" t="n">
        <v>0</v>
      </c>
      <c r="AK156" s="9" t="n">
        <v>0</v>
      </c>
      <c r="AL156" s="11" t="n">
        <f aca="false">(AH156+AI156+AJ156+AK156)/4</f>
        <v>0</v>
      </c>
      <c r="AM156" s="9" t="n">
        <v>1</v>
      </c>
      <c r="AN156" s="9" t="n">
        <v>19</v>
      </c>
      <c r="AO156" s="9" t="n">
        <v>2</v>
      </c>
      <c r="AP156" s="9" t="n">
        <v>22</v>
      </c>
      <c r="AQ156" s="11" t="n">
        <f aca="false">(AM156+AN156+AO156+AP156)/4</f>
        <v>11</v>
      </c>
      <c r="AR156" s="9" t="n">
        <v>30</v>
      </c>
      <c r="AS156" s="9" t="n">
        <v>19</v>
      </c>
      <c r="AT156" s="9" t="n">
        <v>15</v>
      </c>
      <c r="AU156" s="9" t="n">
        <v>22</v>
      </c>
      <c r="AV156" s="11" t="n">
        <f aca="false">(AR156+AS156+AT156+AU156)/4</f>
        <v>21.5</v>
      </c>
      <c r="AW156" s="9" t="n">
        <v>1</v>
      </c>
      <c r="AX156" s="9" t="n">
        <v>0</v>
      </c>
      <c r="AY156" s="9" t="n">
        <v>0</v>
      </c>
      <c r="AZ156" s="9" t="n">
        <v>0</v>
      </c>
      <c r="BA156" s="11" t="n">
        <f aca="false">(AW156+AX156+AY156+AZ156)/4</f>
        <v>0.25</v>
      </c>
      <c r="BB156" s="11" t="n">
        <f aca="false">(AW156/AR156)</f>
        <v>0.0333333333333333</v>
      </c>
      <c r="BC156" s="11" t="n">
        <f aca="false">(AX156/AS156)</f>
        <v>0</v>
      </c>
      <c r="BD156" s="11" t="n">
        <f aca="false">(AY156/AT156)</f>
        <v>0</v>
      </c>
      <c r="BE156" s="11" t="n">
        <f aca="false">(AZ156/AU156)</f>
        <v>0</v>
      </c>
      <c r="BF156" s="11" t="n">
        <f aca="false">(BA156/AV156)</f>
        <v>0.0116279069767442</v>
      </c>
      <c r="BG156" s="11" t="n">
        <f aca="false">(BF156*100)</f>
        <v>1.16279069767442</v>
      </c>
      <c r="BH156" s="9" t="n">
        <v>1</v>
      </c>
      <c r="BI156" s="9" t="n">
        <v>5</v>
      </c>
      <c r="BJ156" s="9" t="n">
        <v>3</v>
      </c>
      <c r="BK156" s="9" t="n">
        <v>2</v>
      </c>
      <c r="BL156" s="9" t="n">
        <v>2</v>
      </c>
      <c r="BM156" s="11" t="n">
        <f aca="false">(BI156+BJ156+BK156+BL156)/4</f>
        <v>3</v>
      </c>
      <c r="BN156" s="11" t="n">
        <f aca="false">(BI156/AR156)</f>
        <v>0.166666666666667</v>
      </c>
      <c r="BO156" s="11" t="n">
        <f aca="false">(BJ156/AS156)</f>
        <v>0.157894736842105</v>
      </c>
      <c r="BP156" s="11" t="n">
        <f aca="false">(BK156/AT156)</f>
        <v>0.133333333333333</v>
      </c>
      <c r="BQ156" s="11" t="n">
        <f aca="false">(BL156/AU156)</f>
        <v>0.0909090909090909</v>
      </c>
      <c r="BR156" s="11" t="n">
        <f aca="false">(BM156/AV156)</f>
        <v>0.13953488372093</v>
      </c>
      <c r="BS156" s="11" t="n">
        <f aca="false">(100*BR156)</f>
        <v>13.953488372093</v>
      </c>
      <c r="BT156" s="9" t="n">
        <v>2</v>
      </c>
      <c r="BU156" s="9" t="n">
        <v>0</v>
      </c>
      <c r="BV156" s="9" t="n">
        <v>0</v>
      </c>
      <c r="BW156" s="9" t="n">
        <v>0</v>
      </c>
      <c r="BX156" s="9" t="n">
        <v>0</v>
      </c>
      <c r="BY156" s="11" t="n">
        <f aca="false">(BU156+BV156+BW156+BX156)/4</f>
        <v>0</v>
      </c>
      <c r="BZ156" s="11" t="n">
        <f aca="false">(BU156/AR156)</f>
        <v>0</v>
      </c>
      <c r="CA156" s="11" t="n">
        <f aca="false">(BV156/AS156)</f>
        <v>0</v>
      </c>
      <c r="CB156" s="11" t="n">
        <f aca="false">(BW156/AT156)</f>
        <v>0</v>
      </c>
      <c r="CC156" s="11" t="n">
        <f aca="false">(BX156/AU156)</f>
        <v>0</v>
      </c>
      <c r="CD156" s="11" t="n">
        <f aca="false">(BY156/AV156)</f>
        <v>0</v>
      </c>
      <c r="CE156" s="11" t="n">
        <f aca="false">(100*CD156)</f>
        <v>0</v>
      </c>
      <c r="CF156" s="9" t="n">
        <v>0</v>
      </c>
      <c r="CG156" s="9" t="n">
        <v>0</v>
      </c>
      <c r="CH156" s="9" t="n">
        <v>0</v>
      </c>
      <c r="CI156" s="9" t="n">
        <v>0</v>
      </c>
      <c r="CJ156" s="9" t="n">
        <v>0</v>
      </c>
      <c r="CK156" s="11" t="n">
        <f aca="false">(CG156+CH156+CI156+CJ156)/4</f>
        <v>0</v>
      </c>
      <c r="CL156" s="11" t="n">
        <f aca="false">(CG156/AM156)</f>
        <v>0</v>
      </c>
      <c r="CM156" s="11" t="n">
        <f aca="false">(CH156/AN156)</f>
        <v>0</v>
      </c>
      <c r="CN156" s="11" t="n">
        <f aca="false">(CI156/AO156)</f>
        <v>0</v>
      </c>
      <c r="CO156" s="9" t="n">
        <f aca="false">(CJ156/AP156)</f>
        <v>0</v>
      </c>
      <c r="CP156" s="9" t="n">
        <f aca="false">(CK156/AQ156)</f>
        <v>0</v>
      </c>
      <c r="CQ156" s="9" t="n">
        <f aca="false">(100*CP156)</f>
        <v>0</v>
      </c>
      <c r="CR156" s="18" t="n">
        <v>0</v>
      </c>
      <c r="CS156" s="9" t="n">
        <v>76.9</v>
      </c>
      <c r="CT156" s="9" t="n">
        <v>68.4</v>
      </c>
      <c r="CU156" s="9" t="n">
        <v>60.5</v>
      </c>
      <c r="CV156" s="9" t="n">
        <v>76.8</v>
      </c>
      <c r="CW156" s="11" t="n">
        <f aca="false">(CS156+CT156+CU156+CV156)/4</f>
        <v>70.65</v>
      </c>
      <c r="CX156" s="9" t="n">
        <v>0</v>
      </c>
      <c r="CY156" s="9" t="n">
        <v>0</v>
      </c>
      <c r="CZ156" s="9" t="n">
        <v>0</v>
      </c>
      <c r="DA156" s="9" t="n">
        <v>0</v>
      </c>
      <c r="DB156" s="11" t="n">
        <f aca="false">(CX156+CY156+CZ156+DA156)/4</f>
        <v>0</v>
      </c>
      <c r="DC156" s="9" t="n">
        <v>0</v>
      </c>
      <c r="DD156" s="9" t="n">
        <v>1</v>
      </c>
      <c r="DE156" s="9" t="n">
        <v>0</v>
      </c>
      <c r="DF156" s="9" t="n">
        <v>1</v>
      </c>
      <c r="DG156" s="11" t="n">
        <f aca="false">(DC156+DD156+DE156+DF156)/4</f>
        <v>0.5</v>
      </c>
      <c r="DH156" s="9" t="n">
        <v>1</v>
      </c>
      <c r="DI156" s="9" t="n">
        <v>0</v>
      </c>
      <c r="DJ156" s="9" t="n">
        <v>0</v>
      </c>
      <c r="DK156" s="9" t="n">
        <v>1</v>
      </c>
      <c r="DL156" s="11" t="n">
        <f aca="false">(DH156+DI156+DJ156+DK156)/4</f>
        <v>0.5</v>
      </c>
      <c r="DM156" s="9" t="n">
        <v>32</v>
      </c>
      <c r="DN156" s="9" t="n">
        <v>23</v>
      </c>
      <c r="DO156" s="9" t="n">
        <v>5</v>
      </c>
      <c r="DP156" s="9" t="n">
        <v>13</v>
      </c>
      <c r="DQ156" s="11" t="n">
        <f aca="false">(DM156+DN156+DO156+DP156)/4</f>
        <v>18.25</v>
      </c>
      <c r="DR156" s="9" t="n">
        <v>16</v>
      </c>
      <c r="DS156" s="9" t="n">
        <v>19</v>
      </c>
      <c r="DT156" s="9" t="n">
        <v>8</v>
      </c>
      <c r="DU156" s="9" t="n">
        <v>15</v>
      </c>
      <c r="DV156" s="11" t="n">
        <f aca="false">(DR156+DS156+DT156+DU156)/4</f>
        <v>14.5</v>
      </c>
      <c r="DW156" s="9" t="n">
        <v>0</v>
      </c>
      <c r="DX156" s="9" t="n">
        <v>0</v>
      </c>
      <c r="DY156" s="9" t="n">
        <v>0</v>
      </c>
      <c r="DZ156" s="9" t="n">
        <v>0</v>
      </c>
      <c r="EA156" s="11" t="n">
        <f aca="false">(DW156+DX156+DY156+DZ156)/4</f>
        <v>0</v>
      </c>
      <c r="EB156" s="11" t="n">
        <f aca="false">(DW156/DR156)</f>
        <v>0</v>
      </c>
      <c r="EC156" s="11" t="n">
        <f aca="false">(DX156/DS156)</f>
        <v>0</v>
      </c>
      <c r="ED156" s="11" t="n">
        <f aca="false">(DY156/DT156)</f>
        <v>0</v>
      </c>
      <c r="EE156" s="11" t="n">
        <f aca="false">(DZ156/DU156)</f>
        <v>0</v>
      </c>
      <c r="EF156" s="11" t="n">
        <f aca="false">(EA156/DV156)</f>
        <v>0</v>
      </c>
      <c r="EG156" s="11" t="n">
        <f aca="false">(100*EF156)</f>
        <v>0</v>
      </c>
      <c r="EH156" s="9" t="n">
        <v>0</v>
      </c>
      <c r="EI156" s="9" t="n">
        <v>0</v>
      </c>
      <c r="EJ156" s="9" t="n">
        <v>3</v>
      </c>
      <c r="EK156" s="19" t="n">
        <v>0</v>
      </c>
      <c r="EL156" s="9" t="n">
        <v>6</v>
      </c>
      <c r="EM156" s="9" t="n">
        <f aca="false">(EI156+EJ156+EK156+EL156)/4</f>
        <v>2.25</v>
      </c>
      <c r="EN156" s="9" t="n">
        <f aca="false">(EI156/DR156)</f>
        <v>0</v>
      </c>
      <c r="EO156" s="9" t="n">
        <f aca="false">(EJ156/DS156)</f>
        <v>0.157894736842105</v>
      </c>
      <c r="EP156" s="9" t="n">
        <f aca="false">(EK156/DT156)</f>
        <v>0</v>
      </c>
      <c r="EQ156" s="9" t="n">
        <f aca="false">(EL156/DU156)</f>
        <v>0.4</v>
      </c>
      <c r="ER156" s="9" t="n">
        <f aca="false">EM156/DV156</f>
        <v>0.155172413793103</v>
      </c>
      <c r="ES156" s="9" t="n">
        <f aca="false">(100*ER156)</f>
        <v>15.5172413793103</v>
      </c>
      <c r="ET156" s="9" t="n">
        <v>2</v>
      </c>
      <c r="EU156" s="18" t="n">
        <v>0</v>
      </c>
      <c r="EV156" s="9" t="n">
        <v>0</v>
      </c>
      <c r="EW156" s="9" t="n">
        <v>0</v>
      </c>
      <c r="EX156" s="9" t="n">
        <v>0</v>
      </c>
      <c r="EY156" s="11" t="n">
        <f aca="false">(EU156+EV156+EW156+EX156)/4</f>
        <v>0</v>
      </c>
      <c r="EZ156" s="11" t="n">
        <f aca="false">(EU156/DR156)</f>
        <v>0</v>
      </c>
      <c r="FA156" s="11" t="n">
        <f aca="false">(EV156/DS156)</f>
        <v>0</v>
      </c>
      <c r="FB156" s="11" t="n">
        <f aca="false">(EW156/DT156)</f>
        <v>0</v>
      </c>
      <c r="FC156" s="11" t="n">
        <f aca="false">(EX156/DU156)</f>
        <v>0</v>
      </c>
      <c r="FD156" s="11" t="n">
        <f aca="false">(EY156/DV156)</f>
        <v>0</v>
      </c>
      <c r="FE156" s="11" t="n">
        <f aca="false">(100*FD156)</f>
        <v>0</v>
      </c>
      <c r="FF156" s="9" t="n">
        <v>0</v>
      </c>
      <c r="FG156" s="9" t="n">
        <v>2</v>
      </c>
      <c r="FH156" s="9" t="n">
        <v>0</v>
      </c>
      <c r="FI156" s="9" t="n">
        <v>0</v>
      </c>
      <c r="FJ156" s="9" t="n">
        <v>3</v>
      </c>
      <c r="FK156" s="11" t="n">
        <f aca="false">(FG156+FH156+FI156+FJ156)/4</f>
        <v>1.25</v>
      </c>
      <c r="FL156" s="11" t="n">
        <f aca="false">(FG156/DR156)</f>
        <v>0.125</v>
      </c>
      <c r="FM156" s="11" t="n">
        <f aca="false">(FH156/DS156)</f>
        <v>0</v>
      </c>
      <c r="FN156" s="11" t="n">
        <f aca="false">(FI156/DT156)</f>
        <v>0</v>
      </c>
      <c r="FO156" s="11" t="n">
        <f aca="false">(FJ156/DU156)</f>
        <v>0.2</v>
      </c>
      <c r="FP156" s="11" t="n">
        <f aca="false">(FK156/DV156)</f>
        <v>0.0862068965517241</v>
      </c>
      <c r="FQ156" s="11" t="n">
        <f aca="false">(100*FP156)</f>
        <v>8.62068965517242</v>
      </c>
      <c r="FR156" s="9" t="n">
        <v>1</v>
      </c>
      <c r="FS156" s="9" t="n">
        <v>69</v>
      </c>
      <c r="FT156" s="9" t="n">
        <v>65.1</v>
      </c>
      <c r="FU156" s="9" t="n">
        <v>67.9</v>
      </c>
      <c r="FV156" s="9" t="n">
        <v>66.2</v>
      </c>
      <c r="FW156" s="11" t="n">
        <f aca="false">(FS156+FT156+FU156+FV156)/4</f>
        <v>67.05</v>
      </c>
      <c r="FX156" s="9" t="n">
        <v>0</v>
      </c>
      <c r="FY156" s="9" t="n">
        <v>0</v>
      </c>
      <c r="FZ156" s="9" t="n">
        <v>0</v>
      </c>
      <c r="GA156" s="9" t="n">
        <v>0</v>
      </c>
      <c r="GB156" s="11" t="n">
        <f aca="false">(FX156+FY156+FZ156+GA156)/4</f>
        <v>0</v>
      </c>
      <c r="GC156" s="9" t="n">
        <v>1</v>
      </c>
      <c r="GD156" s="9" t="n">
        <v>1</v>
      </c>
      <c r="GE156" s="9" t="n">
        <v>0</v>
      </c>
      <c r="GF156" s="9" t="n">
        <v>0</v>
      </c>
      <c r="GG156" s="11" t="n">
        <f aca="false">(GC156+GD156+GE156+GF156)/4</f>
        <v>0.5</v>
      </c>
      <c r="GH156" s="9" t="n">
        <v>0</v>
      </c>
      <c r="GI156" s="9" t="n">
        <v>0</v>
      </c>
      <c r="GJ156" s="9" t="n">
        <v>3</v>
      </c>
      <c r="GK156" s="9" t="n">
        <v>1</v>
      </c>
      <c r="GL156" s="11" t="n">
        <f aca="false">(GH156+GI156+GJ156+GK156)/4</f>
        <v>1</v>
      </c>
      <c r="GM156" s="9" t="n">
        <v>5</v>
      </c>
      <c r="GN156" s="9" t="n">
        <v>18</v>
      </c>
      <c r="GO156" s="9" t="n">
        <v>19</v>
      </c>
      <c r="GP156" s="9" t="n">
        <v>16</v>
      </c>
      <c r="GQ156" s="11" t="n">
        <f aca="false">(GM156+GN156+GO156+GP156)/4</f>
        <v>14.5</v>
      </c>
      <c r="GR156" s="9" t="n">
        <v>5</v>
      </c>
      <c r="GS156" s="9" t="n">
        <v>18</v>
      </c>
      <c r="GT156" s="9" t="n">
        <v>17</v>
      </c>
      <c r="GU156" s="9" t="n">
        <v>16</v>
      </c>
      <c r="GV156" s="11" t="n">
        <f aca="false">(GR156+GS156+GT156+GU156)/4</f>
        <v>14</v>
      </c>
      <c r="GW156" s="9" t="n">
        <v>0</v>
      </c>
      <c r="GX156" s="9" t="n">
        <v>0</v>
      </c>
      <c r="GY156" s="9" t="n">
        <v>0</v>
      </c>
      <c r="GZ156" s="9" t="n">
        <v>0</v>
      </c>
      <c r="HA156" s="11" t="n">
        <f aca="false">(GW156+GX156+GY156+GZ156)/4</f>
        <v>0</v>
      </c>
      <c r="HB156" s="9" t="n">
        <f aca="false">(GW156/GR156)</f>
        <v>0</v>
      </c>
      <c r="HC156" s="9" t="n">
        <f aca="false">(GX156/GS156)</f>
        <v>0</v>
      </c>
      <c r="HD156" s="9" t="n">
        <f aca="false">(GY156/GT156)</f>
        <v>0</v>
      </c>
      <c r="HE156" s="9" t="n">
        <f aca="false">(GZ156/GU156)/4</f>
        <v>0</v>
      </c>
      <c r="HF156" s="9" t="n">
        <f aca="false">(HB156+HC156+HD156+HE156)/4</f>
        <v>0</v>
      </c>
      <c r="HG156" s="9" t="n">
        <f aca="false">(100*HF156)</f>
        <v>0</v>
      </c>
      <c r="HH156" s="18" t="n">
        <v>0</v>
      </c>
      <c r="HI156" s="9" t="n">
        <v>2</v>
      </c>
      <c r="HJ156" s="9" t="n">
        <v>2</v>
      </c>
      <c r="HK156" s="9" t="n">
        <v>0</v>
      </c>
      <c r="HL156" s="19" t="n">
        <v>0</v>
      </c>
      <c r="HM156" s="9" t="n">
        <f aca="false">(HI156+HJ156+HK156+HL156)/4</f>
        <v>1</v>
      </c>
      <c r="HN156" s="9" t="n">
        <f aca="false">(HI156/GR156)</f>
        <v>0.4</v>
      </c>
      <c r="HO156" s="9" t="n">
        <f aca="false">(HJ156/GS156)</f>
        <v>0.111111111111111</v>
      </c>
      <c r="HP156" s="9" t="n">
        <f aca="false">(HK156/GT156)</f>
        <v>0</v>
      </c>
      <c r="HQ156" s="9" t="n">
        <f aca="false">(HL156/GU156)</f>
        <v>0</v>
      </c>
      <c r="HR156" s="9" t="n">
        <f aca="false">(HM156/GV156)</f>
        <v>0.0714285714285714</v>
      </c>
      <c r="HS156" s="9" t="n">
        <f aca="false">(100*HR156)</f>
        <v>7.14285714285714</v>
      </c>
      <c r="HT156" s="18" t="n">
        <v>1</v>
      </c>
      <c r="HU156" s="9" t="n">
        <v>0</v>
      </c>
      <c r="HV156" s="9" t="n">
        <v>0</v>
      </c>
      <c r="HW156" s="9" t="n">
        <v>3</v>
      </c>
      <c r="HX156" s="19" t="n">
        <v>1</v>
      </c>
      <c r="HY156" s="9" t="n">
        <f aca="false">(HU156+HV156+HW156+HX156)/4</f>
        <v>1</v>
      </c>
      <c r="HZ156" s="9" t="n">
        <f aca="false">(HU156/GR156)</f>
        <v>0</v>
      </c>
      <c r="IA156" s="9" t="n">
        <f aca="false">HV156/GS156</f>
        <v>0</v>
      </c>
      <c r="IB156" s="9" t="n">
        <f aca="false">(HW156/GT156)</f>
        <v>0.176470588235294</v>
      </c>
      <c r="IC156" s="9" t="n">
        <f aca="false">(HX156/GU156)</f>
        <v>0.0625</v>
      </c>
      <c r="ID156" s="9" t="n">
        <f aca="false">(HY156/GV156)</f>
        <v>0.0714285714285714</v>
      </c>
      <c r="IE156" s="9" t="n">
        <f aca="false">(100*ID156)</f>
        <v>7.14285714285714</v>
      </c>
      <c r="IF156" s="18" t="n">
        <v>1</v>
      </c>
      <c r="IG156" s="9" t="n">
        <v>0</v>
      </c>
      <c r="IH156" s="9" t="n">
        <v>0</v>
      </c>
      <c r="II156" s="19" t="n">
        <v>0</v>
      </c>
      <c r="IJ156" s="9" t="n">
        <v>0</v>
      </c>
      <c r="IK156" s="9" t="n">
        <f aca="false">(IG156+IH156+II156+IJ156)/4</f>
        <v>0</v>
      </c>
      <c r="IL156" s="9" t="n">
        <f aca="false">(IG156/GM156)</f>
        <v>0</v>
      </c>
      <c r="IM156" s="9" t="n">
        <f aca="false">(IH156/GN156)</f>
        <v>0</v>
      </c>
      <c r="IN156" s="9" t="n">
        <f aca="false">(II156/GO156)</f>
        <v>0</v>
      </c>
      <c r="IO156" s="9" t="n">
        <f aca="false">(IJ156/GP156)</f>
        <v>0</v>
      </c>
      <c r="IP156" s="9" t="n">
        <f aca="false">(IK156/GQ156)</f>
        <v>0</v>
      </c>
      <c r="IQ156" s="9" t="n">
        <f aca="false">(100*IP156)</f>
        <v>0</v>
      </c>
      <c r="IR156" s="18" t="n">
        <v>0</v>
      </c>
      <c r="IS156" s="9" t="n">
        <v>75.2</v>
      </c>
      <c r="IT156" s="9" t="n">
        <v>66.7</v>
      </c>
      <c r="IU156" s="19" t="n">
        <v>73.7</v>
      </c>
      <c r="IV156" s="9" t="n">
        <v>72.8</v>
      </c>
      <c r="IW156" s="9" t="n">
        <f aca="false">(IS156+IT156+IU156+IV156)/4</f>
        <v>72.1</v>
      </c>
      <c r="IX156" s="16" t="n">
        <v>45210</v>
      </c>
      <c r="IY156" s="10" t="s">
        <v>268</v>
      </c>
    </row>
    <row r="157" customFormat="false" ht="15.75" hidden="false" customHeight="true" outlineLevel="0" collapsed="false">
      <c r="A157" s="9" t="s">
        <v>370</v>
      </c>
      <c r="B157" s="10" t="s">
        <v>621</v>
      </c>
      <c r="C157" s="10" t="s">
        <v>514</v>
      </c>
      <c r="D157" s="9" t="n">
        <v>4</v>
      </c>
      <c r="E157" s="9" t="n">
        <v>52</v>
      </c>
      <c r="F157" s="10" t="s">
        <v>625</v>
      </c>
      <c r="G157" s="10" t="s">
        <v>297</v>
      </c>
      <c r="H157" s="9" t="n">
        <v>20</v>
      </c>
      <c r="I157" s="9" t="n">
        <v>19</v>
      </c>
      <c r="J157" s="10" t="s">
        <v>272</v>
      </c>
      <c r="K157" s="20"/>
      <c r="L157" s="20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 t="n">
        <v>0</v>
      </c>
      <c r="Y157" s="9" t="n">
        <v>0</v>
      </c>
      <c r="Z157" s="9" t="n">
        <v>0</v>
      </c>
      <c r="AA157" s="9" t="n">
        <v>0</v>
      </c>
      <c r="AB157" s="11" t="n">
        <f aca="false">(X157+Y157+Z157+AA157)/4</f>
        <v>0</v>
      </c>
      <c r="AC157" s="9" t="n">
        <v>1</v>
      </c>
      <c r="AD157" s="9" t="n">
        <v>1</v>
      </c>
      <c r="AE157" s="9" t="n">
        <v>1</v>
      </c>
      <c r="AF157" s="9" t="n">
        <v>1</v>
      </c>
      <c r="AG157" s="11" t="n">
        <f aca="false">(AC157+AD157+AE157+AF157)/4</f>
        <v>1</v>
      </c>
      <c r="AH157" s="9" t="n">
        <v>1</v>
      </c>
      <c r="AI157" s="9" t="n">
        <v>0</v>
      </c>
      <c r="AJ157" s="9" t="n">
        <v>1</v>
      </c>
      <c r="AK157" s="9" t="n">
        <v>0</v>
      </c>
      <c r="AL157" s="11" t="n">
        <f aca="false">(AH157+AI157+AJ157+AK157)/4</f>
        <v>0.5</v>
      </c>
      <c r="AM157" s="9" t="n">
        <v>27</v>
      </c>
      <c r="AN157" s="9" t="n">
        <v>10</v>
      </c>
      <c r="AO157" s="9" t="n">
        <v>12</v>
      </c>
      <c r="AP157" s="9" t="n">
        <v>15</v>
      </c>
      <c r="AQ157" s="11" t="n">
        <f aca="false">(AM157+AN157+AO157+AP157)/4</f>
        <v>16</v>
      </c>
      <c r="AR157" s="9" t="n">
        <v>4</v>
      </c>
      <c r="AS157" s="9" t="n">
        <v>21</v>
      </c>
      <c r="AT157" s="9" t="n">
        <v>6</v>
      </c>
      <c r="AU157" s="9" t="n">
        <v>10</v>
      </c>
      <c r="AV157" s="11" t="n">
        <f aca="false">(AR157+AS157+AT157+AU157)/4</f>
        <v>10.25</v>
      </c>
      <c r="AW157" s="9" t="n">
        <v>0</v>
      </c>
      <c r="AX157" s="9" t="n">
        <v>0</v>
      </c>
      <c r="AY157" s="9" t="n">
        <v>0</v>
      </c>
      <c r="AZ157" s="9" t="n">
        <v>0</v>
      </c>
      <c r="BA157" s="11" t="n">
        <f aca="false">(AW157+AX157+AY157+AZ157)/4</f>
        <v>0</v>
      </c>
      <c r="BB157" s="11" t="n">
        <f aca="false">(AW157/AR157)</f>
        <v>0</v>
      </c>
      <c r="BC157" s="11" t="n">
        <f aca="false">(AX157/AS157)</f>
        <v>0</v>
      </c>
      <c r="BD157" s="11" t="n">
        <f aca="false">(AY157/AT157)</f>
        <v>0</v>
      </c>
      <c r="BE157" s="11" t="n">
        <f aca="false">(AZ157/AU157)</f>
        <v>0</v>
      </c>
      <c r="BF157" s="11" t="n">
        <f aca="false">(BA157/AV157)</f>
        <v>0</v>
      </c>
      <c r="BG157" s="11" t="n">
        <f aca="false">(BF157*100)</f>
        <v>0</v>
      </c>
      <c r="BH157" s="9" t="n">
        <v>0</v>
      </c>
      <c r="BI157" s="9" t="n">
        <v>2</v>
      </c>
      <c r="BJ157" s="9" t="n">
        <v>7</v>
      </c>
      <c r="BK157" s="9" t="n">
        <v>2</v>
      </c>
      <c r="BL157" s="9" t="n">
        <v>2</v>
      </c>
      <c r="BM157" s="11" t="n">
        <f aca="false">(BI157+BJ157+BK157+BL157)/4</f>
        <v>3.25</v>
      </c>
      <c r="BN157" s="11" t="n">
        <f aca="false">(BI157/AR157)</f>
        <v>0.5</v>
      </c>
      <c r="BO157" s="11" t="n">
        <f aca="false">(BJ157/AS157)</f>
        <v>0.333333333333333</v>
      </c>
      <c r="BP157" s="11" t="n">
        <f aca="false">(BK157/AT157)</f>
        <v>0.333333333333333</v>
      </c>
      <c r="BQ157" s="11" t="n">
        <f aca="false">(BL157/AU157)</f>
        <v>0.2</v>
      </c>
      <c r="BR157" s="11" t="n">
        <f aca="false">(BM157/AV157)</f>
        <v>0.317073170731707</v>
      </c>
      <c r="BS157" s="11" t="n">
        <f aca="false">(100*BR157)</f>
        <v>31.7073170731707</v>
      </c>
      <c r="BT157" s="9" t="n">
        <v>3</v>
      </c>
      <c r="BU157" s="9" t="n">
        <v>0</v>
      </c>
      <c r="BV157" s="9" t="n">
        <v>0</v>
      </c>
      <c r="BW157" s="9" t="n">
        <v>2</v>
      </c>
      <c r="BX157" s="9" t="n">
        <v>0</v>
      </c>
      <c r="BY157" s="11" t="n">
        <f aca="false">(BU157+BV157+BW157+BX157)/4</f>
        <v>0.5</v>
      </c>
      <c r="BZ157" s="11" t="n">
        <f aca="false">(BU157/AR157)</f>
        <v>0</v>
      </c>
      <c r="CA157" s="11" t="n">
        <f aca="false">(BV157/AS157)</f>
        <v>0</v>
      </c>
      <c r="CB157" s="11" t="n">
        <f aca="false">(BW157/AT157)</f>
        <v>0.333333333333333</v>
      </c>
      <c r="CC157" s="11" t="n">
        <f aca="false">(BX157/AU157)</f>
        <v>0</v>
      </c>
      <c r="CD157" s="11" t="n">
        <f aca="false">(BY157/AV157)</f>
        <v>0.0487804878048781</v>
      </c>
      <c r="CE157" s="11" t="n">
        <f aca="false">(100*CD157)</f>
        <v>4.87804878048781</v>
      </c>
      <c r="CF157" s="9" t="n">
        <v>1</v>
      </c>
      <c r="CG157" s="9" t="n">
        <v>6</v>
      </c>
      <c r="CH157" s="9" t="n">
        <v>0</v>
      </c>
      <c r="CI157" s="9" t="n">
        <v>0</v>
      </c>
      <c r="CJ157" s="9" t="n">
        <v>0</v>
      </c>
      <c r="CK157" s="11" t="n">
        <f aca="false">(CG157+CH157+CI157+CJ157)/4</f>
        <v>1.5</v>
      </c>
      <c r="CL157" s="11" t="n">
        <f aca="false">(CG157/AM157)</f>
        <v>0.222222222222222</v>
      </c>
      <c r="CM157" s="11" t="n">
        <f aca="false">(CH157/AN157)</f>
        <v>0</v>
      </c>
      <c r="CN157" s="11" t="n">
        <f aca="false">(CI157/AO157)</f>
        <v>0</v>
      </c>
      <c r="CO157" s="9" t="n">
        <f aca="false">(CJ157/AP157)</f>
        <v>0</v>
      </c>
      <c r="CP157" s="9" t="n">
        <f aca="false">(CK157/AQ157)</f>
        <v>0.09375</v>
      </c>
      <c r="CQ157" s="9" t="n">
        <f aca="false">(100*CP157)</f>
        <v>9.375</v>
      </c>
      <c r="CR157" s="18" t="n">
        <v>1</v>
      </c>
      <c r="CS157" s="9" t="n">
        <v>51</v>
      </c>
      <c r="CT157" s="9" t="n">
        <v>39.8</v>
      </c>
      <c r="CU157" s="9" t="n">
        <v>59.2</v>
      </c>
      <c r="CV157" s="9" t="n">
        <v>58.1</v>
      </c>
      <c r="CW157" s="11" t="n">
        <f aca="false">(CS157+CT157+CU157+CV157)/4</f>
        <v>52.025</v>
      </c>
      <c r="CX157" s="9" t="n">
        <v>0</v>
      </c>
      <c r="CY157" s="9" t="n">
        <v>0</v>
      </c>
      <c r="CZ157" s="9" t="n">
        <v>0</v>
      </c>
      <c r="DA157" s="9" t="n">
        <v>0</v>
      </c>
      <c r="DB157" s="11" t="n">
        <f aca="false">(CX157+CY157+CZ157+DA157)/4</f>
        <v>0</v>
      </c>
      <c r="DC157" s="9" t="n">
        <v>1</v>
      </c>
      <c r="DD157" s="9" t="n">
        <v>1</v>
      </c>
      <c r="DE157" s="9" t="n">
        <v>1</v>
      </c>
      <c r="DF157" s="9" t="n">
        <v>1</v>
      </c>
      <c r="DG157" s="11" t="n">
        <f aca="false">(DC157+DD157+DE157+DF157)/4</f>
        <v>1</v>
      </c>
      <c r="DH157" s="9" t="n">
        <v>1</v>
      </c>
      <c r="DI157" s="9" t="n">
        <v>0</v>
      </c>
      <c r="DJ157" s="9" t="n">
        <v>0</v>
      </c>
      <c r="DK157" s="9" t="n">
        <v>0</v>
      </c>
      <c r="DL157" s="11" t="n">
        <f aca="false">(DH157+DI157+DJ157+DK157)/4</f>
        <v>0.25</v>
      </c>
      <c r="DM157" s="9" t="n">
        <v>6</v>
      </c>
      <c r="DN157" s="9" t="n">
        <v>36</v>
      </c>
      <c r="DO157" s="9" t="n">
        <v>29</v>
      </c>
      <c r="DP157" s="9" t="n">
        <v>29</v>
      </c>
      <c r="DQ157" s="11" t="n">
        <f aca="false">(DM157+DN157+DO157+DP157)/4</f>
        <v>25</v>
      </c>
      <c r="DR157" s="9" t="n">
        <v>10</v>
      </c>
      <c r="DS157" s="9" t="n">
        <v>17</v>
      </c>
      <c r="DT157" s="9" t="n">
        <v>18</v>
      </c>
      <c r="DU157" s="9" t="n">
        <v>6</v>
      </c>
      <c r="DV157" s="11" t="n">
        <f aca="false">(DR157+DS157+DT157+DU157)/4</f>
        <v>12.75</v>
      </c>
      <c r="DW157" s="9" t="n">
        <v>0</v>
      </c>
      <c r="DX157" s="9" t="n">
        <v>0</v>
      </c>
      <c r="DY157" s="9" t="n">
        <v>0</v>
      </c>
      <c r="DZ157" s="9" t="n">
        <v>0</v>
      </c>
      <c r="EA157" s="11" t="n">
        <f aca="false">(DW157+DX157+DY157+DZ157)/4</f>
        <v>0</v>
      </c>
      <c r="EB157" s="11" t="n">
        <f aca="false">(DW157/DR157)</f>
        <v>0</v>
      </c>
      <c r="EC157" s="11" t="n">
        <f aca="false">(DX157/DS157)</f>
        <v>0</v>
      </c>
      <c r="ED157" s="11" t="n">
        <f aca="false">(DY157/DT157)</f>
        <v>0</v>
      </c>
      <c r="EE157" s="11" t="n">
        <f aca="false">(DZ157/DU157)</f>
        <v>0</v>
      </c>
      <c r="EF157" s="11" t="n">
        <f aca="false">(EA157/DV157)</f>
        <v>0</v>
      </c>
      <c r="EG157" s="11" t="n">
        <f aca="false">(100*EF157)</f>
        <v>0</v>
      </c>
      <c r="EH157" s="9" t="n">
        <v>0</v>
      </c>
      <c r="EI157" s="9" t="n">
        <v>4</v>
      </c>
      <c r="EJ157" s="9" t="n">
        <v>1</v>
      </c>
      <c r="EK157" s="19" t="n">
        <v>4</v>
      </c>
      <c r="EL157" s="9" t="n">
        <v>3</v>
      </c>
      <c r="EM157" s="9" t="n">
        <f aca="false">(EI157+EJ157+EK157+EL157)/4</f>
        <v>3</v>
      </c>
      <c r="EN157" s="9" t="n">
        <f aca="false">(EI157/DR157)</f>
        <v>0.4</v>
      </c>
      <c r="EO157" s="9" t="n">
        <f aca="false">(EJ157/DS157)</f>
        <v>0.0588235294117647</v>
      </c>
      <c r="EP157" s="9" t="n">
        <f aca="false">(EK157/DT157)</f>
        <v>0.222222222222222</v>
      </c>
      <c r="EQ157" s="9" t="n">
        <f aca="false">(EL157/DU157)</f>
        <v>0.5</v>
      </c>
      <c r="ER157" s="9" t="n">
        <f aca="false">EM157/DV157</f>
        <v>0.235294117647059</v>
      </c>
      <c r="ES157" s="9" t="n">
        <f aca="false">(100*ER157)</f>
        <v>23.5294117647059</v>
      </c>
      <c r="ET157" s="9" t="n">
        <v>2</v>
      </c>
      <c r="EU157" s="18" t="n">
        <v>0</v>
      </c>
      <c r="EV157" s="9" t="n">
        <v>0</v>
      </c>
      <c r="EW157" s="9" t="n">
        <v>0</v>
      </c>
      <c r="EX157" s="9" t="n">
        <v>0</v>
      </c>
      <c r="EY157" s="11" t="n">
        <f aca="false">(EU157+EV157+EW157+EX157)/4</f>
        <v>0</v>
      </c>
      <c r="EZ157" s="11" t="n">
        <f aca="false">(EU157/DR157)</f>
        <v>0</v>
      </c>
      <c r="FA157" s="11" t="n">
        <f aca="false">(EV157/DS157)</f>
        <v>0</v>
      </c>
      <c r="FB157" s="11" t="n">
        <f aca="false">(EW157/DT157)</f>
        <v>0</v>
      </c>
      <c r="FC157" s="11" t="n">
        <f aca="false">(EX157/DU157)</f>
        <v>0</v>
      </c>
      <c r="FD157" s="11" t="n">
        <f aca="false">(EY157/DV157)</f>
        <v>0</v>
      </c>
      <c r="FE157" s="11" t="n">
        <f aca="false">(100*FD157)</f>
        <v>0</v>
      </c>
      <c r="FF157" s="9" t="n">
        <v>0</v>
      </c>
      <c r="FG157" s="9" t="n">
        <v>4</v>
      </c>
      <c r="FH157" s="9" t="n">
        <v>0</v>
      </c>
      <c r="FI157" s="9" t="n">
        <v>0</v>
      </c>
      <c r="FJ157" s="9" t="n">
        <v>0</v>
      </c>
      <c r="FK157" s="11" t="n">
        <f aca="false">(FG157+FH157+FI157+FJ157)/4</f>
        <v>1</v>
      </c>
      <c r="FL157" s="11" t="n">
        <f aca="false">(FG157/DR157)</f>
        <v>0.4</v>
      </c>
      <c r="FM157" s="11" t="n">
        <f aca="false">(FH157/DS157)</f>
        <v>0</v>
      </c>
      <c r="FN157" s="11" t="n">
        <f aca="false">(FI157/DT157)</f>
        <v>0</v>
      </c>
      <c r="FO157" s="11" t="n">
        <f aca="false">(FJ157/DU157)</f>
        <v>0</v>
      </c>
      <c r="FP157" s="11" t="n">
        <f aca="false">(FK157/DV157)</f>
        <v>0.0784313725490196</v>
      </c>
      <c r="FQ157" s="11" t="n">
        <f aca="false">(100*FP157)</f>
        <v>7.84313725490196</v>
      </c>
      <c r="FR157" s="9" t="n">
        <v>1</v>
      </c>
      <c r="FS157" s="9" t="n">
        <v>63.4</v>
      </c>
      <c r="FT157" s="9" t="n">
        <v>59</v>
      </c>
      <c r="FU157" s="9" t="n">
        <v>66.8</v>
      </c>
      <c r="FV157" s="9" t="n">
        <v>60.4</v>
      </c>
      <c r="FW157" s="11" t="n">
        <f aca="false">(FS157+FT157+FU157+FV157)/4</f>
        <v>62.4</v>
      </c>
      <c r="FX157" s="9" t="n">
        <v>0</v>
      </c>
      <c r="FY157" s="9" t="n">
        <v>0</v>
      </c>
      <c r="FZ157" s="9" t="n">
        <v>0</v>
      </c>
      <c r="GA157" s="9" t="n">
        <v>0</v>
      </c>
      <c r="GB157" s="11" t="n">
        <f aca="false">(FX157+FY157+FZ157+GA157)/4</f>
        <v>0</v>
      </c>
      <c r="GC157" s="9" t="n">
        <v>0</v>
      </c>
      <c r="GD157" s="9" t="n">
        <v>1</v>
      </c>
      <c r="GE157" s="9" t="n">
        <v>0</v>
      </c>
      <c r="GF157" s="9" t="n">
        <v>1</v>
      </c>
      <c r="GG157" s="11" t="n">
        <f aca="false">(GC157+GD157+GE157+GF157)/4</f>
        <v>0.5</v>
      </c>
      <c r="GH157" s="9" t="n">
        <v>0</v>
      </c>
      <c r="GI157" s="9" t="n">
        <v>0</v>
      </c>
      <c r="GJ157" s="9" t="n">
        <v>1</v>
      </c>
      <c r="GK157" s="9" t="n">
        <v>1</v>
      </c>
      <c r="GL157" s="11" t="n">
        <f aca="false">(GH157+GI157+GJ157+GK157)/4</f>
        <v>0.5</v>
      </c>
      <c r="GM157" s="9" t="n">
        <v>45</v>
      </c>
      <c r="GN157" s="9" t="n">
        <v>49</v>
      </c>
      <c r="GO157" s="9" t="n">
        <v>27</v>
      </c>
      <c r="GP157" s="9" t="n">
        <v>23</v>
      </c>
      <c r="GQ157" s="11" t="n">
        <f aca="false">(GM157+GN157+GO157+GP157)/4</f>
        <v>36</v>
      </c>
      <c r="GR157" s="9" t="n">
        <v>25</v>
      </c>
      <c r="GS157" s="9" t="n">
        <v>15</v>
      </c>
      <c r="GT157" s="9" t="n">
        <v>16</v>
      </c>
      <c r="GU157" s="9" t="n">
        <v>5</v>
      </c>
      <c r="GV157" s="11" t="n">
        <f aca="false">(GR157+GS157+GT157+GU157)/4</f>
        <v>15.25</v>
      </c>
      <c r="GW157" s="9" t="n">
        <v>0</v>
      </c>
      <c r="GX157" s="9" t="n">
        <v>0</v>
      </c>
      <c r="GY157" s="9" t="n">
        <v>0</v>
      </c>
      <c r="GZ157" s="9" t="n">
        <v>0</v>
      </c>
      <c r="HA157" s="11" t="n">
        <f aca="false">(GW157+GX157+GY157+GZ157)/4</f>
        <v>0</v>
      </c>
      <c r="HB157" s="9" t="n">
        <f aca="false">(GW157/GR157)</f>
        <v>0</v>
      </c>
      <c r="HC157" s="9" t="n">
        <f aca="false">(GX157/GS157)</f>
        <v>0</v>
      </c>
      <c r="HD157" s="9" t="n">
        <f aca="false">(GY157/GT157)</f>
        <v>0</v>
      </c>
      <c r="HE157" s="9" t="n">
        <f aca="false">(GZ157/GU157)/4</f>
        <v>0</v>
      </c>
      <c r="HF157" s="9" t="n">
        <f aca="false">(HB157+HC157+HD157+HE157)/4</f>
        <v>0</v>
      </c>
      <c r="HG157" s="9" t="n">
        <f aca="false">(100*HF157)</f>
        <v>0</v>
      </c>
      <c r="HH157" s="18" t="n">
        <v>0</v>
      </c>
      <c r="HI157" s="9" t="n">
        <v>0</v>
      </c>
      <c r="HJ157" s="9" t="n">
        <v>2</v>
      </c>
      <c r="HK157" s="9" t="n">
        <v>0</v>
      </c>
      <c r="HL157" s="19" t="n">
        <v>4</v>
      </c>
      <c r="HM157" s="9" t="n">
        <f aca="false">(HI157+HJ157+HK157+HL157)/4</f>
        <v>1.5</v>
      </c>
      <c r="HN157" s="9" t="n">
        <f aca="false">(HI157/GR157)</f>
        <v>0</v>
      </c>
      <c r="HO157" s="9" t="n">
        <f aca="false">(HJ157/GS157)</f>
        <v>0.133333333333333</v>
      </c>
      <c r="HP157" s="9" t="n">
        <f aca="false">(HK157/GT157)</f>
        <v>0</v>
      </c>
      <c r="HQ157" s="9" t="n">
        <f aca="false">(HL157/GU157)</f>
        <v>0.8</v>
      </c>
      <c r="HR157" s="9" t="n">
        <f aca="false">(HM157/GV157)</f>
        <v>0.0983606557377049</v>
      </c>
      <c r="HS157" s="9" t="n">
        <f aca="false">(100*HR157)</f>
        <v>9.83606557377049</v>
      </c>
      <c r="HT157" s="18" t="n">
        <v>2</v>
      </c>
      <c r="HU157" s="9" t="n">
        <v>0</v>
      </c>
      <c r="HV157" s="9" t="n">
        <v>0</v>
      </c>
      <c r="HW157" s="9" t="n">
        <v>0</v>
      </c>
      <c r="HX157" s="19" t="n">
        <v>4</v>
      </c>
      <c r="HY157" s="9" t="n">
        <f aca="false">(HU157+HV157+HW157+HX157)/4</f>
        <v>1</v>
      </c>
      <c r="HZ157" s="9" t="n">
        <f aca="false">(HU157/GR157)</f>
        <v>0</v>
      </c>
      <c r="IA157" s="9" t="n">
        <f aca="false">HV157/GS157</f>
        <v>0</v>
      </c>
      <c r="IB157" s="9" t="n">
        <f aca="false">(HW157/GT157)</f>
        <v>0</v>
      </c>
      <c r="IC157" s="9" t="n">
        <f aca="false">(HX157/GU157)</f>
        <v>0.8</v>
      </c>
      <c r="ID157" s="9" t="n">
        <f aca="false">(HY157/GV157)</f>
        <v>0.0655737704918033</v>
      </c>
      <c r="IE157" s="9" t="n">
        <f aca="false">(100*ID157)</f>
        <v>6.55737704918033</v>
      </c>
      <c r="IF157" s="18" t="n">
        <v>1</v>
      </c>
      <c r="IG157" s="9" t="n">
        <v>0</v>
      </c>
      <c r="IH157" s="9" t="n">
        <v>0</v>
      </c>
      <c r="II157" s="19" t="n">
        <v>3</v>
      </c>
      <c r="IJ157" s="9" t="n">
        <v>2</v>
      </c>
      <c r="IK157" s="9" t="n">
        <f aca="false">(IG157+IH157+II157+IJ157)/4</f>
        <v>1.25</v>
      </c>
      <c r="IL157" s="9" t="n">
        <f aca="false">(IG157/GM157)</f>
        <v>0</v>
      </c>
      <c r="IM157" s="9" t="n">
        <f aca="false">(IH157/GN157)</f>
        <v>0</v>
      </c>
      <c r="IN157" s="9" t="n">
        <f aca="false">(II157/GO157)</f>
        <v>0.111111111111111</v>
      </c>
      <c r="IO157" s="9" t="n">
        <f aca="false">(IJ157/GP157)</f>
        <v>0.0869565217391304</v>
      </c>
      <c r="IP157" s="9" t="n">
        <f aca="false">(IK157/GQ157)</f>
        <v>0.0347222222222222</v>
      </c>
      <c r="IQ157" s="9" t="n">
        <f aca="false">(100*IP157)</f>
        <v>3.47222222222222</v>
      </c>
      <c r="IR157" s="18" t="n">
        <v>1</v>
      </c>
      <c r="IS157" s="9" t="n">
        <v>56</v>
      </c>
      <c r="IT157" s="9" t="n">
        <v>49.4</v>
      </c>
      <c r="IU157" s="19" t="n">
        <v>51.18</v>
      </c>
      <c r="IV157" s="9" t="n">
        <v>70.5</v>
      </c>
      <c r="IW157" s="9" t="n">
        <f aca="false">(IS157+IT157+IU157+IV157)/4</f>
        <v>56.77</v>
      </c>
      <c r="IX157" s="16" t="n">
        <v>45210</v>
      </c>
      <c r="IY157" s="10" t="s">
        <v>268</v>
      </c>
    </row>
    <row r="158" customFormat="false" ht="15.75" hidden="false" customHeight="true" outlineLevel="0" collapsed="false">
      <c r="A158" s="9" t="s">
        <v>259</v>
      </c>
      <c r="B158" s="10" t="s">
        <v>260</v>
      </c>
      <c r="C158" s="10" t="s">
        <v>626</v>
      </c>
      <c r="D158" s="9" t="n">
        <v>1</v>
      </c>
      <c r="E158" s="9" t="n">
        <v>53</v>
      </c>
      <c r="F158" s="10" t="s">
        <v>262</v>
      </c>
      <c r="G158" s="10" t="s">
        <v>297</v>
      </c>
      <c r="H158" s="9" t="n">
        <v>21</v>
      </c>
      <c r="I158" s="9" t="n">
        <v>3</v>
      </c>
      <c r="J158" s="12" t="s">
        <v>264</v>
      </c>
      <c r="K158" s="13" t="s">
        <v>627</v>
      </c>
      <c r="L158" s="40" t="s">
        <v>628</v>
      </c>
      <c r="M158" s="9" t="n">
        <v>1285</v>
      </c>
      <c r="N158" s="15" t="n">
        <v>45134</v>
      </c>
      <c r="O158" s="10" t="s">
        <v>267</v>
      </c>
      <c r="P158" s="9"/>
      <c r="Q158" s="9" t="n">
        <v>25.58</v>
      </c>
      <c r="R158" s="9"/>
      <c r="S158" s="9"/>
      <c r="T158" s="9"/>
      <c r="U158" s="9"/>
      <c r="V158" s="9"/>
      <c r="W158" s="9"/>
      <c r="X158" s="9" t="n">
        <v>0</v>
      </c>
      <c r="Y158" s="9" t="n">
        <v>0</v>
      </c>
      <c r="Z158" s="9" t="n">
        <v>0</v>
      </c>
      <c r="AA158" s="9" t="n">
        <v>0</v>
      </c>
      <c r="AB158" s="11" t="n">
        <f aca="false">(X158+Y158+Z158+AA158)/4</f>
        <v>0</v>
      </c>
      <c r="AC158" s="9" t="n">
        <v>1</v>
      </c>
      <c r="AD158" s="9" t="n">
        <v>1</v>
      </c>
      <c r="AE158" s="9" t="n">
        <v>1</v>
      </c>
      <c r="AF158" s="9" t="n">
        <v>1</v>
      </c>
      <c r="AG158" s="11" t="n">
        <f aca="false">(AC158+AD158+AE158+AF158)/4</f>
        <v>1</v>
      </c>
      <c r="AH158" s="9" t="n">
        <v>0</v>
      </c>
      <c r="AI158" s="9" t="n">
        <v>1</v>
      </c>
      <c r="AJ158" s="9" t="n">
        <v>1</v>
      </c>
      <c r="AK158" s="9" t="n">
        <v>0</v>
      </c>
      <c r="AL158" s="11" t="n">
        <f aca="false">(AH158+AI158+AJ158+AK158)/4</f>
        <v>0.5</v>
      </c>
      <c r="AM158" s="9" t="n">
        <v>9</v>
      </c>
      <c r="AN158" s="9" t="n">
        <v>86</v>
      </c>
      <c r="AO158" s="9" t="n">
        <v>37</v>
      </c>
      <c r="AP158" s="9" t="n">
        <v>76</v>
      </c>
      <c r="AQ158" s="11" t="n">
        <f aca="false">(AM158+AN158+AO158+AP158)/4</f>
        <v>52</v>
      </c>
      <c r="AR158" s="9" t="n">
        <v>10</v>
      </c>
      <c r="AS158" s="9" t="n">
        <v>19</v>
      </c>
      <c r="AT158" s="9" t="n">
        <v>23</v>
      </c>
      <c r="AU158" s="9" t="n">
        <v>11</v>
      </c>
      <c r="AV158" s="11" t="n">
        <f aca="false">(AR158+AS158+AT158+AU158)/4</f>
        <v>15.75</v>
      </c>
      <c r="AW158" s="9" t="n">
        <v>0</v>
      </c>
      <c r="AX158" s="9" t="n">
        <v>0</v>
      </c>
      <c r="AY158" s="9" t="n">
        <v>0</v>
      </c>
      <c r="AZ158" s="9" t="n">
        <v>0</v>
      </c>
      <c r="BA158" s="11" t="n">
        <f aca="false">(AW158+AX158+AY158+AZ158)/4</f>
        <v>0</v>
      </c>
      <c r="BB158" s="11" t="n">
        <f aca="false">(AW158/AR158)</f>
        <v>0</v>
      </c>
      <c r="BC158" s="11" t="n">
        <f aca="false">(AX158/AS158)</f>
        <v>0</v>
      </c>
      <c r="BD158" s="11" t="n">
        <f aca="false">(AY158/AT158)</f>
        <v>0</v>
      </c>
      <c r="BE158" s="11" t="n">
        <f aca="false">(AZ158/AU158)</f>
        <v>0</v>
      </c>
      <c r="BF158" s="11" t="n">
        <f aca="false">(BA158/AV158)</f>
        <v>0</v>
      </c>
      <c r="BG158" s="11" t="n">
        <f aca="false">(BF158*100)</f>
        <v>0</v>
      </c>
      <c r="BH158" s="9" t="n">
        <v>0</v>
      </c>
      <c r="BI158" s="9" t="n">
        <v>2</v>
      </c>
      <c r="BJ158" s="9" t="n">
        <v>4</v>
      </c>
      <c r="BK158" s="9" t="n">
        <v>7</v>
      </c>
      <c r="BL158" s="9" t="n">
        <v>2</v>
      </c>
      <c r="BM158" s="11" t="n">
        <f aca="false">(BI158+BJ158+BK158+BL158)/4</f>
        <v>3.75</v>
      </c>
      <c r="BN158" s="11" t="n">
        <f aca="false">(BI158/AR158)</f>
        <v>0.2</v>
      </c>
      <c r="BO158" s="11" t="n">
        <f aca="false">(BJ158/AS158)</f>
        <v>0.210526315789474</v>
      </c>
      <c r="BP158" s="11" t="n">
        <f aca="false">(BK158/AT158)</f>
        <v>0.304347826086957</v>
      </c>
      <c r="BQ158" s="11" t="n">
        <f aca="false">(BL158/AU158)</f>
        <v>0.181818181818182</v>
      </c>
      <c r="BR158" s="11" t="n">
        <f aca="false">(BM158/AV158)</f>
        <v>0.238095238095238</v>
      </c>
      <c r="BS158" s="11" t="n">
        <f aca="false">(100*BR158)</f>
        <v>23.8095238095238</v>
      </c>
      <c r="BT158" s="9" t="n">
        <v>2</v>
      </c>
      <c r="BU158" s="9" t="n">
        <v>0</v>
      </c>
      <c r="BV158" s="9" t="n">
        <v>0</v>
      </c>
      <c r="BW158" s="9" t="n">
        <v>0</v>
      </c>
      <c r="BX158" s="9" t="n">
        <v>0</v>
      </c>
      <c r="BY158" s="11" t="n">
        <f aca="false">(BU158+BV158+BW158+BX158)/4</f>
        <v>0</v>
      </c>
      <c r="BZ158" s="11" t="n">
        <f aca="false">(BU158/AR158)</f>
        <v>0</v>
      </c>
      <c r="CA158" s="11" t="n">
        <f aca="false">(BV158/AS158)</f>
        <v>0</v>
      </c>
      <c r="CB158" s="11" t="n">
        <f aca="false">(BW158/AT158)</f>
        <v>0</v>
      </c>
      <c r="CC158" s="11" t="n">
        <f aca="false">(BX158/AU158)</f>
        <v>0</v>
      </c>
      <c r="CD158" s="11" t="n">
        <f aca="false">(BY158/AV158)</f>
        <v>0</v>
      </c>
      <c r="CE158" s="11" t="n">
        <f aca="false">(100*CD158)</f>
        <v>0</v>
      </c>
      <c r="CF158" s="9" t="n">
        <v>0</v>
      </c>
      <c r="CG158" s="9" t="n">
        <v>0</v>
      </c>
      <c r="CH158" s="9" t="n">
        <v>3</v>
      </c>
      <c r="CI158" s="9" t="n">
        <v>2</v>
      </c>
      <c r="CJ158" s="9" t="n">
        <v>0</v>
      </c>
      <c r="CK158" s="11" t="n">
        <f aca="false">(CG158+CH158+CI158+CJ158)/4</f>
        <v>1.25</v>
      </c>
      <c r="CL158" s="11" t="n">
        <f aca="false">(CG158/AM158)</f>
        <v>0</v>
      </c>
      <c r="CM158" s="11" t="n">
        <f aca="false">(CH158/AN158)</f>
        <v>0.0348837209302326</v>
      </c>
      <c r="CN158" s="11" t="n">
        <f aca="false">(CI158/AO158)</f>
        <v>0.0540540540540541</v>
      </c>
      <c r="CO158" s="9" t="n">
        <f aca="false">(CJ158/AP158)</f>
        <v>0</v>
      </c>
      <c r="CP158" s="9" t="n">
        <f aca="false">(CK158/AQ158)</f>
        <v>0.0240384615384615</v>
      </c>
      <c r="CQ158" s="9" t="n">
        <f aca="false">(100*CP158)</f>
        <v>2.40384615384615</v>
      </c>
      <c r="CR158" s="18" t="n">
        <v>1</v>
      </c>
      <c r="CS158" s="9" t="n">
        <v>75.1</v>
      </c>
      <c r="CT158" s="9" t="n">
        <v>62</v>
      </c>
      <c r="CU158" s="9" t="n">
        <v>55.3</v>
      </c>
      <c r="CV158" s="9" t="n">
        <v>69.6</v>
      </c>
      <c r="CW158" s="11" t="n">
        <f aca="false">(CS158+CT158+CU158+CV158)/4</f>
        <v>65.5</v>
      </c>
      <c r="CX158" s="9" t="n">
        <v>0</v>
      </c>
      <c r="CY158" s="9" t="n">
        <v>0</v>
      </c>
      <c r="CZ158" s="9" t="n">
        <v>0</v>
      </c>
      <c r="DA158" s="9" t="n">
        <v>0</v>
      </c>
      <c r="DB158" s="11" t="n">
        <f aca="false">(CX158+CY158+CZ158+DA158)/4</f>
        <v>0</v>
      </c>
      <c r="DC158" s="9" t="n">
        <v>1</v>
      </c>
      <c r="DD158" s="9" t="n">
        <v>1</v>
      </c>
      <c r="DE158" s="9" t="n">
        <v>1</v>
      </c>
      <c r="DF158" s="9" t="n">
        <v>1</v>
      </c>
      <c r="DG158" s="11" t="n">
        <f aca="false">(DC158+DD158+DE158+DF158)/4</f>
        <v>1</v>
      </c>
      <c r="DH158" s="9" t="n">
        <v>0</v>
      </c>
      <c r="DI158" s="9" t="n">
        <v>1</v>
      </c>
      <c r="DJ158" s="9" t="n">
        <v>1</v>
      </c>
      <c r="DK158" s="9" t="n">
        <v>1</v>
      </c>
      <c r="DL158" s="11" t="n">
        <f aca="false">(DH158+DI158+DJ158+DK158)/4</f>
        <v>0.75</v>
      </c>
      <c r="DM158" s="9" t="n">
        <v>7</v>
      </c>
      <c r="DN158" s="9" t="n">
        <v>44</v>
      </c>
      <c r="DO158" s="9" t="n">
        <v>29</v>
      </c>
      <c r="DP158" s="9" t="n">
        <v>79</v>
      </c>
      <c r="DQ158" s="11" t="n">
        <f aca="false">(DM158+DN158+DO158+DP158)/4</f>
        <v>39.75</v>
      </c>
      <c r="DR158" s="9" t="n">
        <v>15</v>
      </c>
      <c r="DS158" s="9" t="n">
        <v>23</v>
      </c>
      <c r="DT158" s="9" t="n">
        <v>25</v>
      </c>
      <c r="DU158" s="9" t="n">
        <v>14</v>
      </c>
      <c r="DV158" s="11" t="n">
        <f aca="false">(DR158+DS158+DT158+DU158)/4</f>
        <v>19.25</v>
      </c>
      <c r="DW158" s="9" t="n">
        <v>0</v>
      </c>
      <c r="DX158" s="9" t="n">
        <v>0</v>
      </c>
      <c r="DY158" s="9" t="n">
        <v>0</v>
      </c>
      <c r="DZ158" s="9" t="n">
        <v>0</v>
      </c>
      <c r="EA158" s="11" t="n">
        <f aca="false">(DW158+DX158+DY158+DZ158)/4</f>
        <v>0</v>
      </c>
      <c r="EB158" s="11" t="n">
        <f aca="false">(DW158/DR158)</f>
        <v>0</v>
      </c>
      <c r="EC158" s="11" t="n">
        <f aca="false">(DX158/DS158)</f>
        <v>0</v>
      </c>
      <c r="ED158" s="11" t="n">
        <f aca="false">(DY158/DT158)</f>
        <v>0</v>
      </c>
      <c r="EE158" s="11" t="n">
        <f aca="false">(DZ158/DU158)</f>
        <v>0</v>
      </c>
      <c r="EF158" s="11" t="n">
        <f aca="false">(EA158/DV158)</f>
        <v>0</v>
      </c>
      <c r="EG158" s="11" t="n">
        <f aca="false">(100*EF158)</f>
        <v>0</v>
      </c>
      <c r="EH158" s="9" t="n">
        <v>0</v>
      </c>
      <c r="EI158" s="9" t="n">
        <v>4</v>
      </c>
      <c r="EJ158" s="9" t="n">
        <v>2</v>
      </c>
      <c r="EK158" s="19" t="n">
        <v>4</v>
      </c>
      <c r="EL158" s="9" t="n">
        <v>8</v>
      </c>
      <c r="EM158" s="9" t="n">
        <f aca="false">(EI158+EJ158+EK158+EL158)/4</f>
        <v>4.5</v>
      </c>
      <c r="EN158" s="9" t="n">
        <f aca="false">(EI158/DR158)</f>
        <v>0.266666666666667</v>
      </c>
      <c r="EO158" s="9" t="n">
        <f aca="false">(EJ158/DS158)</f>
        <v>0.0869565217391304</v>
      </c>
      <c r="EP158" s="9" t="n">
        <f aca="false">(EK158/DT158)</f>
        <v>0.16</v>
      </c>
      <c r="EQ158" s="9" t="n">
        <f aca="false">(EL158/DU158)</f>
        <v>0.571428571428571</v>
      </c>
      <c r="ER158" s="9" t="n">
        <f aca="false">EM158/DV158</f>
        <v>0.233766233766234</v>
      </c>
      <c r="ES158" s="9" t="n">
        <f aca="false">(100*ER158)</f>
        <v>23.3766233766234</v>
      </c>
      <c r="ET158" s="9" t="n">
        <v>2</v>
      </c>
      <c r="EU158" s="18" t="n">
        <v>0</v>
      </c>
      <c r="EV158" s="9" t="n">
        <v>0</v>
      </c>
      <c r="EW158" s="9" t="n">
        <v>0</v>
      </c>
      <c r="EX158" s="9" t="n">
        <v>0</v>
      </c>
      <c r="EY158" s="11" t="n">
        <f aca="false">(EU158+EV158+EW158+EX158)/4</f>
        <v>0</v>
      </c>
      <c r="EZ158" s="11" t="n">
        <f aca="false">(EU158/DR158)</f>
        <v>0</v>
      </c>
      <c r="FA158" s="11" t="n">
        <f aca="false">(EV158/DS158)</f>
        <v>0</v>
      </c>
      <c r="FB158" s="11" t="n">
        <f aca="false">(EW158/DT158)</f>
        <v>0</v>
      </c>
      <c r="FC158" s="11" t="n">
        <f aca="false">(EX158/DU158)</f>
        <v>0</v>
      </c>
      <c r="FD158" s="11" t="n">
        <f aca="false">(EY158/DV158)</f>
        <v>0</v>
      </c>
      <c r="FE158" s="11" t="n">
        <f aca="false">(100*FD158)</f>
        <v>0</v>
      </c>
      <c r="FF158" s="9" t="n">
        <v>0</v>
      </c>
      <c r="FG158" s="9" t="n">
        <v>0</v>
      </c>
      <c r="FH158" s="9" t="n">
        <v>8</v>
      </c>
      <c r="FI158" s="9" t="n">
        <v>4</v>
      </c>
      <c r="FJ158" s="9" t="n">
        <v>2</v>
      </c>
      <c r="FK158" s="11" t="n">
        <f aca="false">(FG158+FH158+FI158+FJ158)/4</f>
        <v>3.5</v>
      </c>
      <c r="FL158" s="11" t="n">
        <f aca="false">(FG158/DR158)</f>
        <v>0</v>
      </c>
      <c r="FM158" s="11" t="n">
        <f aca="false">(FH158/DS158)</f>
        <v>0.347826086956522</v>
      </c>
      <c r="FN158" s="11" t="n">
        <f aca="false">(FI158/DT158)</f>
        <v>0.16</v>
      </c>
      <c r="FO158" s="11" t="n">
        <f aca="false">(FJ158/DU158)</f>
        <v>0.142857142857143</v>
      </c>
      <c r="FP158" s="11" t="n">
        <f aca="false">(FK158/DV158)</f>
        <v>0.181818181818182</v>
      </c>
      <c r="FQ158" s="11" t="n">
        <f aca="false">(100*FP158)</f>
        <v>18.1818181818182</v>
      </c>
      <c r="FR158" s="9" t="n">
        <v>2</v>
      </c>
      <c r="FS158" s="9" t="n">
        <v>56.4</v>
      </c>
      <c r="FT158" s="9" t="n">
        <v>63.7</v>
      </c>
      <c r="FU158" s="9" t="n">
        <v>69.5</v>
      </c>
      <c r="FV158" s="9" t="n">
        <v>71.2</v>
      </c>
      <c r="FW158" s="11" t="n">
        <f aca="false">(FS158+FT158+FU158+FV158)/4</f>
        <v>65.2</v>
      </c>
      <c r="FX158" s="9" t="n">
        <v>1</v>
      </c>
      <c r="FY158" s="9" t="n">
        <v>0</v>
      </c>
      <c r="FZ158" s="9" t="n">
        <v>1</v>
      </c>
      <c r="GA158" s="9" t="n">
        <v>0</v>
      </c>
      <c r="GB158" s="11" t="n">
        <f aca="false">(FX158+FY158+FZ158+GA158)/4</f>
        <v>0.5</v>
      </c>
      <c r="GC158" s="9" t="n">
        <v>1</v>
      </c>
      <c r="GD158" s="9" t="n">
        <v>1</v>
      </c>
      <c r="GE158" s="9" t="n">
        <v>1</v>
      </c>
      <c r="GF158" s="9" t="n">
        <v>1</v>
      </c>
      <c r="GG158" s="11" t="n">
        <f aca="false">(GC158+GD158+GE158+GF158)/4</f>
        <v>1</v>
      </c>
      <c r="GH158" s="9" t="n">
        <v>0</v>
      </c>
      <c r="GI158" s="9" t="n">
        <v>0</v>
      </c>
      <c r="GJ158" s="9" t="n">
        <v>0</v>
      </c>
      <c r="GK158" s="9" t="n">
        <v>1</v>
      </c>
      <c r="GL158" s="11" t="n">
        <f aca="false">(GH158+GI158+GJ158+GK158)/4</f>
        <v>0.25</v>
      </c>
      <c r="GM158" s="9" t="n">
        <v>60</v>
      </c>
      <c r="GN158" s="9" t="n">
        <v>42</v>
      </c>
      <c r="GO158" s="9" t="n">
        <v>29</v>
      </c>
      <c r="GP158" s="9" t="n">
        <v>79</v>
      </c>
      <c r="GQ158" s="11" t="n">
        <f aca="false">(GM158+GN158+GO158+GP158)/4</f>
        <v>52.5</v>
      </c>
      <c r="GR158" s="9" t="n">
        <v>16</v>
      </c>
      <c r="GS158" s="9" t="n">
        <v>12</v>
      </c>
      <c r="GT158" s="9" t="n">
        <v>14</v>
      </c>
      <c r="GU158" s="9" t="n">
        <v>18</v>
      </c>
      <c r="GV158" s="11" t="n">
        <f aca="false">(GR158+GS158+GT158+GU158)/4</f>
        <v>15</v>
      </c>
      <c r="GW158" s="9" t="n">
        <v>2</v>
      </c>
      <c r="GX158" s="9" t="n">
        <v>0</v>
      </c>
      <c r="GY158" s="9" t="n">
        <v>2</v>
      </c>
      <c r="GZ158" s="9" t="n">
        <v>0</v>
      </c>
      <c r="HA158" s="11" t="n">
        <f aca="false">(GW158+GX158+GY158+GZ158)/4</f>
        <v>1</v>
      </c>
      <c r="HB158" s="9" t="n">
        <f aca="false">(GW158/GR158)</f>
        <v>0.125</v>
      </c>
      <c r="HC158" s="9" t="n">
        <f aca="false">(GX158/GS158)</f>
        <v>0</v>
      </c>
      <c r="HD158" s="9" t="n">
        <f aca="false">(GY158/GT158)</f>
        <v>0.142857142857143</v>
      </c>
      <c r="HE158" s="9" t="n">
        <f aca="false">(GZ158/GU158)/4</f>
        <v>0</v>
      </c>
      <c r="HF158" s="9" t="n">
        <f aca="false">(HB158+HC158+HD158+HE158)/4</f>
        <v>0.0669642857142857</v>
      </c>
      <c r="HG158" s="9" t="n">
        <f aca="false">(100*HF158)</f>
        <v>6.69642857142857</v>
      </c>
      <c r="HH158" s="18" t="n">
        <v>2</v>
      </c>
      <c r="HI158" s="9" t="n">
        <v>6</v>
      </c>
      <c r="HJ158" s="9" t="n">
        <v>5</v>
      </c>
      <c r="HK158" s="9" t="n">
        <v>8</v>
      </c>
      <c r="HL158" s="19" t="n">
        <v>1</v>
      </c>
      <c r="HM158" s="9" t="n">
        <f aca="false">(HI158+HJ158+HK158+HL158)/4</f>
        <v>5</v>
      </c>
      <c r="HN158" s="9" t="n">
        <f aca="false">(HI158/GR158)</f>
        <v>0.375</v>
      </c>
      <c r="HO158" s="9" t="n">
        <f aca="false">(HJ158/GS158)</f>
        <v>0.416666666666667</v>
      </c>
      <c r="HP158" s="9" t="n">
        <f aca="false">(HK158/GT158)</f>
        <v>0.571428571428571</v>
      </c>
      <c r="HQ158" s="9" t="n">
        <f aca="false">(HL158/GU158)</f>
        <v>0.0555555555555556</v>
      </c>
      <c r="HR158" s="9" t="n">
        <f aca="false">(HM158/GV158)</f>
        <v>0.333333333333333</v>
      </c>
      <c r="HS158" s="9" t="n">
        <f aca="false">(100*HR158)</f>
        <v>33.3333333333333</v>
      </c>
      <c r="HT158" s="18" t="n">
        <v>3</v>
      </c>
      <c r="HU158" s="9" t="n">
        <v>0</v>
      </c>
      <c r="HV158" s="9" t="n">
        <v>0</v>
      </c>
      <c r="HW158" s="9" t="n">
        <v>0</v>
      </c>
      <c r="HX158" s="19" t="n">
        <v>2</v>
      </c>
      <c r="HY158" s="9" t="n">
        <f aca="false">(HU158+HV158+HW158+HX158)/4</f>
        <v>0.5</v>
      </c>
      <c r="HZ158" s="9" t="n">
        <f aca="false">(HU158/GR158)</f>
        <v>0</v>
      </c>
      <c r="IA158" s="9" t="n">
        <f aca="false">HV158/GS158</f>
        <v>0</v>
      </c>
      <c r="IB158" s="9" t="n">
        <f aca="false">(HW158/GT158)</f>
        <v>0</v>
      </c>
      <c r="IC158" s="9" t="n">
        <f aca="false">(HX158/GU158)</f>
        <v>0.111111111111111</v>
      </c>
      <c r="ID158" s="9" t="n">
        <f aca="false">(HY158/GV158)</f>
        <v>0.0333333333333333</v>
      </c>
      <c r="IE158" s="9" t="n">
        <f aca="false">(100*ID158)</f>
        <v>3.33333333333333</v>
      </c>
      <c r="IF158" s="18" t="n">
        <v>1</v>
      </c>
      <c r="IG158" s="9" t="n">
        <v>0</v>
      </c>
      <c r="IH158" s="9" t="n">
        <v>0</v>
      </c>
      <c r="II158" s="19" t="n">
        <v>0</v>
      </c>
      <c r="IJ158" s="9" t="n">
        <v>3</v>
      </c>
      <c r="IK158" s="9" t="n">
        <f aca="false">(IG158+IH158+II158+IJ158)/4</f>
        <v>0.75</v>
      </c>
      <c r="IL158" s="9" t="n">
        <f aca="false">(IG158/GM158)</f>
        <v>0</v>
      </c>
      <c r="IM158" s="9" t="n">
        <f aca="false">(IH158/GN158)</f>
        <v>0</v>
      </c>
      <c r="IN158" s="9" t="n">
        <f aca="false">(II158/GO158)</f>
        <v>0</v>
      </c>
      <c r="IO158" s="9" t="n">
        <f aca="false">(IJ158/GP158)</f>
        <v>0.0379746835443038</v>
      </c>
      <c r="IP158" s="9" t="n">
        <f aca="false">(IK158/GQ158)</f>
        <v>0.0142857142857143</v>
      </c>
      <c r="IQ158" s="9" t="n">
        <f aca="false">(100*IP158)</f>
        <v>1.42857142857143</v>
      </c>
      <c r="IR158" s="18" t="n">
        <v>1</v>
      </c>
      <c r="IS158" s="9" t="n">
        <v>42.6</v>
      </c>
      <c r="IT158" s="9" t="n">
        <v>56.2</v>
      </c>
      <c r="IU158" s="19" t="n">
        <v>58.3</v>
      </c>
      <c r="IV158" s="9" t="n">
        <v>57.9</v>
      </c>
      <c r="IW158" s="9" t="n">
        <f aca="false">(IS158+IT158+IU158+IV158)/4</f>
        <v>53.75</v>
      </c>
      <c r="IX158" s="16" t="n">
        <v>45210</v>
      </c>
      <c r="IY158" s="10" t="s">
        <v>268</v>
      </c>
    </row>
    <row r="159" customFormat="false" ht="15.75" hidden="false" customHeight="true" outlineLevel="0" collapsed="false">
      <c r="A159" s="9" t="s">
        <v>259</v>
      </c>
      <c r="B159" s="10" t="s">
        <v>260</v>
      </c>
      <c r="C159" s="10" t="s">
        <v>626</v>
      </c>
      <c r="D159" s="9" t="n">
        <v>1</v>
      </c>
      <c r="E159" s="9" t="n">
        <v>53</v>
      </c>
      <c r="F159" s="10" t="s">
        <v>269</v>
      </c>
      <c r="G159" s="10" t="s">
        <v>297</v>
      </c>
      <c r="H159" s="9" t="n">
        <v>21</v>
      </c>
      <c r="I159" s="9" t="n">
        <v>12</v>
      </c>
      <c r="J159" s="12" t="s">
        <v>270</v>
      </c>
      <c r="K159" s="20"/>
      <c r="L159" s="13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 t="n">
        <v>0</v>
      </c>
      <c r="Y159" s="9" t="n">
        <v>0</v>
      </c>
      <c r="Z159" s="9" t="n">
        <v>0</v>
      </c>
      <c r="AA159" s="9" t="n">
        <v>0</v>
      </c>
      <c r="AB159" s="11" t="n">
        <f aca="false">(X159+Y159+Z159+AA159)/4</f>
        <v>0</v>
      </c>
      <c r="AC159" s="9" t="n">
        <v>1</v>
      </c>
      <c r="AD159" s="9" t="n">
        <v>0</v>
      </c>
      <c r="AE159" s="9" t="n">
        <v>1</v>
      </c>
      <c r="AF159" s="9" t="n">
        <v>1</v>
      </c>
      <c r="AG159" s="11" t="n">
        <f aca="false">(AC159+AD159+AE159+AF159)/4</f>
        <v>0.75</v>
      </c>
      <c r="AH159" s="9" t="n">
        <v>1</v>
      </c>
      <c r="AI159" s="9" t="n">
        <v>1</v>
      </c>
      <c r="AJ159" s="9" t="n">
        <v>1</v>
      </c>
      <c r="AK159" s="9" t="n">
        <v>0</v>
      </c>
      <c r="AL159" s="11" t="n">
        <f aca="false">(AH159+AI159+AJ159+AK159)/4</f>
        <v>0.75</v>
      </c>
      <c r="AM159" s="9" t="n">
        <v>36</v>
      </c>
      <c r="AN159" s="9" t="n">
        <v>67</v>
      </c>
      <c r="AO159" s="9" t="n">
        <v>24</v>
      </c>
      <c r="AP159" s="9" t="n">
        <v>7</v>
      </c>
      <c r="AQ159" s="11" t="n">
        <f aca="false">(AM159+AN159+AO159+AP159)/4</f>
        <v>33.5</v>
      </c>
      <c r="AR159" s="9" t="n">
        <v>27</v>
      </c>
      <c r="AS159" s="9" t="n">
        <v>16</v>
      </c>
      <c r="AT159" s="9" t="n">
        <v>12</v>
      </c>
      <c r="AU159" s="9" t="n">
        <v>52</v>
      </c>
      <c r="AV159" s="11" t="n">
        <f aca="false">(AR159+AS159+AT159+AU159)/4</f>
        <v>26.75</v>
      </c>
      <c r="AW159" s="9" t="n">
        <v>0</v>
      </c>
      <c r="AX159" s="9" t="n">
        <v>0</v>
      </c>
      <c r="AY159" s="9" t="n">
        <v>0</v>
      </c>
      <c r="AZ159" s="9" t="n">
        <v>0</v>
      </c>
      <c r="BA159" s="11" t="n">
        <f aca="false">(AW159+AX159+AY159+AZ159)/4</f>
        <v>0</v>
      </c>
      <c r="BB159" s="11" t="n">
        <f aca="false">(AW159/AR159)</f>
        <v>0</v>
      </c>
      <c r="BC159" s="11" t="n">
        <f aca="false">(AX159/AS159)</f>
        <v>0</v>
      </c>
      <c r="BD159" s="11" t="n">
        <f aca="false">(AY159/AT159)</f>
        <v>0</v>
      </c>
      <c r="BE159" s="11" t="n">
        <f aca="false">(AZ159/AU159)</f>
        <v>0</v>
      </c>
      <c r="BF159" s="11" t="n">
        <f aca="false">(BA159/AV159)</f>
        <v>0</v>
      </c>
      <c r="BG159" s="11" t="n">
        <f aca="false">(BF159*100)</f>
        <v>0</v>
      </c>
      <c r="BH159" s="9" t="n">
        <v>0</v>
      </c>
      <c r="BI159" s="9" t="n">
        <v>2</v>
      </c>
      <c r="BJ159" s="9" t="n">
        <v>0</v>
      </c>
      <c r="BK159" s="9" t="n">
        <v>1</v>
      </c>
      <c r="BL159" s="9" t="n">
        <v>5</v>
      </c>
      <c r="BM159" s="11" t="n">
        <f aca="false">(BI159+BJ159+BK159+BL159)/4</f>
        <v>2</v>
      </c>
      <c r="BN159" s="11" t="n">
        <f aca="false">(BI159/AR159)</f>
        <v>0.0740740740740741</v>
      </c>
      <c r="BO159" s="11" t="n">
        <f aca="false">(BJ159/AS159)</f>
        <v>0</v>
      </c>
      <c r="BP159" s="11" t="n">
        <f aca="false">(BK159/AT159)</f>
        <v>0.0833333333333333</v>
      </c>
      <c r="BQ159" s="11" t="n">
        <f aca="false">(BL159/AU159)</f>
        <v>0.0961538461538462</v>
      </c>
      <c r="BR159" s="11" t="n">
        <f aca="false">(BM159/AV159)</f>
        <v>0.0747663551401869</v>
      </c>
      <c r="BS159" s="11" t="n">
        <f aca="false">(100*BR159)</f>
        <v>7.47663551401869</v>
      </c>
      <c r="BT159" s="9" t="n">
        <v>2</v>
      </c>
      <c r="BU159" s="9" t="n">
        <v>0</v>
      </c>
      <c r="BV159" s="9" t="n">
        <v>0</v>
      </c>
      <c r="BW159" s="9" t="n">
        <v>0</v>
      </c>
      <c r="BX159" s="9" t="n">
        <v>0</v>
      </c>
      <c r="BY159" s="11" t="n">
        <f aca="false">(BU159+BV159+BW159+BX159)/4</f>
        <v>0</v>
      </c>
      <c r="BZ159" s="11" t="n">
        <f aca="false">(BU159/AR159)</f>
        <v>0</v>
      </c>
      <c r="CA159" s="11" t="n">
        <f aca="false">(BV159/AS159)</f>
        <v>0</v>
      </c>
      <c r="CB159" s="11" t="n">
        <f aca="false">(BW159/AT159)</f>
        <v>0</v>
      </c>
      <c r="CC159" s="11" t="n">
        <f aca="false">(BX159/AU159)</f>
        <v>0</v>
      </c>
      <c r="CD159" s="11" t="n">
        <f aca="false">(BY159/AV159)</f>
        <v>0</v>
      </c>
      <c r="CE159" s="11" t="n">
        <f aca="false">(100*CD159)</f>
        <v>0</v>
      </c>
      <c r="CF159" s="9" t="n">
        <v>0</v>
      </c>
      <c r="CG159" s="9" t="n">
        <v>2</v>
      </c>
      <c r="CH159" s="9" t="n">
        <v>3</v>
      </c>
      <c r="CI159" s="9" t="n">
        <v>9</v>
      </c>
      <c r="CJ159" s="9" t="n">
        <v>0</v>
      </c>
      <c r="CK159" s="11" t="n">
        <f aca="false">(CG159+CH159+CI159+CJ159)/4</f>
        <v>3.5</v>
      </c>
      <c r="CL159" s="11" t="n">
        <f aca="false">(CG159/AM159)</f>
        <v>0.0555555555555556</v>
      </c>
      <c r="CM159" s="11" t="n">
        <f aca="false">(CH159/AN159)</f>
        <v>0.0447761194029851</v>
      </c>
      <c r="CN159" s="11" t="n">
        <f aca="false">(CI159/AO159)</f>
        <v>0.375</v>
      </c>
      <c r="CO159" s="9" t="n">
        <f aca="false">(CJ159/AP159)</f>
        <v>0</v>
      </c>
      <c r="CP159" s="9" t="n">
        <f aca="false">(CK159/AQ159)</f>
        <v>0.104477611940299</v>
      </c>
      <c r="CQ159" s="9" t="n">
        <f aca="false">(100*CP159)</f>
        <v>10.4477611940299</v>
      </c>
      <c r="CR159" s="18" t="n">
        <v>2</v>
      </c>
      <c r="CS159" s="9" t="n">
        <v>68.7</v>
      </c>
      <c r="CT159" s="9" t="n">
        <v>73.5</v>
      </c>
      <c r="CU159" s="9" t="n">
        <v>56.4</v>
      </c>
      <c r="CV159" s="9" t="n">
        <v>78.6</v>
      </c>
      <c r="CW159" s="11" t="n">
        <f aca="false">(CS159+CT159+CU159+CV159)/4</f>
        <v>69.3</v>
      </c>
      <c r="CX159" s="9" t="n">
        <v>0</v>
      </c>
      <c r="CY159" s="9" t="n">
        <v>1</v>
      </c>
      <c r="CZ159" s="9" t="n">
        <v>0</v>
      </c>
      <c r="DA159" s="9" t="n">
        <v>0</v>
      </c>
      <c r="DB159" s="11" t="n">
        <f aca="false">(CX159+CY159+CZ159+DA159)/4</f>
        <v>0.25</v>
      </c>
      <c r="DC159" s="9" t="n">
        <v>0</v>
      </c>
      <c r="DD159" s="9" t="n">
        <v>0</v>
      </c>
      <c r="DE159" s="9" t="n">
        <v>1</v>
      </c>
      <c r="DF159" s="9" t="n">
        <v>1</v>
      </c>
      <c r="DG159" s="11" t="n">
        <f aca="false">(DC159+DD159+DE159+DF159)/4</f>
        <v>0.5</v>
      </c>
      <c r="DH159" s="9" t="n">
        <v>0</v>
      </c>
      <c r="DI159" s="9" t="n">
        <v>0</v>
      </c>
      <c r="DJ159" s="9" t="n">
        <v>0</v>
      </c>
      <c r="DK159" s="9" t="n">
        <v>1</v>
      </c>
      <c r="DL159" s="11" t="n">
        <f aca="false">(DH159+DI159+DJ159+DK159)/4</f>
        <v>0.25</v>
      </c>
      <c r="DM159" s="9" t="n">
        <v>2</v>
      </c>
      <c r="DN159" s="9" t="n">
        <v>27</v>
      </c>
      <c r="DO159" s="9" t="n">
        <v>19</v>
      </c>
      <c r="DP159" s="9" t="n">
        <v>14</v>
      </c>
      <c r="DQ159" s="11" t="n">
        <f aca="false">(DM159+DN159+DO159+DP159)/4</f>
        <v>15.5</v>
      </c>
      <c r="DR159" s="9" t="n">
        <v>32</v>
      </c>
      <c r="DS159" s="9" t="n">
        <v>74</v>
      </c>
      <c r="DT159" s="9" t="n">
        <v>10</v>
      </c>
      <c r="DU159" s="9" t="n">
        <v>11</v>
      </c>
      <c r="DV159" s="11" t="n">
        <f aca="false">(DR159+DS159+DT159+DU159)/4</f>
        <v>31.75</v>
      </c>
      <c r="DW159" s="9" t="n">
        <v>0</v>
      </c>
      <c r="DX159" s="9" t="n">
        <v>6</v>
      </c>
      <c r="DY159" s="9" t="n">
        <v>0</v>
      </c>
      <c r="DZ159" s="9" t="n">
        <v>0</v>
      </c>
      <c r="EA159" s="11" t="n">
        <f aca="false">(DW159+DX159+DY159+DZ159)/4</f>
        <v>1.5</v>
      </c>
      <c r="EB159" s="11" t="n">
        <f aca="false">(DW159/DR159)</f>
        <v>0</v>
      </c>
      <c r="EC159" s="11" t="n">
        <f aca="false">(DX159/DS159)</f>
        <v>0.0810810810810811</v>
      </c>
      <c r="ED159" s="11" t="n">
        <f aca="false">(DY159/DT159)</f>
        <v>0</v>
      </c>
      <c r="EE159" s="11" t="n">
        <f aca="false">(DZ159/DU159)</f>
        <v>0</v>
      </c>
      <c r="EF159" s="11" t="n">
        <f aca="false">(EA159/DV159)</f>
        <v>0.047244094488189</v>
      </c>
      <c r="EG159" s="11" t="n">
        <f aca="false">(100*EF159)</f>
        <v>4.7244094488189</v>
      </c>
      <c r="EH159" s="9" t="n">
        <v>1</v>
      </c>
      <c r="EI159" s="9" t="n">
        <v>0</v>
      </c>
      <c r="EJ159" s="9" t="n">
        <v>0</v>
      </c>
      <c r="EK159" s="19" t="n">
        <v>3</v>
      </c>
      <c r="EL159" s="9" t="n">
        <v>2</v>
      </c>
      <c r="EM159" s="9" t="n">
        <f aca="false">(EI159+EJ159+EK159+EL159)/4</f>
        <v>1.25</v>
      </c>
      <c r="EN159" s="9" t="n">
        <f aca="false">(EI159/DR159)</f>
        <v>0</v>
      </c>
      <c r="EO159" s="9" t="n">
        <f aca="false">(EJ159/DS159)</f>
        <v>0</v>
      </c>
      <c r="EP159" s="9" t="n">
        <f aca="false">(EK159/DT159)</f>
        <v>0.3</v>
      </c>
      <c r="EQ159" s="9" t="n">
        <f aca="false">(EL159/DU159)</f>
        <v>0.181818181818182</v>
      </c>
      <c r="ER159" s="9" t="n">
        <f aca="false">EM159/DV159</f>
        <v>0.0393700787401575</v>
      </c>
      <c r="ES159" s="9" t="n">
        <f aca="false">(100*ER159)</f>
        <v>3.93700787401575</v>
      </c>
      <c r="ET159" s="9" t="n">
        <v>1</v>
      </c>
      <c r="EU159" s="18" t="n">
        <v>0</v>
      </c>
      <c r="EV159" s="9" t="n">
        <v>0</v>
      </c>
      <c r="EW159" s="9" t="n">
        <v>0</v>
      </c>
      <c r="EX159" s="9" t="n">
        <v>0</v>
      </c>
      <c r="EY159" s="11" t="n">
        <f aca="false">(EU159+EV159+EW159+EX159)/4</f>
        <v>0</v>
      </c>
      <c r="EZ159" s="11" t="n">
        <f aca="false">(EU159/DR159)</f>
        <v>0</v>
      </c>
      <c r="FA159" s="11" t="n">
        <f aca="false">(EV159/DS159)</f>
        <v>0</v>
      </c>
      <c r="FB159" s="11" t="n">
        <f aca="false">(EW159/DT159)</f>
        <v>0</v>
      </c>
      <c r="FC159" s="11" t="n">
        <f aca="false">(EX159/DU159)</f>
        <v>0</v>
      </c>
      <c r="FD159" s="11" t="n">
        <f aca="false">(EY159/DV159)</f>
        <v>0</v>
      </c>
      <c r="FE159" s="11" t="n">
        <f aca="false">(100*FD159)</f>
        <v>0</v>
      </c>
      <c r="FF159" s="9" t="n">
        <v>0</v>
      </c>
      <c r="FG159" s="9" t="n">
        <v>0</v>
      </c>
      <c r="FH159" s="9" t="n">
        <v>0</v>
      </c>
      <c r="FI159" s="9" t="n">
        <v>0</v>
      </c>
      <c r="FJ159" s="9" t="n">
        <v>1</v>
      </c>
      <c r="FK159" s="11" t="n">
        <f aca="false">(FG159+FH159+FI159+FJ159)/4</f>
        <v>0.25</v>
      </c>
      <c r="FL159" s="11" t="n">
        <f aca="false">(FG159/DR159)</f>
        <v>0</v>
      </c>
      <c r="FM159" s="11" t="n">
        <f aca="false">(FH159/DS159)</f>
        <v>0</v>
      </c>
      <c r="FN159" s="11" t="n">
        <f aca="false">(FI159/DT159)</f>
        <v>0</v>
      </c>
      <c r="FO159" s="11" t="n">
        <f aca="false">(FJ159/DU159)</f>
        <v>0.0909090909090909</v>
      </c>
      <c r="FP159" s="11" t="n">
        <f aca="false">(FK159/DV159)</f>
        <v>0.0078740157480315</v>
      </c>
      <c r="FQ159" s="11" t="n">
        <f aca="false">(100*FP159)</f>
        <v>0.78740157480315</v>
      </c>
      <c r="FR159" s="9" t="n">
        <v>1</v>
      </c>
      <c r="FS159" s="9" t="n">
        <v>79.7</v>
      </c>
      <c r="FT159" s="9" t="n">
        <v>49.9</v>
      </c>
      <c r="FU159" s="9" t="n">
        <v>67</v>
      </c>
      <c r="FV159" s="9" t="n">
        <v>58.1</v>
      </c>
      <c r="FW159" s="11" t="n">
        <f aca="false">(FS159+FT159+FU159+FV159)/4</f>
        <v>63.675</v>
      </c>
      <c r="FX159" s="9" t="n">
        <v>0</v>
      </c>
      <c r="FY159" s="9" t="n">
        <v>0</v>
      </c>
      <c r="FZ159" s="9" t="n">
        <v>0</v>
      </c>
      <c r="GA159" s="9" t="n">
        <v>0</v>
      </c>
      <c r="GB159" s="11" t="n">
        <f aca="false">(FX159+FY159+FZ159+GA159)/4</f>
        <v>0</v>
      </c>
      <c r="GC159" s="9" t="n">
        <v>1</v>
      </c>
      <c r="GD159" s="9" t="n">
        <v>1</v>
      </c>
      <c r="GE159" s="9" t="n">
        <v>1</v>
      </c>
      <c r="GF159" s="9" t="n">
        <v>1</v>
      </c>
      <c r="GG159" s="11" t="n">
        <f aca="false">(GC159+GD159+GE159+GF159)/4</f>
        <v>1</v>
      </c>
      <c r="GH159" s="9" t="n">
        <v>1</v>
      </c>
      <c r="GI159" s="9" t="n">
        <v>1</v>
      </c>
      <c r="GJ159" s="9" t="n">
        <v>0</v>
      </c>
      <c r="GK159" s="9" t="n">
        <v>1</v>
      </c>
      <c r="GL159" s="11" t="n">
        <f aca="false">(GH159+GI159+GJ159+GK159)/4</f>
        <v>0.75</v>
      </c>
      <c r="GM159" s="9" t="n">
        <v>11</v>
      </c>
      <c r="GN159" s="9" t="n">
        <v>12</v>
      </c>
      <c r="GO159" s="9" t="n">
        <v>14</v>
      </c>
      <c r="GP159" s="9" t="n">
        <v>15</v>
      </c>
      <c r="GQ159" s="11" t="n">
        <f aca="false">(GM159+GN159+GO159+GP159)/4</f>
        <v>13</v>
      </c>
      <c r="GR159" s="9" t="n">
        <v>8</v>
      </c>
      <c r="GS159" s="9" t="n">
        <v>14</v>
      </c>
      <c r="GT159" s="9" t="n">
        <v>16</v>
      </c>
      <c r="GU159" s="9" t="n">
        <v>12</v>
      </c>
      <c r="GV159" s="11" t="n">
        <f aca="false">(GR159+GS159+GT159+GU159)/4</f>
        <v>12.5</v>
      </c>
      <c r="GW159" s="9" t="n">
        <v>0</v>
      </c>
      <c r="GX159" s="9" t="n">
        <v>0</v>
      </c>
      <c r="GY159" s="9" t="n">
        <v>0</v>
      </c>
      <c r="GZ159" s="9" t="n">
        <v>0</v>
      </c>
      <c r="HA159" s="11" t="n">
        <f aca="false">(GW159+GX159+GY159+GZ159)/4</f>
        <v>0</v>
      </c>
      <c r="HB159" s="9" t="n">
        <f aca="false">(GW159/GR159)</f>
        <v>0</v>
      </c>
      <c r="HC159" s="9" t="n">
        <f aca="false">(GX159/GS159)</f>
        <v>0</v>
      </c>
      <c r="HD159" s="9" t="n">
        <f aca="false">(GY159/GT159)</f>
        <v>0</v>
      </c>
      <c r="HE159" s="9" t="n">
        <f aca="false">(GZ159/GU159)/4</f>
        <v>0</v>
      </c>
      <c r="HF159" s="9" t="n">
        <f aca="false">(HB159+HC159+HD159+HE159)/4</f>
        <v>0</v>
      </c>
      <c r="HG159" s="9" t="n">
        <f aca="false">(100*HF159)</f>
        <v>0</v>
      </c>
      <c r="HH159" s="18" t="n">
        <v>0</v>
      </c>
      <c r="HI159" s="9" t="n">
        <v>2</v>
      </c>
      <c r="HJ159" s="9" t="n">
        <v>4</v>
      </c>
      <c r="HK159" s="9" t="n">
        <v>2</v>
      </c>
      <c r="HL159" s="19" t="n">
        <v>1</v>
      </c>
      <c r="HM159" s="9" t="n">
        <f aca="false">(HI159+HJ159+HK159+HL159)/4</f>
        <v>2.25</v>
      </c>
      <c r="HN159" s="9" t="n">
        <f aca="false">(HI159/GR159)</f>
        <v>0.25</v>
      </c>
      <c r="HO159" s="9" t="n">
        <f aca="false">(HJ159/GS159)</f>
        <v>0.285714285714286</v>
      </c>
      <c r="HP159" s="9" t="n">
        <f aca="false">(HK159/GT159)</f>
        <v>0.125</v>
      </c>
      <c r="HQ159" s="9" t="n">
        <f aca="false">(HL159/GU159)</f>
        <v>0.0833333333333333</v>
      </c>
      <c r="HR159" s="9" t="n">
        <f aca="false">(HM159/GV159)</f>
        <v>0.18</v>
      </c>
      <c r="HS159" s="9" t="n">
        <f aca="false">(100*HR159)</f>
        <v>18</v>
      </c>
      <c r="HT159" s="18" t="n">
        <v>2</v>
      </c>
      <c r="HU159" s="9" t="n">
        <v>1</v>
      </c>
      <c r="HV159" s="9" t="n">
        <v>1</v>
      </c>
      <c r="HW159" s="9" t="n">
        <v>0</v>
      </c>
      <c r="HX159" s="19" t="n">
        <v>0</v>
      </c>
      <c r="HY159" s="9" t="n">
        <f aca="false">(HU159+HV159+HW159+HX159)/4</f>
        <v>0.5</v>
      </c>
      <c r="HZ159" s="9" t="n">
        <f aca="false">(HU159/GR159)</f>
        <v>0.125</v>
      </c>
      <c r="IA159" s="9" t="n">
        <f aca="false">HV159/GS159</f>
        <v>0.0714285714285714</v>
      </c>
      <c r="IB159" s="9" t="n">
        <f aca="false">(HW159/GT159)</f>
        <v>0</v>
      </c>
      <c r="IC159" s="9" t="n">
        <f aca="false">(HX159/GU159)</f>
        <v>0</v>
      </c>
      <c r="ID159" s="9" t="n">
        <f aca="false">(HY159/GV159)</f>
        <v>0.04</v>
      </c>
      <c r="IE159" s="9" t="n">
        <f aca="false">(100*ID159)</f>
        <v>4</v>
      </c>
      <c r="IF159" s="18" t="n">
        <v>1</v>
      </c>
      <c r="IG159" s="9" t="n">
        <v>0</v>
      </c>
      <c r="IH159" s="9" t="n">
        <v>2</v>
      </c>
      <c r="II159" s="19" t="n">
        <v>0</v>
      </c>
      <c r="IJ159" s="9" t="n">
        <v>3</v>
      </c>
      <c r="IK159" s="9" t="n">
        <f aca="false">(IG159+IH159+II159+IJ159)/4</f>
        <v>1.25</v>
      </c>
      <c r="IL159" s="9" t="n">
        <f aca="false">(IG159/GM159)</f>
        <v>0</v>
      </c>
      <c r="IM159" s="9" t="n">
        <f aca="false">(IH159/GN159)</f>
        <v>0.166666666666667</v>
      </c>
      <c r="IN159" s="9" t="n">
        <f aca="false">(II159/GO159)</f>
        <v>0</v>
      </c>
      <c r="IO159" s="9" t="n">
        <f aca="false">(IJ159/GP159)</f>
        <v>0.2</v>
      </c>
      <c r="IP159" s="9" t="n">
        <f aca="false">(IK159/GQ159)</f>
        <v>0.0961538461538462</v>
      </c>
      <c r="IQ159" s="9" t="n">
        <f aca="false">(100*IP159)</f>
        <v>9.61538461538462</v>
      </c>
      <c r="IR159" s="18" t="n">
        <v>1</v>
      </c>
      <c r="IS159" s="9" t="n">
        <v>70.6</v>
      </c>
      <c r="IT159" s="9" t="n">
        <v>59.2</v>
      </c>
      <c r="IU159" s="19" t="n">
        <v>71.4</v>
      </c>
      <c r="IV159" s="9" t="n">
        <v>62.9</v>
      </c>
      <c r="IW159" s="9" t="n">
        <f aca="false">(IS159+IT159+IU159+IV159)/4</f>
        <v>66.025</v>
      </c>
      <c r="IX159" s="16" t="n">
        <v>45210</v>
      </c>
      <c r="IY159" s="10" t="s">
        <v>268</v>
      </c>
    </row>
    <row r="160" customFormat="false" ht="15.75" hidden="false" customHeight="true" outlineLevel="0" collapsed="false">
      <c r="A160" s="9" t="s">
        <v>259</v>
      </c>
      <c r="B160" s="10" t="s">
        <v>260</v>
      </c>
      <c r="C160" s="10" t="s">
        <v>626</v>
      </c>
      <c r="D160" s="9" t="n">
        <v>1</v>
      </c>
      <c r="E160" s="9" t="n">
        <v>53</v>
      </c>
      <c r="F160" s="10" t="s">
        <v>271</v>
      </c>
      <c r="G160" s="10" t="s">
        <v>297</v>
      </c>
      <c r="H160" s="9" t="n">
        <v>21</v>
      </c>
      <c r="I160" s="9" t="n">
        <v>22</v>
      </c>
      <c r="J160" s="10" t="s">
        <v>272</v>
      </c>
      <c r="K160" s="20"/>
      <c r="L160" s="20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 t="n">
        <v>0</v>
      </c>
      <c r="Y160" s="9" t="n">
        <v>0</v>
      </c>
      <c r="Z160" s="9" t="n">
        <v>0</v>
      </c>
      <c r="AA160" s="9" t="n">
        <v>0</v>
      </c>
      <c r="AB160" s="11" t="n">
        <f aca="false">(X160+Y160+Z160+AA160)/4</f>
        <v>0</v>
      </c>
      <c r="AC160" s="9" t="n">
        <v>1</v>
      </c>
      <c r="AD160" s="9" t="n">
        <v>1</v>
      </c>
      <c r="AE160" s="9" t="n">
        <v>1</v>
      </c>
      <c r="AF160" s="9" t="n">
        <v>1</v>
      </c>
      <c r="AG160" s="11" t="n">
        <f aca="false">(AC160+AD160+AE160+AF160)/4</f>
        <v>1</v>
      </c>
      <c r="AH160" s="9" t="n">
        <v>1</v>
      </c>
      <c r="AI160" s="9" t="n">
        <v>1</v>
      </c>
      <c r="AJ160" s="9" t="n">
        <v>0</v>
      </c>
      <c r="AK160" s="9" t="n">
        <v>1</v>
      </c>
      <c r="AL160" s="11" t="n">
        <f aca="false">(AH160+AI160+AJ160+AK160)/4</f>
        <v>0.75</v>
      </c>
      <c r="AM160" s="9" t="n">
        <v>42</v>
      </c>
      <c r="AN160" s="9" t="n">
        <v>104</v>
      </c>
      <c r="AO160" s="9" t="n">
        <v>36</v>
      </c>
      <c r="AP160" s="9" t="n">
        <v>29</v>
      </c>
      <c r="AQ160" s="11" t="n">
        <f aca="false">(AM160+AN160+AO160+AP160)/4</f>
        <v>52.75</v>
      </c>
      <c r="AR160" s="9" t="n">
        <v>13</v>
      </c>
      <c r="AS160" s="9" t="n">
        <v>15</v>
      </c>
      <c r="AT160" s="9" t="n">
        <v>20</v>
      </c>
      <c r="AU160" s="9" t="n">
        <v>51</v>
      </c>
      <c r="AV160" s="11" t="n">
        <f aca="false">(AR160+AS160+AT160+AU160)/4</f>
        <v>24.75</v>
      </c>
      <c r="AW160" s="9" t="n">
        <v>0</v>
      </c>
      <c r="AX160" s="9" t="n">
        <v>0</v>
      </c>
      <c r="AY160" s="9" t="n">
        <v>0</v>
      </c>
      <c r="AZ160" s="9" t="n">
        <v>0</v>
      </c>
      <c r="BA160" s="11" t="n">
        <f aca="false">(AW160+AX160+AY160+AZ160)/4</f>
        <v>0</v>
      </c>
      <c r="BB160" s="11" t="n">
        <f aca="false">(AW160/AR160)</f>
        <v>0</v>
      </c>
      <c r="BC160" s="11" t="n">
        <f aca="false">(AX160/AS160)</f>
        <v>0</v>
      </c>
      <c r="BD160" s="11" t="n">
        <f aca="false">(AY160/AT160)</f>
        <v>0</v>
      </c>
      <c r="BE160" s="11" t="n">
        <f aca="false">(AZ160/AU160)</f>
        <v>0</v>
      </c>
      <c r="BF160" s="11" t="n">
        <f aca="false">(BA160/AV160)</f>
        <v>0</v>
      </c>
      <c r="BG160" s="11" t="n">
        <f aca="false">(BF160*100)</f>
        <v>0</v>
      </c>
      <c r="BH160" s="9" t="n">
        <v>0</v>
      </c>
      <c r="BI160" s="9" t="n">
        <v>5</v>
      </c>
      <c r="BJ160" s="9" t="n">
        <v>2</v>
      </c>
      <c r="BK160" s="9" t="n">
        <v>3</v>
      </c>
      <c r="BL160" s="9" t="n">
        <v>1</v>
      </c>
      <c r="BM160" s="11" t="n">
        <f aca="false">(BI160+BJ160+BK160+BL160)/4</f>
        <v>2.75</v>
      </c>
      <c r="BN160" s="11" t="n">
        <f aca="false">(BI160/AR160)</f>
        <v>0.384615384615385</v>
      </c>
      <c r="BO160" s="11" t="n">
        <f aca="false">(BJ160/AS160)</f>
        <v>0.133333333333333</v>
      </c>
      <c r="BP160" s="11" t="n">
        <f aca="false">(BK160/AT160)</f>
        <v>0.15</v>
      </c>
      <c r="BQ160" s="11" t="n">
        <f aca="false">(BL160/AU160)</f>
        <v>0.0196078431372549</v>
      </c>
      <c r="BR160" s="11" t="n">
        <f aca="false">(BM160/AV160)</f>
        <v>0.111111111111111</v>
      </c>
      <c r="BS160" s="11" t="n">
        <f aca="false">(100*BR160)</f>
        <v>11.1111111111111</v>
      </c>
      <c r="BT160" s="9" t="n">
        <v>2</v>
      </c>
      <c r="BU160" s="9" t="n">
        <v>2</v>
      </c>
      <c r="BV160" s="9" t="n">
        <v>5</v>
      </c>
      <c r="BW160" s="9" t="n">
        <v>0</v>
      </c>
      <c r="BX160" s="9" t="n">
        <v>1</v>
      </c>
      <c r="BY160" s="11" t="n">
        <f aca="false">(BU160+BV160+BW160+BX160)/4</f>
        <v>2</v>
      </c>
      <c r="BZ160" s="11" t="n">
        <f aca="false">(BU160/AR160)</f>
        <v>0.153846153846154</v>
      </c>
      <c r="CA160" s="11" t="n">
        <f aca="false">(BV160/AS160)</f>
        <v>0.333333333333333</v>
      </c>
      <c r="CB160" s="11" t="n">
        <f aca="false">(BW160/AT160)</f>
        <v>0</v>
      </c>
      <c r="CC160" s="11" t="n">
        <f aca="false">(BX160/AU160)</f>
        <v>0.0196078431372549</v>
      </c>
      <c r="CD160" s="11" t="n">
        <f aca="false">(BY160/AV160)</f>
        <v>0.0808080808080808</v>
      </c>
      <c r="CE160" s="11" t="n">
        <f aca="false">(100*CD160)</f>
        <v>8.08080808080808</v>
      </c>
      <c r="CF160" s="9" t="n">
        <v>1</v>
      </c>
      <c r="CG160" s="9" t="n">
        <v>0</v>
      </c>
      <c r="CH160" s="9" t="n">
        <v>8</v>
      </c>
      <c r="CI160" s="9" t="n">
        <v>0</v>
      </c>
      <c r="CJ160" s="9" t="n">
        <v>1</v>
      </c>
      <c r="CK160" s="11" t="n">
        <f aca="false">(CG160+CH160+CI160+CJ160)/4</f>
        <v>2.25</v>
      </c>
      <c r="CL160" s="11" t="n">
        <f aca="false">(CG160/AM160)</f>
        <v>0</v>
      </c>
      <c r="CM160" s="11" t="n">
        <f aca="false">(CH160/AN160)</f>
        <v>0.0769230769230769</v>
      </c>
      <c r="CN160" s="11" t="n">
        <f aca="false">(CI160/AO160)</f>
        <v>0</v>
      </c>
      <c r="CO160" s="9" t="n">
        <f aca="false">(CJ160/AP160)</f>
        <v>0.0344827586206897</v>
      </c>
      <c r="CP160" s="9" t="n">
        <f aca="false">(CK160/AQ160)</f>
        <v>0.042654028436019</v>
      </c>
      <c r="CQ160" s="9" t="n">
        <f aca="false">(100*CP160)</f>
        <v>4.2654028436019</v>
      </c>
      <c r="CR160" s="18" t="n">
        <v>1</v>
      </c>
      <c r="CS160" s="9" t="n">
        <v>51.2</v>
      </c>
      <c r="CT160" s="9" t="n">
        <v>52.8</v>
      </c>
      <c r="CU160" s="9" t="n">
        <v>71.6</v>
      </c>
      <c r="CV160" s="9" t="n">
        <v>60</v>
      </c>
      <c r="CW160" s="11" t="n">
        <f aca="false">(CS160+CT160+CU160+CV160)/4</f>
        <v>58.9</v>
      </c>
      <c r="CX160" s="9" t="n">
        <v>0</v>
      </c>
      <c r="CY160" s="9" t="n">
        <v>0</v>
      </c>
      <c r="CZ160" s="9" t="n">
        <v>1</v>
      </c>
      <c r="DA160" s="9" t="n">
        <v>0</v>
      </c>
      <c r="DB160" s="11" t="n">
        <f aca="false">(CX160+CY160+CZ160+DA160)/4</f>
        <v>0.25</v>
      </c>
      <c r="DC160" s="9" t="n">
        <v>1</v>
      </c>
      <c r="DD160" s="9" t="n">
        <v>0</v>
      </c>
      <c r="DE160" s="9" t="n">
        <v>1</v>
      </c>
      <c r="DF160" s="9" t="n">
        <v>1</v>
      </c>
      <c r="DG160" s="11" t="n">
        <f aca="false">(DC160+DD160+DE160+DF160)/4</f>
        <v>0.75</v>
      </c>
      <c r="DH160" s="9" t="n">
        <v>1</v>
      </c>
      <c r="DI160" s="9" t="n">
        <v>0</v>
      </c>
      <c r="DJ160" s="9" t="n">
        <v>1</v>
      </c>
      <c r="DK160" s="9" t="n">
        <v>1</v>
      </c>
      <c r="DL160" s="11" t="n">
        <f aca="false">(DH160+DI160+DJ160+DK160)/4</f>
        <v>0.75</v>
      </c>
      <c r="DM160" s="9" t="n">
        <v>15</v>
      </c>
      <c r="DN160" s="9" t="n">
        <v>85</v>
      </c>
      <c r="DO160" s="9" t="n">
        <v>18</v>
      </c>
      <c r="DP160" s="9" t="n">
        <v>41</v>
      </c>
      <c r="DQ160" s="11" t="n">
        <f aca="false">(DM160+DN160+DO160+DP160)/4</f>
        <v>39.75</v>
      </c>
      <c r="DR160" s="9" t="n">
        <v>18</v>
      </c>
      <c r="DS160" s="9" t="n">
        <v>33</v>
      </c>
      <c r="DT160" s="9" t="n">
        <v>15</v>
      </c>
      <c r="DU160" s="9" t="n">
        <v>13</v>
      </c>
      <c r="DV160" s="11" t="n">
        <f aca="false">(DR160+DS160+DT160+DU160)/4</f>
        <v>19.75</v>
      </c>
      <c r="DW160" s="9" t="n">
        <v>0</v>
      </c>
      <c r="DX160" s="9" t="n">
        <v>0</v>
      </c>
      <c r="DY160" s="9" t="n">
        <v>3</v>
      </c>
      <c r="DZ160" s="9" t="n">
        <v>0</v>
      </c>
      <c r="EA160" s="11" t="n">
        <f aca="false">(DW160+DX160+DY160+DZ160)/4</f>
        <v>0.75</v>
      </c>
      <c r="EB160" s="11" t="n">
        <f aca="false">(DW160/DR160)</f>
        <v>0</v>
      </c>
      <c r="EC160" s="11" t="n">
        <f aca="false">(DX160/DS160)</f>
        <v>0</v>
      </c>
      <c r="ED160" s="11" t="n">
        <f aca="false">(DY160/DT160)</f>
        <v>0.2</v>
      </c>
      <c r="EE160" s="11" t="n">
        <f aca="false">(DZ160/DU160)</f>
        <v>0</v>
      </c>
      <c r="EF160" s="11" t="n">
        <f aca="false">(EA160/DV160)</f>
        <v>0.0379746835443038</v>
      </c>
      <c r="EG160" s="11" t="n">
        <f aca="false">(100*EF160)</f>
        <v>3.79746835443038</v>
      </c>
      <c r="EH160" s="9" t="n">
        <v>1</v>
      </c>
      <c r="EI160" s="9" t="n">
        <v>1</v>
      </c>
      <c r="EJ160" s="9" t="n">
        <v>0</v>
      </c>
      <c r="EK160" s="19" t="n">
        <v>1</v>
      </c>
      <c r="EL160" s="9" t="n">
        <v>3</v>
      </c>
      <c r="EM160" s="9" t="n">
        <f aca="false">(EI160+EJ160+EK160+EL160)/4</f>
        <v>1.25</v>
      </c>
      <c r="EN160" s="9" t="n">
        <f aca="false">(EI160/DR160)</f>
        <v>0.0555555555555556</v>
      </c>
      <c r="EO160" s="9" t="n">
        <f aca="false">(EJ160/DS160)</f>
        <v>0</v>
      </c>
      <c r="EP160" s="9" t="n">
        <f aca="false">(EK160/DT160)</f>
        <v>0.0666666666666667</v>
      </c>
      <c r="EQ160" s="9" t="n">
        <f aca="false">(EL160/DU160)</f>
        <v>0.230769230769231</v>
      </c>
      <c r="ER160" s="9" t="n">
        <f aca="false">EM160/DV160</f>
        <v>0.0632911392405063</v>
      </c>
      <c r="ES160" s="9" t="n">
        <f aca="false">(100*ER160)</f>
        <v>6.32911392405063</v>
      </c>
      <c r="ET160" s="9" t="n">
        <v>1</v>
      </c>
      <c r="EU160" s="18" t="n">
        <v>0</v>
      </c>
      <c r="EV160" s="9" t="n">
        <v>0</v>
      </c>
      <c r="EW160" s="9" t="n">
        <v>0</v>
      </c>
      <c r="EX160" s="9" t="n">
        <v>1</v>
      </c>
      <c r="EY160" s="11" t="n">
        <f aca="false">(EU160+EV160+EW160+EX160)/4</f>
        <v>0.25</v>
      </c>
      <c r="EZ160" s="11" t="n">
        <f aca="false">(EU160/DR160)</f>
        <v>0</v>
      </c>
      <c r="FA160" s="11" t="n">
        <f aca="false">(EV160/DS160)</f>
        <v>0</v>
      </c>
      <c r="FB160" s="11" t="n">
        <f aca="false">(EW160/DT160)</f>
        <v>0</v>
      </c>
      <c r="FC160" s="11" t="n">
        <f aca="false">(EX160/DU160)</f>
        <v>0.0769230769230769</v>
      </c>
      <c r="FD160" s="11" t="n">
        <f aca="false">(EY160/DV160)</f>
        <v>0.0126582278481013</v>
      </c>
      <c r="FE160" s="11" t="n">
        <f aca="false">(100*FD160)</f>
        <v>1.26582278481013</v>
      </c>
      <c r="FF160" s="9" t="n">
        <v>1</v>
      </c>
      <c r="FG160" s="9" t="n">
        <v>2</v>
      </c>
      <c r="FH160" s="9" t="n">
        <v>0</v>
      </c>
      <c r="FI160" s="9" t="n">
        <v>4</v>
      </c>
      <c r="FJ160" s="9" t="n">
        <v>3</v>
      </c>
      <c r="FK160" s="11" t="n">
        <f aca="false">(FG160+FH160+FI160+FJ160)/4</f>
        <v>2.25</v>
      </c>
      <c r="FL160" s="11" t="n">
        <f aca="false">(FG160/DR160)</f>
        <v>0.111111111111111</v>
      </c>
      <c r="FM160" s="11" t="n">
        <f aca="false">(FH160/DS160)</f>
        <v>0</v>
      </c>
      <c r="FN160" s="11" t="n">
        <f aca="false">(FI160/DT160)</f>
        <v>0.266666666666667</v>
      </c>
      <c r="FO160" s="11" t="n">
        <f aca="false">(FJ160/DU160)</f>
        <v>0.230769230769231</v>
      </c>
      <c r="FP160" s="11" t="n">
        <f aca="false">(FK160/DV160)</f>
        <v>0.113924050632911</v>
      </c>
      <c r="FQ160" s="11" t="n">
        <f aca="false">(100*FP160)</f>
        <v>11.3924050632911</v>
      </c>
      <c r="FR160" s="9" t="n">
        <v>2</v>
      </c>
      <c r="FS160" s="9" t="n">
        <v>60.4</v>
      </c>
      <c r="FT160" s="9" t="n">
        <v>57.5</v>
      </c>
      <c r="FU160" s="9" t="n">
        <v>52.2</v>
      </c>
      <c r="FV160" s="9" t="n">
        <v>49.2</v>
      </c>
      <c r="FW160" s="11" t="n">
        <f aca="false">(FS160+FT160+FU160+FV160)/4</f>
        <v>54.825</v>
      </c>
      <c r="FX160" s="9" t="n">
        <v>0</v>
      </c>
      <c r="FY160" s="9" t="n">
        <v>0</v>
      </c>
      <c r="FZ160" s="9" t="n">
        <v>1</v>
      </c>
      <c r="GA160" s="9" t="n">
        <v>1</v>
      </c>
      <c r="GB160" s="11" t="n">
        <f aca="false">(FX160+FY160+FZ160+GA160)/4</f>
        <v>0.5</v>
      </c>
      <c r="GC160" s="9" t="n">
        <v>0</v>
      </c>
      <c r="GD160" s="9" t="n">
        <v>0</v>
      </c>
      <c r="GE160" s="9" t="n">
        <v>0</v>
      </c>
      <c r="GF160" s="9" t="n">
        <v>0</v>
      </c>
      <c r="GG160" s="11" t="n">
        <f aca="false">(GC160+GD160+GE160+GF160)/4</f>
        <v>0</v>
      </c>
      <c r="GH160" s="9" t="n">
        <v>1</v>
      </c>
      <c r="GI160" s="9" t="n">
        <v>1</v>
      </c>
      <c r="GJ160" s="9" t="n">
        <v>1</v>
      </c>
      <c r="GK160" s="9" t="n">
        <v>1</v>
      </c>
      <c r="GL160" s="11" t="n">
        <f aca="false">(GH160+GI160+GJ160+GK160)/4</f>
        <v>1</v>
      </c>
      <c r="GM160" s="9" t="n">
        <v>51</v>
      </c>
      <c r="GN160" s="9" t="n">
        <v>21</v>
      </c>
      <c r="GO160" s="9" t="n">
        <v>39</v>
      </c>
      <c r="GP160" s="9" t="n">
        <v>67</v>
      </c>
      <c r="GQ160" s="11" t="n">
        <f aca="false">(GM160+GN160+GO160+GP160)/4</f>
        <v>44.5</v>
      </c>
      <c r="GR160" s="9" t="n">
        <v>12</v>
      </c>
      <c r="GS160" s="9" t="n">
        <v>30</v>
      </c>
      <c r="GT160" s="9" t="n">
        <v>19</v>
      </c>
      <c r="GU160" s="9" t="n">
        <v>11</v>
      </c>
      <c r="GV160" s="11" t="n">
        <f aca="false">(GR160+GS160+GT160+GU160)/4</f>
        <v>18</v>
      </c>
      <c r="GW160" s="9" t="n">
        <v>0</v>
      </c>
      <c r="GX160" s="9" t="n">
        <v>0</v>
      </c>
      <c r="GY160" s="9" t="n">
        <v>1</v>
      </c>
      <c r="GZ160" s="9" t="n">
        <v>1</v>
      </c>
      <c r="HA160" s="11" t="n">
        <f aca="false">(GW160+GX160+GY160+GZ160)/4</f>
        <v>0.5</v>
      </c>
      <c r="HB160" s="9" t="n">
        <f aca="false">(GW160/GR160)</f>
        <v>0</v>
      </c>
      <c r="HC160" s="9" t="n">
        <f aca="false">(GX160/GS160)</f>
        <v>0</v>
      </c>
      <c r="HD160" s="9" t="n">
        <f aca="false">(GY160/GT160)</f>
        <v>0.0526315789473684</v>
      </c>
      <c r="HE160" s="9" t="n">
        <f aca="false">(GZ160/GU160)/4</f>
        <v>0.0227272727272727</v>
      </c>
      <c r="HF160" s="9" t="n">
        <f aca="false">(HB160+HC160+HD160+HE160)/4</f>
        <v>0.0188397129186603</v>
      </c>
      <c r="HG160" s="9" t="n">
        <f aca="false">(100*HF160)</f>
        <v>1.88397129186603</v>
      </c>
      <c r="HH160" s="18" t="n">
        <v>1</v>
      </c>
      <c r="HI160" s="9" t="n">
        <v>0</v>
      </c>
      <c r="HJ160" s="9" t="n">
        <v>0</v>
      </c>
      <c r="HK160" s="9" t="n">
        <v>0</v>
      </c>
      <c r="HL160" s="19" t="n">
        <v>0</v>
      </c>
      <c r="HM160" s="9" t="n">
        <f aca="false">(HI160+HJ160+HK160+HL160)/4</f>
        <v>0</v>
      </c>
      <c r="HN160" s="9" t="n">
        <f aca="false">(HI160/GR160)</f>
        <v>0</v>
      </c>
      <c r="HO160" s="9" t="n">
        <f aca="false">(HJ160/GS160)</f>
        <v>0</v>
      </c>
      <c r="HP160" s="9" t="n">
        <f aca="false">(HK160/GT160)</f>
        <v>0</v>
      </c>
      <c r="HQ160" s="9" t="n">
        <f aca="false">(HL160/GU160)</f>
        <v>0</v>
      </c>
      <c r="HR160" s="9" t="n">
        <f aca="false">(HM160/GV160)</f>
        <v>0</v>
      </c>
      <c r="HS160" s="9" t="n">
        <f aca="false">(100*HR160)</f>
        <v>0</v>
      </c>
      <c r="HT160" s="18" t="n">
        <v>0</v>
      </c>
      <c r="HU160" s="9" t="n">
        <v>2</v>
      </c>
      <c r="HV160" s="9" t="n">
        <v>2</v>
      </c>
      <c r="HW160" s="9" t="n">
        <v>3</v>
      </c>
      <c r="HX160" s="19" t="n">
        <v>4</v>
      </c>
      <c r="HY160" s="9" t="n">
        <f aca="false">(HU160+HV160+HW160+HX160)/4</f>
        <v>2.75</v>
      </c>
      <c r="HZ160" s="9" t="n">
        <f aca="false">(HU160/GR160)</f>
        <v>0.166666666666667</v>
      </c>
      <c r="IA160" s="9" t="n">
        <f aca="false">HV160/GS160</f>
        <v>0.0666666666666667</v>
      </c>
      <c r="IB160" s="9" t="n">
        <f aca="false">(HW160/GT160)</f>
        <v>0.157894736842105</v>
      </c>
      <c r="IC160" s="9" t="n">
        <f aca="false">(HX160/GU160)</f>
        <v>0.363636363636364</v>
      </c>
      <c r="ID160" s="9" t="n">
        <f aca="false">(HY160/GV160)</f>
        <v>0.152777777777778</v>
      </c>
      <c r="IE160" s="9" t="n">
        <f aca="false">(100*ID160)</f>
        <v>15.2777777777778</v>
      </c>
      <c r="IF160" s="18" t="n">
        <v>2</v>
      </c>
      <c r="IG160" s="9" t="n">
        <v>0</v>
      </c>
      <c r="IH160" s="9" t="n">
        <v>0</v>
      </c>
      <c r="II160" s="19" t="n">
        <v>4</v>
      </c>
      <c r="IJ160" s="9" t="n">
        <v>0</v>
      </c>
      <c r="IK160" s="9" t="n">
        <f aca="false">(IG160+IH160+II160+IJ160)/4</f>
        <v>1</v>
      </c>
      <c r="IL160" s="9" t="n">
        <f aca="false">(IG160/GM160)</f>
        <v>0</v>
      </c>
      <c r="IM160" s="9" t="n">
        <f aca="false">(IH160/GN160)</f>
        <v>0</v>
      </c>
      <c r="IN160" s="9" t="n">
        <f aca="false">(II160/GO160)</f>
        <v>0.102564102564103</v>
      </c>
      <c r="IO160" s="9" t="n">
        <f aca="false">(IJ160/GP160)</f>
        <v>0</v>
      </c>
      <c r="IP160" s="9" t="n">
        <f aca="false">(IK160/GQ160)</f>
        <v>0.0224719101123596</v>
      </c>
      <c r="IQ160" s="9" t="n">
        <f aca="false">(100*IP160)</f>
        <v>2.24719101123596</v>
      </c>
      <c r="IR160" s="18" t="n">
        <v>1</v>
      </c>
      <c r="IS160" s="9" t="n">
        <v>50</v>
      </c>
      <c r="IT160" s="9" t="n">
        <v>62.8</v>
      </c>
      <c r="IU160" s="19" t="n">
        <v>53</v>
      </c>
      <c r="IV160" s="9" t="n">
        <v>60.4</v>
      </c>
      <c r="IW160" s="9" t="n">
        <f aca="false">(IS160+IT160+IU160+IV160)/4</f>
        <v>56.55</v>
      </c>
      <c r="IX160" s="16" t="n">
        <v>45210</v>
      </c>
      <c r="IY160" s="10" t="s">
        <v>268</v>
      </c>
    </row>
    <row r="161" customFormat="false" ht="15.75" hidden="false" customHeight="true" outlineLevel="0" collapsed="false">
      <c r="A161" s="9" t="s">
        <v>259</v>
      </c>
      <c r="B161" s="10" t="s">
        <v>629</v>
      </c>
      <c r="C161" s="10" t="s">
        <v>626</v>
      </c>
      <c r="D161" s="9" t="n">
        <v>2</v>
      </c>
      <c r="E161" s="9" t="n">
        <v>54</v>
      </c>
      <c r="F161" s="10" t="s">
        <v>630</v>
      </c>
      <c r="G161" s="10" t="s">
        <v>320</v>
      </c>
      <c r="H161" s="9" t="n">
        <v>21</v>
      </c>
      <c r="I161" s="9" t="n">
        <v>5</v>
      </c>
      <c r="J161" s="12" t="s">
        <v>264</v>
      </c>
      <c r="K161" s="40" t="s">
        <v>631</v>
      </c>
      <c r="L161" s="41" t="s">
        <v>632</v>
      </c>
      <c r="M161" s="9" t="n">
        <v>1291</v>
      </c>
      <c r="N161" s="15" t="n">
        <v>45134</v>
      </c>
      <c r="O161" s="10" t="s">
        <v>267</v>
      </c>
      <c r="P161" s="9"/>
      <c r="Q161" s="9" t="n">
        <v>23.88</v>
      </c>
      <c r="R161" s="9" t="n">
        <v>15</v>
      </c>
      <c r="S161" s="9" t="n">
        <v>-7</v>
      </c>
      <c r="T161" s="9" t="n">
        <v>100</v>
      </c>
      <c r="U161" s="9"/>
      <c r="V161" s="9" t="n">
        <v>4.16</v>
      </c>
      <c r="W161" s="9" t="s">
        <v>633</v>
      </c>
      <c r="X161" s="9" t="n">
        <v>0</v>
      </c>
      <c r="Y161" s="9" t="n">
        <v>0</v>
      </c>
      <c r="Z161" s="9" t="n">
        <v>1</v>
      </c>
      <c r="AA161" s="9" t="n">
        <v>0</v>
      </c>
      <c r="AB161" s="11" t="n">
        <f aca="false">(X161+Y161+Z161+AA161)/4</f>
        <v>0.25</v>
      </c>
      <c r="AC161" s="9" t="n">
        <v>1</v>
      </c>
      <c r="AD161" s="9" t="n">
        <v>1</v>
      </c>
      <c r="AE161" s="9" t="n">
        <v>1</v>
      </c>
      <c r="AF161" s="9" t="n">
        <v>1</v>
      </c>
      <c r="AG161" s="11" t="n">
        <f aca="false">(AC161+AD161+AE161+AF161)/4</f>
        <v>1</v>
      </c>
      <c r="AH161" s="9" t="n">
        <v>0</v>
      </c>
      <c r="AI161" s="9" t="n">
        <v>1</v>
      </c>
      <c r="AJ161" s="9" t="n">
        <v>0</v>
      </c>
      <c r="AK161" s="9" t="n">
        <v>1</v>
      </c>
      <c r="AL161" s="11" t="n">
        <f aca="false">(AH161+AI161+AJ161+AK161)/4</f>
        <v>0.5</v>
      </c>
      <c r="AM161" s="9" t="n">
        <v>1</v>
      </c>
      <c r="AN161" s="9" t="n">
        <v>68</v>
      </c>
      <c r="AO161" s="9" t="n">
        <v>7</v>
      </c>
      <c r="AP161" s="9" t="n">
        <v>2</v>
      </c>
      <c r="AQ161" s="11" t="n">
        <f aca="false">(AM161+AN161+AO161+AP161)/4</f>
        <v>19.5</v>
      </c>
      <c r="AR161" s="9" t="n">
        <v>16</v>
      </c>
      <c r="AS161" s="9" t="n">
        <v>12</v>
      </c>
      <c r="AT161" s="9" t="n">
        <v>9</v>
      </c>
      <c r="AU161" s="9" t="n">
        <v>3</v>
      </c>
      <c r="AV161" s="11" t="n">
        <f aca="false">(AR161+AS161+AT161+AU161)/4</f>
        <v>10</v>
      </c>
      <c r="AW161" s="9" t="n">
        <v>0</v>
      </c>
      <c r="AX161" s="9" t="n">
        <v>0</v>
      </c>
      <c r="AY161" s="9" t="n">
        <v>3</v>
      </c>
      <c r="AZ161" s="9" t="n">
        <v>0</v>
      </c>
      <c r="BA161" s="11" t="n">
        <f aca="false">(AW161+AX161+AY161+AZ161)/4</f>
        <v>0.75</v>
      </c>
      <c r="BB161" s="11" t="n">
        <f aca="false">(AW161/AR161)</f>
        <v>0</v>
      </c>
      <c r="BC161" s="11" t="n">
        <f aca="false">(AX161/AS161)</f>
        <v>0</v>
      </c>
      <c r="BD161" s="11" t="n">
        <f aca="false">(AY161/AT161)</f>
        <v>0.333333333333333</v>
      </c>
      <c r="BE161" s="11" t="n">
        <f aca="false">(AZ161/AU161)</f>
        <v>0</v>
      </c>
      <c r="BF161" s="11" t="n">
        <f aca="false">(BA161/AV161)</f>
        <v>0.075</v>
      </c>
      <c r="BG161" s="11" t="n">
        <f aca="false">(BF161*100)</f>
        <v>7.5</v>
      </c>
      <c r="BH161" s="9" t="n">
        <v>1</v>
      </c>
      <c r="BI161" s="9" t="n">
        <v>4</v>
      </c>
      <c r="BJ161" s="9" t="n">
        <v>5</v>
      </c>
      <c r="BK161" s="9" t="n">
        <v>1</v>
      </c>
      <c r="BL161" s="9" t="n">
        <v>1</v>
      </c>
      <c r="BM161" s="11" t="n">
        <f aca="false">(BI161+BJ161+BK161+BL161)/4</f>
        <v>2.75</v>
      </c>
      <c r="BN161" s="11" t="n">
        <f aca="false">(BI161/AR161)</f>
        <v>0.25</v>
      </c>
      <c r="BO161" s="11" t="n">
        <f aca="false">(BJ161/AS161)</f>
        <v>0.416666666666667</v>
      </c>
      <c r="BP161" s="11" t="n">
        <f aca="false">(BK161/AT161)</f>
        <v>0.111111111111111</v>
      </c>
      <c r="BQ161" s="11" t="n">
        <f aca="false">(BL161/AU161)</f>
        <v>0.333333333333333</v>
      </c>
      <c r="BR161" s="11" t="n">
        <f aca="false">(BM161/AV161)</f>
        <v>0.275</v>
      </c>
      <c r="BS161" s="11" t="n">
        <f aca="false">(100*BR161)</f>
        <v>27.5</v>
      </c>
      <c r="BT161" s="9" t="n">
        <v>2</v>
      </c>
      <c r="BU161" s="9" t="n">
        <v>0</v>
      </c>
      <c r="BV161" s="9" t="n">
        <v>0</v>
      </c>
      <c r="BW161" s="9" t="n">
        <v>0</v>
      </c>
      <c r="BX161" s="9" t="n">
        <v>1</v>
      </c>
      <c r="BY161" s="11" t="n">
        <f aca="false">(BU161+BV161+BW161+BX161)/4</f>
        <v>0.25</v>
      </c>
      <c r="BZ161" s="11" t="n">
        <f aca="false">(BU161/AR161)</f>
        <v>0</v>
      </c>
      <c r="CA161" s="11" t="n">
        <f aca="false">(BV161/AS161)</f>
        <v>0</v>
      </c>
      <c r="CB161" s="11" t="n">
        <f aca="false">(BW161/AT161)</f>
        <v>0</v>
      </c>
      <c r="CC161" s="11" t="n">
        <f aca="false">(BX161/AU161)</f>
        <v>0.333333333333333</v>
      </c>
      <c r="CD161" s="11" t="n">
        <f aca="false">(BY161/AV161)</f>
        <v>0.025</v>
      </c>
      <c r="CE161" s="11" t="n">
        <f aca="false">(100*CD161)</f>
        <v>2.5</v>
      </c>
      <c r="CF161" s="9" t="n">
        <v>1</v>
      </c>
      <c r="CG161" s="9" t="n">
        <v>0</v>
      </c>
      <c r="CH161" s="9" t="n">
        <v>3</v>
      </c>
      <c r="CI161" s="9" t="n">
        <v>0</v>
      </c>
      <c r="CJ161" s="9" t="n">
        <v>2</v>
      </c>
      <c r="CK161" s="11" t="n">
        <f aca="false">(CG161+CH161+CI161+CJ161)/4</f>
        <v>1.25</v>
      </c>
      <c r="CL161" s="11" t="n">
        <f aca="false">(CG161/AM161)</f>
        <v>0</v>
      </c>
      <c r="CM161" s="11" t="n">
        <f aca="false">(CH161/AN161)</f>
        <v>0.0441176470588235</v>
      </c>
      <c r="CN161" s="11" t="n">
        <f aca="false">(CI161/AO161)</f>
        <v>0</v>
      </c>
      <c r="CO161" s="9" t="n">
        <f aca="false">(CJ161/AP161)</f>
        <v>1</v>
      </c>
      <c r="CP161" s="9" t="n">
        <f aca="false">(CK161/AQ161)</f>
        <v>0.0641025641025641</v>
      </c>
      <c r="CQ161" s="9" t="n">
        <f aca="false">(100*CP161)</f>
        <v>6.41025641025641</v>
      </c>
      <c r="CR161" s="18" t="n">
        <v>1</v>
      </c>
      <c r="CS161" s="9" t="n">
        <v>54.6</v>
      </c>
      <c r="CT161" s="9" t="n">
        <v>45.3</v>
      </c>
      <c r="CU161" s="9" t="n">
        <v>53.2</v>
      </c>
      <c r="CV161" s="9" t="n">
        <v>35.8</v>
      </c>
      <c r="CW161" s="11" t="n">
        <f aca="false">(CS161+CT161+CU161+CV161)/4</f>
        <v>47.225</v>
      </c>
      <c r="CX161" s="9" t="n">
        <v>0</v>
      </c>
      <c r="CY161" s="9" t="n">
        <v>0</v>
      </c>
      <c r="CZ161" s="9" t="n">
        <v>0</v>
      </c>
      <c r="DA161" s="9" t="n">
        <v>0</v>
      </c>
      <c r="DB161" s="11" t="n">
        <f aca="false">(CX161+CY161+CZ161+DA161)/4</f>
        <v>0</v>
      </c>
      <c r="DC161" s="9" t="n">
        <v>1</v>
      </c>
      <c r="DD161" s="9" t="n">
        <v>1</v>
      </c>
      <c r="DE161" s="9" t="n">
        <v>1</v>
      </c>
      <c r="DF161" s="9" t="n">
        <v>1</v>
      </c>
      <c r="DG161" s="11" t="n">
        <f aca="false">(DC161+DD161+DE161+DF161)/4</f>
        <v>1</v>
      </c>
      <c r="DH161" s="9" t="n">
        <v>1</v>
      </c>
      <c r="DI161" s="9" t="n">
        <v>0</v>
      </c>
      <c r="DJ161" s="9" t="n">
        <v>1</v>
      </c>
      <c r="DK161" s="9" t="n">
        <v>1</v>
      </c>
      <c r="DL161" s="11" t="n">
        <f aca="false">(DH161+DI161+DJ161+DK161)/4</f>
        <v>0.75</v>
      </c>
      <c r="DM161" s="9" t="n">
        <v>10</v>
      </c>
      <c r="DN161" s="9" t="n">
        <v>24</v>
      </c>
      <c r="DO161" s="9" t="n">
        <v>20</v>
      </c>
      <c r="DP161" s="9" t="n">
        <v>14</v>
      </c>
      <c r="DQ161" s="11" t="n">
        <f aca="false">(DM161+DN161+DO161+DP161)/4</f>
        <v>17</v>
      </c>
      <c r="DR161" s="9" t="n">
        <v>44</v>
      </c>
      <c r="DS161" s="9" t="n">
        <v>14</v>
      </c>
      <c r="DT161" s="9" t="n">
        <v>16</v>
      </c>
      <c r="DU161" s="9" t="n">
        <v>15</v>
      </c>
      <c r="DV161" s="11" t="n">
        <f aca="false">(DR161+DS161+DT161+DU161)/4</f>
        <v>22.25</v>
      </c>
      <c r="DW161" s="9" t="n">
        <v>0</v>
      </c>
      <c r="DX161" s="9" t="n">
        <v>0</v>
      </c>
      <c r="DY161" s="9" t="n">
        <v>0</v>
      </c>
      <c r="DZ161" s="9" t="n">
        <v>0</v>
      </c>
      <c r="EA161" s="11" t="n">
        <f aca="false">(DW161+DX161+DY161+DZ161)/4</f>
        <v>0</v>
      </c>
      <c r="EB161" s="11" t="n">
        <f aca="false">(DW161/DR161)</f>
        <v>0</v>
      </c>
      <c r="EC161" s="11" t="n">
        <f aca="false">(DX161/DS161)</f>
        <v>0</v>
      </c>
      <c r="ED161" s="11" t="n">
        <f aca="false">(DY161/DT161)</f>
        <v>0</v>
      </c>
      <c r="EE161" s="11" t="n">
        <f aca="false">(DZ161/DU161)</f>
        <v>0</v>
      </c>
      <c r="EF161" s="11" t="n">
        <f aca="false">(EA161/DV161)</f>
        <v>0</v>
      </c>
      <c r="EG161" s="11" t="n">
        <f aca="false">(100*EF161)</f>
        <v>0</v>
      </c>
      <c r="EH161" s="9" t="n">
        <v>0</v>
      </c>
      <c r="EI161" s="9" t="n">
        <v>3</v>
      </c>
      <c r="EJ161" s="9" t="n">
        <v>2</v>
      </c>
      <c r="EK161" s="19" t="n">
        <v>3</v>
      </c>
      <c r="EL161" s="9" t="n">
        <v>2</v>
      </c>
      <c r="EM161" s="9" t="n">
        <f aca="false">(EI161+EJ161+EK161+EL161)/4</f>
        <v>2.5</v>
      </c>
      <c r="EN161" s="9" t="n">
        <f aca="false">(EI161/DR161)</f>
        <v>0.0681818181818182</v>
      </c>
      <c r="EO161" s="9" t="n">
        <f aca="false">(EJ161/DS161)</f>
        <v>0.142857142857143</v>
      </c>
      <c r="EP161" s="9" t="n">
        <f aca="false">(EK161/DT161)</f>
        <v>0.1875</v>
      </c>
      <c r="EQ161" s="9" t="n">
        <f aca="false">(EL161/DU161)</f>
        <v>0.133333333333333</v>
      </c>
      <c r="ER161" s="9" t="n">
        <f aca="false">EM161/DV161</f>
        <v>0.112359550561798</v>
      </c>
      <c r="ES161" s="9" t="n">
        <f aca="false">(100*ER161)</f>
        <v>11.2359550561798</v>
      </c>
      <c r="ET161" s="9" t="n">
        <v>2</v>
      </c>
      <c r="EU161" s="18" t="n">
        <v>3</v>
      </c>
      <c r="EV161" s="9" t="n">
        <v>0</v>
      </c>
      <c r="EW161" s="9" t="n">
        <v>0</v>
      </c>
      <c r="EX161" s="9" t="n">
        <v>3</v>
      </c>
      <c r="EY161" s="11" t="n">
        <f aca="false">(EU161+EV161+EW161+EX161)/4</f>
        <v>1.5</v>
      </c>
      <c r="EZ161" s="11" t="n">
        <f aca="false">(EU161/DR161)</f>
        <v>0.0681818181818182</v>
      </c>
      <c r="FA161" s="11" t="n">
        <f aca="false">(EV161/DS161)</f>
        <v>0</v>
      </c>
      <c r="FB161" s="11" t="n">
        <f aca="false">(EW161/DT161)</f>
        <v>0</v>
      </c>
      <c r="FC161" s="11" t="n">
        <f aca="false">(EX161/DU161)</f>
        <v>0.2</v>
      </c>
      <c r="FD161" s="11" t="n">
        <f aca="false">(EY161/DV161)</f>
        <v>0.0674157303370787</v>
      </c>
      <c r="FE161" s="11" t="n">
        <f aca="false">(100*FD161)</f>
        <v>6.74157303370787</v>
      </c>
      <c r="FF161" s="9" t="n">
        <v>1</v>
      </c>
      <c r="FG161" s="9" t="n">
        <v>0</v>
      </c>
      <c r="FH161" s="9" t="n">
        <v>0</v>
      </c>
      <c r="FI161" s="9" t="n">
        <v>1</v>
      </c>
      <c r="FJ161" s="9" t="n">
        <v>5</v>
      </c>
      <c r="FK161" s="11" t="n">
        <f aca="false">(FG161+FH161+FI161+FJ161)/4</f>
        <v>1.5</v>
      </c>
      <c r="FL161" s="11" t="n">
        <f aca="false">(FG161/DR161)</f>
        <v>0</v>
      </c>
      <c r="FM161" s="11" t="n">
        <f aca="false">(FH161/DS161)</f>
        <v>0</v>
      </c>
      <c r="FN161" s="11" t="n">
        <f aca="false">(FI161/DT161)</f>
        <v>0.0625</v>
      </c>
      <c r="FO161" s="11" t="n">
        <f aca="false">(FJ161/DU161)</f>
        <v>0.333333333333333</v>
      </c>
      <c r="FP161" s="11" t="n">
        <f aca="false">(FK161/DV161)</f>
        <v>0.0674157303370787</v>
      </c>
      <c r="FQ161" s="11" t="n">
        <f aca="false">(100*FP161)</f>
        <v>6.74157303370787</v>
      </c>
      <c r="FR161" s="9" t="n">
        <v>1</v>
      </c>
      <c r="FS161" s="9" t="n">
        <v>53.4</v>
      </c>
      <c r="FT161" s="9" t="n">
        <v>59.8</v>
      </c>
      <c r="FU161" s="9" t="n">
        <v>46.1</v>
      </c>
      <c r="FV161" s="9" t="n">
        <v>49.3</v>
      </c>
      <c r="FW161" s="11" t="n">
        <f aca="false">(FS161+FT161+FU161+FV161)/4</f>
        <v>52.15</v>
      </c>
      <c r="FX161" s="9" t="n">
        <v>0</v>
      </c>
      <c r="FY161" s="9" t="n">
        <v>0</v>
      </c>
      <c r="FZ161" s="9" t="n">
        <v>0</v>
      </c>
      <c r="GA161" s="9" t="n">
        <v>0</v>
      </c>
      <c r="GB161" s="11" t="n">
        <f aca="false">(FX161+FY161+FZ161+GA161)/4</f>
        <v>0</v>
      </c>
      <c r="GC161" s="9" t="n">
        <v>1</v>
      </c>
      <c r="GD161" s="9" t="n">
        <v>1</v>
      </c>
      <c r="GE161" s="9" t="n">
        <v>1</v>
      </c>
      <c r="GF161" s="9" t="n">
        <v>0</v>
      </c>
      <c r="GG161" s="11" t="n">
        <f aca="false">(GC161+GD161+GE161+GF161)/4</f>
        <v>0.75</v>
      </c>
      <c r="GH161" s="9" t="n">
        <v>1</v>
      </c>
      <c r="GI161" s="9" t="n">
        <v>1</v>
      </c>
      <c r="GJ161" s="9" t="n">
        <v>1</v>
      </c>
      <c r="GK161" s="9" t="n">
        <v>0</v>
      </c>
      <c r="GL161" s="11" t="n">
        <f aca="false">(GH161+GI161+GJ161+GK161)/4</f>
        <v>0.75</v>
      </c>
      <c r="GM161" s="9" t="n">
        <v>140</v>
      </c>
      <c r="GN161" s="9" t="n">
        <v>18</v>
      </c>
      <c r="GO161" s="9" t="n">
        <v>72</v>
      </c>
      <c r="GP161" s="9" t="n">
        <v>60</v>
      </c>
      <c r="GQ161" s="11" t="n">
        <f aca="false">(GM161+GN161+GO161+GP161)/4</f>
        <v>72.5</v>
      </c>
      <c r="GR161" s="9" t="n">
        <v>11</v>
      </c>
      <c r="GS161" s="9" t="n">
        <v>19</v>
      </c>
      <c r="GT161" s="9" t="n">
        <v>13</v>
      </c>
      <c r="GU161" s="9" t="n">
        <v>11</v>
      </c>
      <c r="GV161" s="11" t="n">
        <f aca="false">(GR161+GS161+GT161+GU161)/4</f>
        <v>13.5</v>
      </c>
      <c r="GW161" s="9" t="n">
        <v>0</v>
      </c>
      <c r="GX161" s="9" t="n">
        <v>0</v>
      </c>
      <c r="GY161" s="9" t="n">
        <v>0</v>
      </c>
      <c r="GZ161" s="9" t="n">
        <v>0</v>
      </c>
      <c r="HA161" s="11" t="n">
        <f aca="false">(GW161+GX161+GY161+GZ161)/4</f>
        <v>0</v>
      </c>
      <c r="HB161" s="9" t="n">
        <f aca="false">(GW161/GR161)</f>
        <v>0</v>
      </c>
      <c r="HC161" s="9" t="n">
        <f aca="false">(GX161/GS161)</f>
        <v>0</v>
      </c>
      <c r="HD161" s="9" t="n">
        <f aca="false">(GY161/GT161)</f>
        <v>0</v>
      </c>
      <c r="HE161" s="9" t="n">
        <f aca="false">(GZ161/GU161)/4</f>
        <v>0</v>
      </c>
      <c r="HF161" s="9" t="n">
        <f aca="false">(HB161+HC161+HD161+HE161)/4</f>
        <v>0</v>
      </c>
      <c r="HG161" s="9" t="n">
        <f aca="false">(100*HF161)</f>
        <v>0</v>
      </c>
      <c r="HH161" s="18" t="n">
        <v>0</v>
      </c>
      <c r="HI161" s="9" t="n">
        <v>4</v>
      </c>
      <c r="HJ161" s="9" t="n">
        <v>3</v>
      </c>
      <c r="HK161" s="9" t="n">
        <v>2</v>
      </c>
      <c r="HL161" s="19" t="n">
        <v>0</v>
      </c>
      <c r="HM161" s="9" t="n">
        <f aca="false">(HI161+HJ161+HK161+HL161)/4</f>
        <v>2.25</v>
      </c>
      <c r="HN161" s="9" t="n">
        <f aca="false">(HI161/GR161)</f>
        <v>0.363636363636364</v>
      </c>
      <c r="HO161" s="9" t="n">
        <f aca="false">(HJ161/GS161)</f>
        <v>0.157894736842105</v>
      </c>
      <c r="HP161" s="9" t="n">
        <f aca="false">(HK161/GT161)</f>
        <v>0.153846153846154</v>
      </c>
      <c r="HQ161" s="9" t="n">
        <f aca="false">(HL161/GU161)</f>
        <v>0</v>
      </c>
      <c r="HR161" s="9" t="n">
        <f aca="false">(HM161/GV161)</f>
        <v>0.166666666666667</v>
      </c>
      <c r="HS161" s="9" t="n">
        <f aca="false">(100*HR161)</f>
        <v>16.6666666666667</v>
      </c>
      <c r="HT161" s="18" t="n">
        <v>2</v>
      </c>
      <c r="HU161" s="9" t="n">
        <v>4</v>
      </c>
      <c r="HV161" s="9" t="n">
        <v>3</v>
      </c>
      <c r="HW161" s="9" t="n">
        <v>6</v>
      </c>
      <c r="HX161" s="19" t="n">
        <v>0</v>
      </c>
      <c r="HY161" s="9" t="n">
        <f aca="false">(HU161+HV161+HW161+HX161)/4</f>
        <v>3.25</v>
      </c>
      <c r="HZ161" s="9" t="n">
        <f aca="false">(HU161/GR161)</f>
        <v>0.363636363636364</v>
      </c>
      <c r="IA161" s="9" t="n">
        <f aca="false">HV161/GS161</f>
        <v>0.157894736842105</v>
      </c>
      <c r="IB161" s="9" t="n">
        <f aca="false">(HW161/GT161)</f>
        <v>0.461538461538462</v>
      </c>
      <c r="IC161" s="9" t="n">
        <f aca="false">(HX161/GU161)</f>
        <v>0</v>
      </c>
      <c r="ID161" s="9" t="n">
        <f aca="false">(HY161/GV161)</f>
        <v>0.240740740740741</v>
      </c>
      <c r="IE161" s="9" t="n">
        <f aca="false">(100*ID161)</f>
        <v>24.0740740740741</v>
      </c>
      <c r="IF161" s="18" t="n">
        <v>2</v>
      </c>
      <c r="IG161" s="9" t="n">
        <v>5</v>
      </c>
      <c r="IH161" s="9" t="n">
        <v>3</v>
      </c>
      <c r="II161" s="19" t="n">
        <v>0</v>
      </c>
      <c r="IJ161" s="9" t="n">
        <v>0</v>
      </c>
      <c r="IK161" s="9" t="n">
        <f aca="false">(IG161+IH161+II161+IJ161)/4</f>
        <v>2</v>
      </c>
      <c r="IL161" s="9" t="n">
        <f aca="false">(IG161/GM161)</f>
        <v>0.0357142857142857</v>
      </c>
      <c r="IM161" s="9" t="n">
        <f aca="false">(IH161/GN161)</f>
        <v>0.166666666666667</v>
      </c>
      <c r="IN161" s="9" t="n">
        <f aca="false">(II161/GO161)</f>
        <v>0</v>
      </c>
      <c r="IO161" s="9" t="n">
        <f aca="false">(IJ161/GP161)</f>
        <v>0</v>
      </c>
      <c r="IP161" s="9" t="n">
        <f aca="false">(IK161/GQ161)</f>
        <v>0.0275862068965517</v>
      </c>
      <c r="IQ161" s="9" t="n">
        <f aca="false">(100*IP161)</f>
        <v>2.75862068965517</v>
      </c>
      <c r="IR161" s="18" t="n">
        <v>1</v>
      </c>
      <c r="IS161" s="9" t="n">
        <v>44.7</v>
      </c>
      <c r="IT161" s="9" t="n">
        <v>51.7</v>
      </c>
      <c r="IU161" s="19" t="n">
        <v>52.6</v>
      </c>
      <c r="IV161" s="9" t="n">
        <v>54.6</v>
      </c>
      <c r="IW161" s="9" t="n">
        <f aca="false">(IS161+IT161+IU161+IV161)/4</f>
        <v>50.9</v>
      </c>
      <c r="IX161" s="16" t="n">
        <v>45240</v>
      </c>
      <c r="IY161" s="10" t="s">
        <v>268</v>
      </c>
    </row>
    <row r="162" customFormat="false" ht="15.75" hidden="false" customHeight="true" outlineLevel="0" collapsed="false">
      <c r="A162" s="9" t="s">
        <v>259</v>
      </c>
      <c r="B162" s="10" t="s">
        <v>629</v>
      </c>
      <c r="C162" s="10" t="s">
        <v>626</v>
      </c>
      <c r="D162" s="9" t="n">
        <v>2</v>
      </c>
      <c r="E162" s="9" t="n">
        <v>54</v>
      </c>
      <c r="F162" s="10" t="s">
        <v>634</v>
      </c>
      <c r="G162" s="10" t="s">
        <v>320</v>
      </c>
      <c r="H162" s="9" t="n">
        <v>21</v>
      </c>
      <c r="I162" s="9" t="n">
        <v>11</v>
      </c>
      <c r="J162" s="12" t="s">
        <v>270</v>
      </c>
      <c r="K162" s="13"/>
      <c r="L162" s="13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 t="n">
        <v>0</v>
      </c>
      <c r="Y162" s="9" t="n">
        <v>0</v>
      </c>
      <c r="Z162" s="9" t="n">
        <v>0</v>
      </c>
      <c r="AA162" s="9" t="n">
        <v>0</v>
      </c>
      <c r="AB162" s="11" t="n">
        <f aca="false">(X162+Y162+Z162+AA162)/4</f>
        <v>0</v>
      </c>
      <c r="AC162" s="9" t="n">
        <v>1</v>
      </c>
      <c r="AD162" s="9" t="n">
        <v>1</v>
      </c>
      <c r="AE162" s="9" t="n">
        <v>1</v>
      </c>
      <c r="AF162" s="9" t="n">
        <v>1</v>
      </c>
      <c r="AG162" s="11" t="n">
        <f aca="false">(AC162+AD162+AE162+AF162)/4</f>
        <v>1</v>
      </c>
      <c r="AH162" s="9" t="n">
        <v>1</v>
      </c>
      <c r="AI162" s="9" t="n">
        <v>1</v>
      </c>
      <c r="AJ162" s="9" t="n">
        <v>1</v>
      </c>
      <c r="AK162" s="9" t="n">
        <v>1</v>
      </c>
      <c r="AL162" s="11" t="n">
        <f aca="false">(AH162+AI162+AJ162+AK162)/4</f>
        <v>1</v>
      </c>
      <c r="AM162" s="9" t="n">
        <v>25</v>
      </c>
      <c r="AN162" s="9" t="n">
        <v>24</v>
      </c>
      <c r="AO162" s="9" t="n">
        <v>113</v>
      </c>
      <c r="AP162" s="9" t="n">
        <v>66</v>
      </c>
      <c r="AQ162" s="11" t="n">
        <f aca="false">(AM162+AN162+AO162+AP162)/4</f>
        <v>57</v>
      </c>
      <c r="AR162" s="9" t="n">
        <v>24</v>
      </c>
      <c r="AS162" s="9" t="n">
        <v>18</v>
      </c>
      <c r="AT162" s="9" t="n">
        <v>18</v>
      </c>
      <c r="AU162" s="9" t="n">
        <v>17</v>
      </c>
      <c r="AV162" s="11" t="n">
        <f aca="false">(AR162+AS162+AT162+AU162)/4</f>
        <v>19.25</v>
      </c>
      <c r="AW162" s="9" t="n">
        <v>0</v>
      </c>
      <c r="AX162" s="9" t="n">
        <v>0</v>
      </c>
      <c r="AY162" s="9" t="n">
        <v>0</v>
      </c>
      <c r="AZ162" s="9" t="n">
        <v>0</v>
      </c>
      <c r="BA162" s="11" t="n">
        <f aca="false">(AW162+AX162+AY162+AZ162)/4</f>
        <v>0</v>
      </c>
      <c r="BB162" s="11" t="n">
        <f aca="false">(AW162/AR162)</f>
        <v>0</v>
      </c>
      <c r="BC162" s="11" t="n">
        <f aca="false">(AX162/AS162)</f>
        <v>0</v>
      </c>
      <c r="BD162" s="11" t="n">
        <f aca="false">(AY162/AT162)</f>
        <v>0</v>
      </c>
      <c r="BE162" s="11" t="n">
        <f aca="false">(AZ162/AU162)</f>
        <v>0</v>
      </c>
      <c r="BF162" s="11" t="n">
        <f aca="false">(BA162/AV162)</f>
        <v>0</v>
      </c>
      <c r="BG162" s="11" t="n">
        <f aca="false">(BF162*100)</f>
        <v>0</v>
      </c>
      <c r="BH162" s="9" t="n">
        <v>0</v>
      </c>
      <c r="BI162" s="9" t="n">
        <v>2</v>
      </c>
      <c r="BJ162" s="9" t="n">
        <v>3</v>
      </c>
      <c r="BK162" s="9" t="n">
        <v>2</v>
      </c>
      <c r="BL162" s="9" t="n">
        <v>5</v>
      </c>
      <c r="BM162" s="11" t="n">
        <f aca="false">(BI162+BJ162+BK162+BL162)/4</f>
        <v>3</v>
      </c>
      <c r="BN162" s="11" t="n">
        <f aca="false">(BI162/AR162)</f>
        <v>0.0833333333333333</v>
      </c>
      <c r="BO162" s="11" t="n">
        <f aca="false">(BJ162/AS162)</f>
        <v>0.166666666666667</v>
      </c>
      <c r="BP162" s="11" t="n">
        <f aca="false">(BK162/AT162)</f>
        <v>0.111111111111111</v>
      </c>
      <c r="BQ162" s="11" t="n">
        <f aca="false">(BL162/AU162)</f>
        <v>0.294117647058824</v>
      </c>
      <c r="BR162" s="11" t="n">
        <f aca="false">(BM162/AV162)</f>
        <v>0.155844155844156</v>
      </c>
      <c r="BS162" s="11" t="n">
        <f aca="false">(100*BR162)</f>
        <v>15.5844155844156</v>
      </c>
      <c r="BT162" s="9" t="n">
        <v>2</v>
      </c>
      <c r="BU162" s="9" t="n">
        <v>1</v>
      </c>
      <c r="BV162" s="9" t="n">
        <v>4</v>
      </c>
      <c r="BW162" s="9" t="n">
        <v>0</v>
      </c>
      <c r="BX162" s="9" t="n">
        <v>5</v>
      </c>
      <c r="BY162" s="11" t="n">
        <f aca="false">(BU162+BV162+BW162+BX162)/4</f>
        <v>2.5</v>
      </c>
      <c r="BZ162" s="11" t="n">
        <f aca="false">(BU162/AR162)</f>
        <v>0.0416666666666667</v>
      </c>
      <c r="CA162" s="11" t="n">
        <f aca="false">(BV162/AS162)</f>
        <v>0.222222222222222</v>
      </c>
      <c r="CB162" s="11" t="n">
        <f aca="false">(BW162/AT162)</f>
        <v>0</v>
      </c>
      <c r="CC162" s="11" t="n">
        <f aca="false">(BX162/AU162)</f>
        <v>0.294117647058824</v>
      </c>
      <c r="CD162" s="11" t="n">
        <f aca="false">(BY162/AV162)</f>
        <v>0.12987012987013</v>
      </c>
      <c r="CE162" s="11" t="n">
        <f aca="false">(100*CD162)</f>
        <v>12.987012987013</v>
      </c>
      <c r="CF162" s="9" t="n">
        <v>2</v>
      </c>
      <c r="CG162" s="9" t="n">
        <v>0</v>
      </c>
      <c r="CH162" s="9" t="n">
        <v>3</v>
      </c>
      <c r="CI162" s="9" t="n">
        <v>2</v>
      </c>
      <c r="CJ162" s="9" t="n">
        <v>10</v>
      </c>
      <c r="CK162" s="11" t="n">
        <f aca="false">(CG162+CH162+CI162+CJ162)/4</f>
        <v>3.75</v>
      </c>
      <c r="CL162" s="11" t="n">
        <f aca="false">(CG162/AM162)</f>
        <v>0</v>
      </c>
      <c r="CM162" s="11" t="n">
        <f aca="false">(CH162/AN162)</f>
        <v>0.125</v>
      </c>
      <c r="CN162" s="11" t="n">
        <f aca="false">(CI162/AO162)</f>
        <v>0.0176991150442478</v>
      </c>
      <c r="CO162" s="9" t="n">
        <f aca="false">(CJ162/AP162)</f>
        <v>0.151515151515152</v>
      </c>
      <c r="CP162" s="9" t="n">
        <f aca="false">(CK162/AQ162)</f>
        <v>0.0657894736842105</v>
      </c>
      <c r="CQ162" s="9" t="n">
        <f aca="false">(100*CP162)</f>
        <v>6.57894736842105</v>
      </c>
      <c r="CR162" s="18" t="n">
        <v>1</v>
      </c>
      <c r="CS162" s="9" t="n">
        <v>61</v>
      </c>
      <c r="CT162" s="9" t="n">
        <v>67.3</v>
      </c>
      <c r="CU162" s="9" t="n">
        <v>56.5</v>
      </c>
      <c r="CV162" s="9" t="n">
        <v>67.5</v>
      </c>
      <c r="CW162" s="11" t="n">
        <f aca="false">(CS162+CT162+CU162+CV162)/4</f>
        <v>63.075</v>
      </c>
      <c r="CX162" s="9" t="n">
        <v>0</v>
      </c>
      <c r="CY162" s="9" t="n">
        <v>1</v>
      </c>
      <c r="CZ162" s="9" t="n">
        <v>0</v>
      </c>
      <c r="DA162" s="9" t="n">
        <v>0</v>
      </c>
      <c r="DB162" s="11" t="n">
        <f aca="false">(CX162+CY162+CZ162+DA162)/4</f>
        <v>0.25</v>
      </c>
      <c r="DC162" s="9" t="n">
        <v>1</v>
      </c>
      <c r="DD162" s="9" t="n">
        <v>1</v>
      </c>
      <c r="DE162" s="9" t="n">
        <v>1</v>
      </c>
      <c r="DF162" s="9" t="n">
        <v>1</v>
      </c>
      <c r="DG162" s="11" t="n">
        <f aca="false">(DC162+DD162+DE162+DF162)/4</f>
        <v>1</v>
      </c>
      <c r="DH162" s="9" t="n">
        <v>1</v>
      </c>
      <c r="DI162" s="9" t="n">
        <v>1</v>
      </c>
      <c r="DJ162" s="9" t="n">
        <v>1</v>
      </c>
      <c r="DK162" s="9" t="n">
        <v>1</v>
      </c>
      <c r="DL162" s="11" t="n">
        <f aca="false">(DH162+DI162+DJ162+DK162)/4</f>
        <v>1</v>
      </c>
      <c r="DM162" s="9" t="n">
        <v>51</v>
      </c>
      <c r="DN162" s="9" t="n">
        <v>98</v>
      </c>
      <c r="DO162" s="9" t="n">
        <v>47</v>
      </c>
      <c r="DP162" s="9" t="n">
        <v>137</v>
      </c>
      <c r="DQ162" s="11" t="n">
        <f aca="false">(DM162+DN162+DO162+DP162)/4</f>
        <v>83.25</v>
      </c>
      <c r="DR162" s="9" t="n">
        <v>16</v>
      </c>
      <c r="DS162" s="9" t="n">
        <v>15</v>
      </c>
      <c r="DT162" s="9" t="n">
        <v>14</v>
      </c>
      <c r="DU162" s="9" t="n">
        <v>18</v>
      </c>
      <c r="DV162" s="11" t="n">
        <f aca="false">(DR162+DS162+DT162+DU162)/4</f>
        <v>15.75</v>
      </c>
      <c r="DW162" s="9" t="n">
        <v>0</v>
      </c>
      <c r="DX162" s="9" t="n">
        <v>2</v>
      </c>
      <c r="DY162" s="9" t="n">
        <v>0</v>
      </c>
      <c r="DZ162" s="9" t="n">
        <v>0</v>
      </c>
      <c r="EA162" s="11" t="n">
        <f aca="false">(DW162+DX162+DY162+DZ162)/4</f>
        <v>0.5</v>
      </c>
      <c r="EB162" s="11" t="n">
        <f aca="false">(DW162/DR162)</f>
        <v>0</v>
      </c>
      <c r="EC162" s="11" t="n">
        <f aca="false">(DX162/DS162)</f>
        <v>0.133333333333333</v>
      </c>
      <c r="ED162" s="11" t="n">
        <f aca="false">(DY162/DT162)</f>
        <v>0</v>
      </c>
      <c r="EE162" s="11" t="n">
        <f aca="false">(DZ162/DU162)</f>
        <v>0</v>
      </c>
      <c r="EF162" s="11" t="n">
        <f aca="false">(EA162/DV162)</f>
        <v>0.0317460317460317</v>
      </c>
      <c r="EG162" s="11" t="n">
        <f aca="false">(100*EF162)</f>
        <v>3.17460317460317</v>
      </c>
      <c r="EH162" s="9" t="n">
        <v>1</v>
      </c>
      <c r="EI162" s="9" t="n">
        <v>5</v>
      </c>
      <c r="EJ162" s="9" t="n">
        <v>6</v>
      </c>
      <c r="EK162" s="19" t="n">
        <v>2</v>
      </c>
      <c r="EL162" s="9" t="n">
        <v>3</v>
      </c>
      <c r="EM162" s="9" t="n">
        <f aca="false">(EI162+EJ162+EK162+EL162)/4</f>
        <v>4</v>
      </c>
      <c r="EN162" s="9" t="n">
        <f aca="false">(EI162/DR162)</f>
        <v>0.3125</v>
      </c>
      <c r="EO162" s="9" t="n">
        <f aca="false">(EJ162/DS162)</f>
        <v>0.4</v>
      </c>
      <c r="EP162" s="9" t="n">
        <f aca="false">(EK162/DT162)</f>
        <v>0.142857142857143</v>
      </c>
      <c r="EQ162" s="9" t="n">
        <f aca="false">(EL162/DU162)</f>
        <v>0.166666666666667</v>
      </c>
      <c r="ER162" s="9" t="n">
        <f aca="false">EM162/DV162</f>
        <v>0.253968253968254</v>
      </c>
      <c r="ES162" s="9" t="n">
        <f aca="false">(100*ER162)</f>
        <v>25.3968253968254</v>
      </c>
      <c r="ET162" s="9" t="n">
        <v>2</v>
      </c>
      <c r="EU162" s="18" t="n">
        <v>0</v>
      </c>
      <c r="EV162" s="9" t="n">
        <v>5</v>
      </c>
      <c r="EW162" s="9" t="n">
        <v>0</v>
      </c>
      <c r="EX162" s="9" t="n">
        <v>1</v>
      </c>
      <c r="EY162" s="11" t="n">
        <f aca="false">(EU162+EV162+EW162+EX162)/4</f>
        <v>1.5</v>
      </c>
      <c r="EZ162" s="11" t="n">
        <f aca="false">(EU162/DR162)</f>
        <v>0</v>
      </c>
      <c r="FA162" s="11" t="n">
        <f aca="false">(EV162/DS162)</f>
        <v>0.333333333333333</v>
      </c>
      <c r="FB162" s="11" t="n">
        <f aca="false">(EW162/DT162)</f>
        <v>0</v>
      </c>
      <c r="FC162" s="11" t="n">
        <f aca="false">(EX162/DU162)</f>
        <v>0.0555555555555556</v>
      </c>
      <c r="FD162" s="11" t="n">
        <f aca="false">(EY162/DV162)</f>
        <v>0.0952380952380952</v>
      </c>
      <c r="FE162" s="11" t="n">
        <f aca="false">(100*FD162)</f>
        <v>9.52380952380952</v>
      </c>
      <c r="FF162" s="9" t="n">
        <v>1</v>
      </c>
      <c r="FG162" s="9" t="n">
        <v>8</v>
      </c>
      <c r="FH162" s="9" t="n">
        <v>28</v>
      </c>
      <c r="FI162" s="9" t="n">
        <v>20</v>
      </c>
      <c r="FJ162" s="9" t="n">
        <v>2</v>
      </c>
      <c r="FK162" s="11" t="n">
        <f aca="false">(FG162+FH162+FI162+FJ162)/4</f>
        <v>14.5</v>
      </c>
      <c r="FL162" s="11" t="n">
        <f aca="false">(FG162/DR162)</f>
        <v>0.5</v>
      </c>
      <c r="FM162" s="11" t="n">
        <f aca="false">(FH162/DS162)</f>
        <v>1.86666666666667</v>
      </c>
      <c r="FN162" s="11" t="n">
        <f aca="false">(FI162/DT162)</f>
        <v>1.42857142857143</v>
      </c>
      <c r="FO162" s="11" t="n">
        <f aca="false">(FJ162/DU162)</f>
        <v>0.111111111111111</v>
      </c>
      <c r="FP162" s="11" t="n">
        <f aca="false">(FK162/DV162)</f>
        <v>0.920634920634921</v>
      </c>
      <c r="FQ162" s="11" t="n">
        <f aca="false">(100*FP162)</f>
        <v>92.0634920634921</v>
      </c>
      <c r="FR162" s="9" t="n">
        <v>3</v>
      </c>
      <c r="FS162" s="9" t="n">
        <v>60.6</v>
      </c>
      <c r="FT162" s="9" t="n">
        <v>65.3</v>
      </c>
      <c r="FU162" s="9" t="n">
        <v>63.2</v>
      </c>
      <c r="FV162" s="9" t="n">
        <v>63.2</v>
      </c>
      <c r="FW162" s="11" t="n">
        <f aca="false">(FS162+FT162+FU162+FV162)/4</f>
        <v>63.075</v>
      </c>
      <c r="FX162" s="9" t="n">
        <v>0</v>
      </c>
      <c r="FY162" s="9" t="n">
        <v>1</v>
      </c>
      <c r="FZ162" s="9" t="n">
        <v>1</v>
      </c>
      <c r="GA162" s="9" t="n">
        <v>1</v>
      </c>
      <c r="GB162" s="11" t="n">
        <f aca="false">(FX162+FY162+FZ162+GA162)/4</f>
        <v>0.75</v>
      </c>
      <c r="GC162" s="9" t="n">
        <v>1</v>
      </c>
      <c r="GD162" s="9" t="n">
        <v>1</v>
      </c>
      <c r="GE162" s="9" t="n">
        <v>1</v>
      </c>
      <c r="GF162" s="9" t="n">
        <v>1</v>
      </c>
      <c r="GG162" s="11" t="n">
        <f aca="false">(GC162+GD162+GE162+GF162)/4</f>
        <v>1</v>
      </c>
      <c r="GH162" s="9" t="n">
        <v>1</v>
      </c>
      <c r="GI162" s="9" t="n">
        <v>1</v>
      </c>
      <c r="GJ162" s="9" t="n">
        <v>0</v>
      </c>
      <c r="GK162" s="9" t="n">
        <v>1</v>
      </c>
      <c r="GL162" s="11" t="n">
        <f aca="false">(GH162+GI162+GJ162+GK162)/4</f>
        <v>0.75</v>
      </c>
      <c r="GM162" s="9" t="n">
        <v>117</v>
      </c>
      <c r="GN162" s="9" t="n">
        <v>107</v>
      </c>
      <c r="GO162" s="9" t="n">
        <v>24</v>
      </c>
      <c r="GP162" s="9" t="n">
        <v>197</v>
      </c>
      <c r="GQ162" s="11" t="n">
        <f aca="false">(GM162+GN162+GO162+GP162)/4</f>
        <v>111.25</v>
      </c>
      <c r="GR162" s="9" t="n">
        <v>18</v>
      </c>
      <c r="GS162" s="9" t="n">
        <v>17</v>
      </c>
      <c r="GT162" s="9" t="n">
        <v>21</v>
      </c>
      <c r="GU162" s="9" t="n">
        <v>24</v>
      </c>
      <c r="GV162" s="11" t="n">
        <f aca="false">(GR162+GS162+GT162+GU162)/4</f>
        <v>20</v>
      </c>
      <c r="GW162" s="9" t="n">
        <v>0</v>
      </c>
      <c r="GX162" s="9" t="n">
        <v>1</v>
      </c>
      <c r="GY162" s="9" t="n">
        <v>1</v>
      </c>
      <c r="GZ162" s="9" t="n">
        <v>1</v>
      </c>
      <c r="HA162" s="11" t="n">
        <f aca="false">(GW162+GX162+GY162+GZ162)/4</f>
        <v>0.75</v>
      </c>
      <c r="HB162" s="9" t="n">
        <f aca="false">(GW162/GR162)</f>
        <v>0</v>
      </c>
      <c r="HC162" s="9" t="n">
        <f aca="false">(GX162/GS162)</f>
        <v>0.0588235294117647</v>
      </c>
      <c r="HD162" s="9" t="n">
        <f aca="false">(GY162/GT162)</f>
        <v>0.0476190476190476</v>
      </c>
      <c r="HE162" s="9" t="n">
        <f aca="false">(GZ162/GU162)/4</f>
        <v>0.0104166666666667</v>
      </c>
      <c r="HF162" s="9" t="n">
        <f aca="false">(HB162+HC162+HD162+HE162)/4</f>
        <v>0.0292148109243697</v>
      </c>
      <c r="HG162" s="9" t="n">
        <f aca="false">(100*HF162)</f>
        <v>2.92148109243698</v>
      </c>
      <c r="HH162" s="18" t="n">
        <v>1</v>
      </c>
      <c r="HI162" s="9" t="n">
        <v>2</v>
      </c>
      <c r="HJ162" s="9" t="n">
        <v>3</v>
      </c>
      <c r="HK162" s="9" t="n">
        <v>4</v>
      </c>
      <c r="HL162" s="19" t="n">
        <v>3</v>
      </c>
      <c r="HM162" s="9" t="n">
        <f aca="false">(HI162+HJ162+HK162+HL162)/4</f>
        <v>3</v>
      </c>
      <c r="HN162" s="9" t="n">
        <f aca="false">(HI162/GR162)</f>
        <v>0.111111111111111</v>
      </c>
      <c r="HO162" s="9" t="n">
        <f aca="false">(HJ162/GS162)</f>
        <v>0.176470588235294</v>
      </c>
      <c r="HP162" s="9" t="n">
        <f aca="false">(HK162/GT162)</f>
        <v>0.19047619047619</v>
      </c>
      <c r="HQ162" s="9" t="n">
        <f aca="false">(HL162/GU162)</f>
        <v>0.125</v>
      </c>
      <c r="HR162" s="9" t="n">
        <f aca="false">(HM162/GV162)</f>
        <v>0.15</v>
      </c>
      <c r="HS162" s="9" t="n">
        <f aca="false">(100*HR162)</f>
        <v>15</v>
      </c>
      <c r="HT162" s="18" t="n">
        <v>2</v>
      </c>
      <c r="HU162" s="9" t="n">
        <v>1</v>
      </c>
      <c r="HV162" s="9" t="n">
        <v>1</v>
      </c>
      <c r="HW162" s="9" t="n">
        <v>0</v>
      </c>
      <c r="HX162" s="19" t="n">
        <v>3</v>
      </c>
      <c r="HY162" s="9" t="n">
        <f aca="false">(HU162+HV162+HW162+HX162)/4</f>
        <v>1.25</v>
      </c>
      <c r="HZ162" s="9" t="n">
        <f aca="false">(HU162/GR162)</f>
        <v>0.0555555555555556</v>
      </c>
      <c r="IA162" s="9" t="n">
        <f aca="false">HV162/GS162</f>
        <v>0.0588235294117647</v>
      </c>
      <c r="IB162" s="9" t="n">
        <f aca="false">(HW162/GT162)</f>
        <v>0</v>
      </c>
      <c r="IC162" s="9" t="n">
        <f aca="false">(HX162/GU162)</f>
        <v>0.125</v>
      </c>
      <c r="ID162" s="9" t="n">
        <f aca="false">(HY162/GV162)</f>
        <v>0.0625</v>
      </c>
      <c r="IE162" s="9" t="n">
        <f aca="false">(100*ID162)</f>
        <v>6.25</v>
      </c>
      <c r="IF162" s="18" t="n">
        <v>1</v>
      </c>
      <c r="IG162" s="9" t="n">
        <v>3</v>
      </c>
      <c r="IH162" s="9" t="n">
        <v>2</v>
      </c>
      <c r="II162" s="19" t="n">
        <v>0</v>
      </c>
      <c r="IJ162" s="9" t="n">
        <v>4</v>
      </c>
      <c r="IK162" s="9" t="n">
        <f aca="false">(IG162+IH162+II162+IJ162)/4</f>
        <v>2.25</v>
      </c>
      <c r="IL162" s="9" t="n">
        <f aca="false">(IG162/GM162)</f>
        <v>0.0256410256410256</v>
      </c>
      <c r="IM162" s="9" t="n">
        <f aca="false">(IH162/GN162)</f>
        <v>0.0186915887850467</v>
      </c>
      <c r="IN162" s="9" t="n">
        <f aca="false">(II162/GO162)</f>
        <v>0</v>
      </c>
      <c r="IO162" s="9" t="n">
        <f aca="false">(IJ162/GP162)</f>
        <v>0.0203045685279188</v>
      </c>
      <c r="IP162" s="9" t="n">
        <f aca="false">(IK162/GQ162)</f>
        <v>0.0202247191011236</v>
      </c>
      <c r="IQ162" s="9" t="n">
        <f aca="false">(100*IP162)</f>
        <v>2.02247191011236</v>
      </c>
      <c r="IR162" s="18" t="n">
        <v>1</v>
      </c>
      <c r="IS162" s="9" t="n">
        <v>70.8</v>
      </c>
      <c r="IT162" s="9" t="n">
        <v>70.4</v>
      </c>
      <c r="IU162" s="19" t="n">
        <v>67.4</v>
      </c>
      <c r="IV162" s="9" t="n">
        <v>69.6</v>
      </c>
      <c r="IW162" s="9" t="n">
        <f aca="false">(IS162+IT162+IU162+IV162)/4</f>
        <v>69.55</v>
      </c>
      <c r="IX162" s="16" t="n">
        <v>45240</v>
      </c>
      <c r="IY162" s="10" t="s">
        <v>268</v>
      </c>
    </row>
    <row r="163" customFormat="false" ht="15.75" hidden="false" customHeight="true" outlineLevel="0" collapsed="false">
      <c r="A163" s="9" t="s">
        <v>259</v>
      </c>
      <c r="B163" s="10" t="s">
        <v>629</v>
      </c>
      <c r="C163" s="10" t="s">
        <v>626</v>
      </c>
      <c r="D163" s="9" t="n">
        <v>2</v>
      </c>
      <c r="E163" s="9" t="n">
        <v>54</v>
      </c>
      <c r="F163" s="10" t="s">
        <v>635</v>
      </c>
      <c r="G163" s="10" t="s">
        <v>297</v>
      </c>
      <c r="H163" s="9" t="n">
        <v>21</v>
      </c>
      <c r="I163" s="9" t="n">
        <v>21</v>
      </c>
      <c r="J163" s="10" t="s">
        <v>272</v>
      </c>
      <c r="K163" s="20"/>
      <c r="L163" s="20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 t="n">
        <v>0</v>
      </c>
      <c r="Y163" s="9" t="n">
        <v>1</v>
      </c>
      <c r="Z163" s="9" t="n">
        <v>0</v>
      </c>
      <c r="AA163" s="9" t="n">
        <v>0</v>
      </c>
      <c r="AB163" s="11" t="n">
        <f aca="false">(X163+Y163+Z163+AA163)/4</f>
        <v>0.25</v>
      </c>
      <c r="AC163" s="9" t="n">
        <v>1</v>
      </c>
      <c r="AD163" s="9" t="n">
        <v>1</v>
      </c>
      <c r="AE163" s="9" t="n">
        <v>1</v>
      </c>
      <c r="AF163" s="9" t="n">
        <v>1</v>
      </c>
      <c r="AG163" s="11" t="n">
        <f aca="false">(AC163+AD163+AE163+AF163)/4</f>
        <v>1</v>
      </c>
      <c r="AH163" s="9" t="n">
        <v>1</v>
      </c>
      <c r="AI163" s="9" t="n">
        <v>1</v>
      </c>
      <c r="AJ163" s="9" t="n">
        <v>1</v>
      </c>
      <c r="AK163" s="9" t="n">
        <v>1</v>
      </c>
      <c r="AL163" s="11" t="n">
        <f aca="false">(AH163+AI163+AJ163+AK163)/4</f>
        <v>1</v>
      </c>
      <c r="AM163" s="9" t="n">
        <v>4</v>
      </c>
      <c r="AN163" s="9" t="n">
        <v>30</v>
      </c>
      <c r="AO163" s="9" t="n">
        <v>32</v>
      </c>
      <c r="AP163" s="9" t="n">
        <v>24</v>
      </c>
      <c r="AQ163" s="11" t="n">
        <f aca="false">(AM163+AN163+AO163+AP163)/4</f>
        <v>22.5</v>
      </c>
      <c r="AR163" s="9" t="n">
        <v>43</v>
      </c>
      <c r="AS163" s="9" t="n">
        <v>13</v>
      </c>
      <c r="AT163" s="9" t="n">
        <v>18</v>
      </c>
      <c r="AU163" s="9" t="n">
        <v>20</v>
      </c>
      <c r="AV163" s="11" t="n">
        <f aca="false">(AR163+AS163+AT163+AU163)/4</f>
        <v>23.5</v>
      </c>
      <c r="AW163" s="9" t="n">
        <v>0</v>
      </c>
      <c r="AX163" s="9" t="n">
        <v>1</v>
      </c>
      <c r="AY163" s="9" t="n">
        <v>0</v>
      </c>
      <c r="AZ163" s="9" t="n">
        <v>0</v>
      </c>
      <c r="BA163" s="11" t="n">
        <f aca="false">(AW163+AX163+AY163+AZ163)/4</f>
        <v>0.25</v>
      </c>
      <c r="BB163" s="11" t="n">
        <f aca="false">(AW163/AR163)</f>
        <v>0</v>
      </c>
      <c r="BC163" s="11" t="n">
        <f aca="false">(AX163/AS163)</f>
        <v>0.0769230769230769</v>
      </c>
      <c r="BD163" s="11" t="n">
        <f aca="false">(AY163/AT163)</f>
        <v>0</v>
      </c>
      <c r="BE163" s="11" t="n">
        <f aca="false">(AZ163/AU163)</f>
        <v>0</v>
      </c>
      <c r="BF163" s="11" t="n">
        <f aca="false">(BA163/AV163)</f>
        <v>0.0106382978723404</v>
      </c>
      <c r="BG163" s="11" t="n">
        <f aca="false">(BF163*100)</f>
        <v>1.06382978723404</v>
      </c>
      <c r="BH163" s="9" t="n">
        <v>1</v>
      </c>
      <c r="BI163" s="9" t="n">
        <v>10</v>
      </c>
      <c r="BJ163" s="9" t="n">
        <v>3</v>
      </c>
      <c r="BK163" s="9" t="n">
        <v>3</v>
      </c>
      <c r="BL163" s="9" t="n">
        <v>0</v>
      </c>
      <c r="BM163" s="11" t="n">
        <f aca="false">(BI163+BJ163+BK163+BL163)/4</f>
        <v>4</v>
      </c>
      <c r="BN163" s="11" t="n">
        <f aca="false">(BI163/AR163)</f>
        <v>0.232558139534884</v>
      </c>
      <c r="BO163" s="11" t="n">
        <f aca="false">(BJ163/AS163)</f>
        <v>0.230769230769231</v>
      </c>
      <c r="BP163" s="11" t="n">
        <f aca="false">(BK163/AT163)</f>
        <v>0.166666666666667</v>
      </c>
      <c r="BQ163" s="11" t="n">
        <f aca="false">(BL163/AU163)</f>
        <v>0</v>
      </c>
      <c r="BR163" s="11" t="n">
        <f aca="false">(BM163/AV163)</f>
        <v>0.170212765957447</v>
      </c>
      <c r="BS163" s="11" t="n">
        <f aca="false">(100*BR163)</f>
        <v>17.0212765957447</v>
      </c>
      <c r="BT163" s="9" t="n">
        <v>2</v>
      </c>
      <c r="BU163" s="9" t="n">
        <v>0</v>
      </c>
      <c r="BV163" s="9" t="n">
        <v>2</v>
      </c>
      <c r="BW163" s="9" t="n">
        <v>0</v>
      </c>
      <c r="BX163" s="9" t="n">
        <v>1</v>
      </c>
      <c r="BY163" s="11" t="n">
        <f aca="false">(BU163+BV163+BW163+BX163)/4</f>
        <v>0.75</v>
      </c>
      <c r="BZ163" s="11" t="n">
        <f aca="false">(BU163/AR163)</f>
        <v>0</v>
      </c>
      <c r="CA163" s="11" t="n">
        <f aca="false">(BV163/AS163)</f>
        <v>0.153846153846154</v>
      </c>
      <c r="CB163" s="11" t="n">
        <f aca="false">(BW163/AT163)</f>
        <v>0</v>
      </c>
      <c r="CC163" s="11" t="n">
        <f aca="false">(BX163/AU163)</f>
        <v>0.05</v>
      </c>
      <c r="CD163" s="11" t="n">
        <f aca="false">(BY163/AV163)</f>
        <v>0.0319148936170213</v>
      </c>
      <c r="CE163" s="11" t="n">
        <f aca="false">(100*CD163)</f>
        <v>3.19148936170213</v>
      </c>
      <c r="CF163" s="9" t="n">
        <v>1</v>
      </c>
      <c r="CG163" s="9" t="n">
        <v>1</v>
      </c>
      <c r="CH163" s="9" t="n">
        <v>3</v>
      </c>
      <c r="CI163" s="9" t="n">
        <v>11</v>
      </c>
      <c r="CJ163" s="9" t="n">
        <v>2</v>
      </c>
      <c r="CK163" s="11" t="n">
        <f aca="false">(CG163+CH163+CI163+CJ163)/4</f>
        <v>4.25</v>
      </c>
      <c r="CL163" s="11" t="n">
        <f aca="false">(CG163/AM163)</f>
        <v>0.25</v>
      </c>
      <c r="CM163" s="11" t="n">
        <f aca="false">(CH163/AN163)</f>
        <v>0.1</v>
      </c>
      <c r="CN163" s="11" t="n">
        <f aca="false">(CI163/AO163)</f>
        <v>0.34375</v>
      </c>
      <c r="CO163" s="9" t="n">
        <f aca="false">(CJ163/AP163)</f>
        <v>0.0833333333333333</v>
      </c>
      <c r="CP163" s="9" t="n">
        <f aca="false">(CK163/AQ163)</f>
        <v>0.188888888888889</v>
      </c>
      <c r="CQ163" s="9" t="n">
        <f aca="false">(100*CP163)</f>
        <v>18.8888888888889</v>
      </c>
      <c r="CR163" s="18" t="n">
        <v>2</v>
      </c>
      <c r="CS163" s="9" t="n">
        <v>60.7</v>
      </c>
      <c r="CT163" s="9" t="n">
        <v>60.4</v>
      </c>
      <c r="CU163" s="9" t="n">
        <v>61.4</v>
      </c>
      <c r="CV163" s="9" t="n">
        <v>60.4</v>
      </c>
      <c r="CW163" s="11" t="n">
        <f aca="false">(CS163+CT163+CU163+CV163)/4</f>
        <v>60.725</v>
      </c>
      <c r="CX163" s="9" t="n">
        <v>0</v>
      </c>
      <c r="CY163" s="9" t="n">
        <v>0</v>
      </c>
      <c r="CZ163" s="9" t="n">
        <v>0</v>
      </c>
      <c r="DA163" s="9" t="n">
        <v>0</v>
      </c>
      <c r="DB163" s="11" t="n">
        <f aca="false">(CX163+CY163+CZ163+DA163)/4</f>
        <v>0</v>
      </c>
      <c r="DC163" s="9" t="n">
        <v>1</v>
      </c>
      <c r="DD163" s="9" t="n">
        <v>1</v>
      </c>
      <c r="DE163" s="9" t="n">
        <v>1</v>
      </c>
      <c r="DF163" s="9" t="n">
        <v>1</v>
      </c>
      <c r="DG163" s="11" t="n">
        <f aca="false">(DC163+DD163+DE163+DF163)/4</f>
        <v>1</v>
      </c>
      <c r="DH163" s="9" t="n">
        <v>1</v>
      </c>
      <c r="DI163" s="9" t="n">
        <v>1</v>
      </c>
      <c r="DJ163" s="9" t="n">
        <v>1</v>
      </c>
      <c r="DK163" s="9" t="n">
        <v>1</v>
      </c>
      <c r="DL163" s="11" t="n">
        <f aca="false">(DH163+DI163+DJ163+DK163)/4</f>
        <v>1</v>
      </c>
      <c r="DM163" s="9" t="n">
        <v>22</v>
      </c>
      <c r="DN163" s="9" t="n">
        <v>21</v>
      </c>
      <c r="DO163" s="9" t="n">
        <v>18</v>
      </c>
      <c r="DP163" s="9" t="n">
        <v>93</v>
      </c>
      <c r="DQ163" s="11" t="n">
        <f aca="false">(DM163+DN163+DO163+DP163)/4</f>
        <v>38.5</v>
      </c>
      <c r="DR163" s="9" t="n">
        <v>17</v>
      </c>
      <c r="DS163" s="9" t="n">
        <v>10</v>
      </c>
      <c r="DT163" s="9" t="n">
        <v>12</v>
      </c>
      <c r="DU163" s="9" t="n">
        <v>13</v>
      </c>
      <c r="DV163" s="11" t="n">
        <f aca="false">(DR163+DS163+DT163+DU163)/4</f>
        <v>13</v>
      </c>
      <c r="DW163" s="9" t="n">
        <v>0</v>
      </c>
      <c r="DX163" s="9" t="n">
        <v>0</v>
      </c>
      <c r="DY163" s="9" t="n">
        <v>0</v>
      </c>
      <c r="DZ163" s="9" t="n">
        <v>0</v>
      </c>
      <c r="EA163" s="11" t="n">
        <f aca="false">(DW163+DX163+DY163+DZ163)/4</f>
        <v>0</v>
      </c>
      <c r="EB163" s="11" t="n">
        <f aca="false">(DW163/DR163)</f>
        <v>0</v>
      </c>
      <c r="EC163" s="11" t="n">
        <f aca="false">(DX163/DS163)</f>
        <v>0</v>
      </c>
      <c r="ED163" s="11" t="n">
        <f aca="false">(DY163/DT163)</f>
        <v>0</v>
      </c>
      <c r="EE163" s="11" t="n">
        <f aca="false">(DZ163/DU163)</f>
        <v>0</v>
      </c>
      <c r="EF163" s="11" t="n">
        <f aca="false">(EA163/DV163)</f>
        <v>0</v>
      </c>
      <c r="EG163" s="11" t="n">
        <f aca="false">(100*EF163)</f>
        <v>0</v>
      </c>
      <c r="EH163" s="9" t="n">
        <v>0</v>
      </c>
      <c r="EI163" s="9" t="n">
        <v>2</v>
      </c>
      <c r="EJ163" s="9" t="n">
        <v>3</v>
      </c>
      <c r="EK163" s="19" t="n">
        <v>3</v>
      </c>
      <c r="EL163" s="9" t="n">
        <v>2</v>
      </c>
      <c r="EM163" s="9" t="n">
        <f aca="false">(EI163+EJ163+EK163+EL163)/4</f>
        <v>2.5</v>
      </c>
      <c r="EN163" s="9" t="n">
        <f aca="false">(EI163/DR163)</f>
        <v>0.117647058823529</v>
      </c>
      <c r="EO163" s="9" t="n">
        <f aca="false">(EJ163/DS163)</f>
        <v>0.3</v>
      </c>
      <c r="EP163" s="9" t="n">
        <f aca="false">(EK163/DT163)</f>
        <v>0.25</v>
      </c>
      <c r="EQ163" s="9" t="n">
        <f aca="false">(EL163/DU163)</f>
        <v>0.153846153846154</v>
      </c>
      <c r="ER163" s="9" t="n">
        <f aca="false">EM163/DV163</f>
        <v>0.192307692307692</v>
      </c>
      <c r="ES163" s="9" t="n">
        <f aca="false">(100*ER163)</f>
        <v>19.2307692307692</v>
      </c>
      <c r="ET163" s="9" t="n">
        <v>2</v>
      </c>
      <c r="EU163" s="18" t="n">
        <v>2</v>
      </c>
      <c r="EV163" s="9" t="n">
        <v>1</v>
      </c>
      <c r="EW163" s="9" t="n">
        <v>3</v>
      </c>
      <c r="EX163" s="9" t="n">
        <v>0</v>
      </c>
      <c r="EY163" s="11" t="n">
        <f aca="false">(EU163+EV163+EW163+EX163)/4</f>
        <v>1.5</v>
      </c>
      <c r="EZ163" s="11" t="n">
        <f aca="false">(EU163/DR163)</f>
        <v>0.117647058823529</v>
      </c>
      <c r="FA163" s="11" t="n">
        <f aca="false">(EV163/DS163)</f>
        <v>0.1</v>
      </c>
      <c r="FB163" s="11" t="n">
        <f aca="false">(EW163/DT163)</f>
        <v>0.25</v>
      </c>
      <c r="FC163" s="11" t="n">
        <f aca="false">(EX163/DU163)</f>
        <v>0</v>
      </c>
      <c r="FD163" s="11" t="n">
        <f aca="false">(EY163/DV163)</f>
        <v>0.115384615384615</v>
      </c>
      <c r="FE163" s="11" t="n">
        <f aca="false">(100*FD163)</f>
        <v>11.5384615384615</v>
      </c>
      <c r="FF163" s="9" t="n">
        <v>2</v>
      </c>
      <c r="FG163" s="9" t="n">
        <v>0</v>
      </c>
      <c r="FH163" s="9" t="n">
        <v>3</v>
      </c>
      <c r="FI163" s="9" t="n">
        <v>8</v>
      </c>
      <c r="FJ163" s="9" t="n">
        <v>1</v>
      </c>
      <c r="FK163" s="11" t="n">
        <f aca="false">(FG163+FH163+FI163+FJ163)/4</f>
        <v>3</v>
      </c>
      <c r="FL163" s="11" t="n">
        <f aca="false">(FG163/DR163)</f>
        <v>0</v>
      </c>
      <c r="FM163" s="11" t="n">
        <f aca="false">(FH163/DS163)</f>
        <v>0.3</v>
      </c>
      <c r="FN163" s="11" t="n">
        <f aca="false">(FI163/DT163)</f>
        <v>0.666666666666667</v>
      </c>
      <c r="FO163" s="11" t="n">
        <f aca="false">(FJ163/DU163)</f>
        <v>0.0769230769230769</v>
      </c>
      <c r="FP163" s="11" t="n">
        <f aca="false">(FK163/DV163)</f>
        <v>0.230769230769231</v>
      </c>
      <c r="FQ163" s="11" t="n">
        <f aca="false">(100*FP163)</f>
        <v>23.0769230769231</v>
      </c>
      <c r="FR163" s="9" t="n">
        <v>2</v>
      </c>
      <c r="FS163" s="9" t="n">
        <v>62.4</v>
      </c>
      <c r="FT163" s="9" t="n">
        <v>54.4</v>
      </c>
      <c r="FU163" s="9" t="n">
        <v>66.3</v>
      </c>
      <c r="FV163" s="9" t="n">
        <v>63.2</v>
      </c>
      <c r="FW163" s="11" t="n">
        <f aca="false">(FS163+FT163+FU163+FV163)/4</f>
        <v>61.575</v>
      </c>
      <c r="FX163" s="9" t="n">
        <v>0</v>
      </c>
      <c r="FY163" s="9" t="n">
        <v>0</v>
      </c>
      <c r="FZ163" s="9" t="n">
        <v>0</v>
      </c>
      <c r="GA163" s="9" t="n">
        <v>0</v>
      </c>
      <c r="GB163" s="11" t="n">
        <f aca="false">(FX163+FY163+FZ163+GA163)/4</f>
        <v>0</v>
      </c>
      <c r="GC163" s="9" t="n">
        <v>1</v>
      </c>
      <c r="GD163" s="9" t="n">
        <v>1</v>
      </c>
      <c r="GE163" s="9" t="n">
        <v>1</v>
      </c>
      <c r="GF163" s="9" t="n">
        <v>1</v>
      </c>
      <c r="GG163" s="11" t="n">
        <f aca="false">(GC163+GD163+GE163+GF163)/4</f>
        <v>1</v>
      </c>
      <c r="GH163" s="9" t="n">
        <v>1</v>
      </c>
      <c r="GI163" s="9" t="n">
        <v>1</v>
      </c>
      <c r="GJ163" s="9" t="n">
        <v>1</v>
      </c>
      <c r="GK163" s="9" t="n">
        <v>1</v>
      </c>
      <c r="GL163" s="11" t="n">
        <f aca="false">(GH163+GI163+GJ163+GK163)/4</f>
        <v>1</v>
      </c>
      <c r="GM163" s="9" t="n">
        <v>57</v>
      </c>
      <c r="GN163" s="9" t="n">
        <v>16</v>
      </c>
      <c r="GO163" s="9" t="n">
        <v>52</v>
      </c>
      <c r="GP163" s="9" t="n">
        <v>210</v>
      </c>
      <c r="GQ163" s="11" t="n">
        <f aca="false">(GM163+GN163+GO163+GP163)/4</f>
        <v>83.75</v>
      </c>
      <c r="GR163" s="9" t="n">
        <v>9</v>
      </c>
      <c r="GS163" s="9" t="n">
        <v>10</v>
      </c>
      <c r="GT163" s="9" t="n">
        <v>8</v>
      </c>
      <c r="GU163" s="9" t="n">
        <v>11</v>
      </c>
      <c r="GV163" s="11" t="n">
        <f aca="false">(GR163+GS163+GT163+GU163)/4</f>
        <v>9.5</v>
      </c>
      <c r="GW163" s="9" t="n">
        <v>0</v>
      </c>
      <c r="GX163" s="9" t="n">
        <v>0</v>
      </c>
      <c r="GY163" s="9" t="n">
        <v>0</v>
      </c>
      <c r="GZ163" s="9" t="n">
        <v>0</v>
      </c>
      <c r="HA163" s="11" t="n">
        <f aca="false">(GW163+GX163+GY163+GZ163)/4</f>
        <v>0</v>
      </c>
      <c r="HB163" s="9" t="n">
        <f aca="false">(GW163/GR163)</f>
        <v>0</v>
      </c>
      <c r="HC163" s="9" t="n">
        <f aca="false">(GX163/GS163)</f>
        <v>0</v>
      </c>
      <c r="HD163" s="9" t="n">
        <f aca="false">(GY163/GT163)</f>
        <v>0</v>
      </c>
      <c r="HE163" s="9" t="n">
        <f aca="false">(GZ163/GU163)/4</f>
        <v>0</v>
      </c>
      <c r="HF163" s="9" t="n">
        <f aca="false">(HB163+HC163+HD163+HE163)/4</f>
        <v>0</v>
      </c>
      <c r="HG163" s="9" t="n">
        <f aca="false">(100*HF163)</f>
        <v>0</v>
      </c>
      <c r="HH163" s="18" t="n">
        <v>0</v>
      </c>
      <c r="HI163" s="9" t="n">
        <v>3</v>
      </c>
      <c r="HJ163" s="9" t="n">
        <v>3</v>
      </c>
      <c r="HK163" s="9" t="n">
        <v>2</v>
      </c>
      <c r="HL163" s="19" t="n">
        <v>5</v>
      </c>
      <c r="HM163" s="9" t="n">
        <f aca="false">(HI163+HJ163+HK163+HL163)/4</f>
        <v>3.25</v>
      </c>
      <c r="HN163" s="9" t="n">
        <f aca="false">(HI163/GR163)</f>
        <v>0.333333333333333</v>
      </c>
      <c r="HO163" s="9" t="n">
        <f aca="false">(HJ163/GS163)</f>
        <v>0.3</v>
      </c>
      <c r="HP163" s="9" t="n">
        <f aca="false">(HK163/GT163)</f>
        <v>0.25</v>
      </c>
      <c r="HQ163" s="9" t="n">
        <f aca="false">(HL163/GU163)</f>
        <v>0.454545454545455</v>
      </c>
      <c r="HR163" s="9" t="n">
        <f aca="false">(HM163/GV163)</f>
        <v>0.342105263157895</v>
      </c>
      <c r="HS163" s="9" t="n">
        <f aca="false">(100*HR163)</f>
        <v>34.2105263157895</v>
      </c>
      <c r="HT163" s="18" t="n">
        <v>3</v>
      </c>
      <c r="HU163" s="9" t="n">
        <v>0</v>
      </c>
      <c r="HV163" s="9" t="n">
        <v>0</v>
      </c>
      <c r="HW163" s="9" t="n">
        <v>0</v>
      </c>
      <c r="HX163" s="19" t="n">
        <v>0</v>
      </c>
      <c r="HY163" s="9" t="n">
        <f aca="false">(HU163+HV163+HW163+HX163)/4</f>
        <v>0</v>
      </c>
      <c r="HZ163" s="9" t="n">
        <f aca="false">(HU163/GR163)</f>
        <v>0</v>
      </c>
      <c r="IA163" s="9" t="n">
        <f aca="false">HV163/GS163</f>
        <v>0</v>
      </c>
      <c r="IB163" s="9" t="n">
        <f aca="false">(HW163/GT163)</f>
        <v>0</v>
      </c>
      <c r="IC163" s="9" t="n">
        <f aca="false">(HX163/GU163)</f>
        <v>0</v>
      </c>
      <c r="ID163" s="9" t="n">
        <f aca="false">(HY163/GV163)</f>
        <v>0</v>
      </c>
      <c r="IE163" s="9" t="n">
        <f aca="false">(100*ID163)</f>
        <v>0</v>
      </c>
      <c r="IF163" s="18" t="n">
        <v>0</v>
      </c>
      <c r="IG163" s="9" t="n">
        <v>6</v>
      </c>
      <c r="IH163" s="9" t="n">
        <v>1</v>
      </c>
      <c r="II163" s="19" t="n">
        <v>2</v>
      </c>
      <c r="IJ163" s="9" t="n">
        <v>14</v>
      </c>
      <c r="IK163" s="9" t="n">
        <f aca="false">(IG163+IH163+II163+IJ163)/4</f>
        <v>5.75</v>
      </c>
      <c r="IL163" s="9" t="n">
        <f aca="false">(IG163/GM163)</f>
        <v>0.105263157894737</v>
      </c>
      <c r="IM163" s="9" t="n">
        <f aca="false">(IH163/GN163)</f>
        <v>0.0625</v>
      </c>
      <c r="IN163" s="9" t="n">
        <f aca="false">(II163/GO163)</f>
        <v>0.0384615384615385</v>
      </c>
      <c r="IO163" s="9" t="n">
        <f aca="false">(IJ163/GP163)</f>
        <v>0.0666666666666667</v>
      </c>
      <c r="IP163" s="9" t="n">
        <f aca="false">(IK163/GQ163)</f>
        <v>0.0686567164179105</v>
      </c>
      <c r="IQ163" s="9" t="n">
        <f aca="false">(100*IP163)</f>
        <v>6.86567164179105</v>
      </c>
      <c r="IR163" s="18" t="n">
        <v>1</v>
      </c>
      <c r="IS163" s="9" t="n">
        <v>65.3</v>
      </c>
      <c r="IT163" s="9" t="n">
        <v>67.5</v>
      </c>
      <c r="IU163" s="19" t="n">
        <v>66.2</v>
      </c>
      <c r="IV163" s="9" t="n">
        <v>64.2</v>
      </c>
      <c r="IW163" s="9" t="n">
        <f aca="false">(IS163+IT163+IU163+IV163)/4</f>
        <v>65.8</v>
      </c>
      <c r="IX163" s="16" t="n">
        <v>45240</v>
      </c>
      <c r="IY163" s="10" t="s">
        <v>268</v>
      </c>
    </row>
    <row r="164" customFormat="false" ht="15.75" hidden="false" customHeight="true" outlineLevel="0" collapsed="false">
      <c r="A164" s="9" t="s">
        <v>259</v>
      </c>
      <c r="B164" s="10" t="s">
        <v>636</v>
      </c>
      <c r="C164" s="10" t="s">
        <v>626</v>
      </c>
      <c r="D164" s="9" t="n">
        <v>3</v>
      </c>
      <c r="E164" s="9" t="n">
        <v>55</v>
      </c>
      <c r="F164" s="10" t="s">
        <v>637</v>
      </c>
      <c r="G164" s="10" t="s">
        <v>291</v>
      </c>
      <c r="H164" s="9" t="n">
        <v>21</v>
      </c>
      <c r="I164" s="9" t="n">
        <v>6</v>
      </c>
      <c r="J164" s="12" t="s">
        <v>264</v>
      </c>
      <c r="K164" s="13" t="s">
        <v>638</v>
      </c>
      <c r="L164" s="13" t="s">
        <v>639</v>
      </c>
      <c r="M164" s="32" t="n">
        <v>1294</v>
      </c>
      <c r="N164" s="15" t="n">
        <v>45155</v>
      </c>
      <c r="O164" s="10" t="s">
        <v>294</v>
      </c>
      <c r="P164" s="9"/>
      <c r="Q164" s="9" t="n">
        <v>32.5</v>
      </c>
      <c r="R164" s="9"/>
      <c r="S164" s="9"/>
      <c r="T164" s="9"/>
      <c r="U164" s="9"/>
      <c r="V164" s="9"/>
      <c r="W164" s="9" t="s">
        <v>640</v>
      </c>
      <c r="X164" s="9" t="n">
        <v>0</v>
      </c>
      <c r="Y164" s="9" t="n">
        <v>0</v>
      </c>
      <c r="Z164" s="9" t="n">
        <v>0</v>
      </c>
      <c r="AA164" s="9" t="n">
        <v>0</v>
      </c>
      <c r="AB164" s="11" t="n">
        <f aca="false">(X164+Y164+Z164+AA164)/4</f>
        <v>0</v>
      </c>
      <c r="AC164" s="9" t="n">
        <v>1</v>
      </c>
      <c r="AD164" s="9" t="n">
        <v>1</v>
      </c>
      <c r="AE164" s="9" t="n">
        <v>1</v>
      </c>
      <c r="AF164" s="9" t="n">
        <v>1</v>
      </c>
      <c r="AG164" s="11" t="n">
        <f aca="false">(AC164+AD164+AE164+AF164)/4</f>
        <v>1</v>
      </c>
      <c r="AH164" s="9" t="n">
        <v>1</v>
      </c>
      <c r="AI164" s="9" t="n">
        <v>1</v>
      </c>
      <c r="AJ164" s="9" t="n">
        <v>0</v>
      </c>
      <c r="AK164" s="9" t="n">
        <v>0</v>
      </c>
      <c r="AL164" s="11" t="n">
        <f aca="false">(AH164+AI164+AJ164+AK164)/4</f>
        <v>0.5</v>
      </c>
      <c r="AM164" s="9" t="n">
        <v>40</v>
      </c>
      <c r="AN164" s="9" t="n">
        <v>67</v>
      </c>
      <c r="AO164" s="9" t="n">
        <v>44</v>
      </c>
      <c r="AP164" s="9" t="n">
        <v>30</v>
      </c>
      <c r="AQ164" s="11" t="n">
        <f aca="false">(AM164+AN164+AO164+AP164)/4</f>
        <v>45.25</v>
      </c>
      <c r="AR164" s="9" t="n">
        <v>18</v>
      </c>
      <c r="AS164" s="9" t="n">
        <v>28</v>
      </c>
      <c r="AT164" s="9" t="n">
        <v>17</v>
      </c>
      <c r="AU164" s="9" t="n">
        <v>16</v>
      </c>
      <c r="AV164" s="11" t="n">
        <f aca="false">(AR164+AS164+AT164+AU164)/4</f>
        <v>19.75</v>
      </c>
      <c r="AW164" s="9" t="n">
        <v>0</v>
      </c>
      <c r="AX164" s="9" t="n">
        <v>0</v>
      </c>
      <c r="AY164" s="9" t="n">
        <v>0</v>
      </c>
      <c r="AZ164" s="9" t="n">
        <v>0</v>
      </c>
      <c r="BA164" s="11" t="n">
        <f aca="false">(AW164+AX164+AY164+AZ164)/4</f>
        <v>0</v>
      </c>
      <c r="BB164" s="11" t="n">
        <f aca="false">(AW164/AR164)</f>
        <v>0</v>
      </c>
      <c r="BC164" s="11" t="n">
        <f aca="false">(AX164/AS164)</f>
        <v>0</v>
      </c>
      <c r="BD164" s="11" t="n">
        <f aca="false">(AY164/AT164)</f>
        <v>0</v>
      </c>
      <c r="BE164" s="11" t="n">
        <f aca="false">(AZ164/AU164)</f>
        <v>0</v>
      </c>
      <c r="BF164" s="11" t="n">
        <f aca="false">(BA164/AV164)</f>
        <v>0</v>
      </c>
      <c r="BG164" s="11" t="n">
        <f aca="false">(BF164*100)</f>
        <v>0</v>
      </c>
      <c r="BH164" s="9" t="n">
        <v>0</v>
      </c>
      <c r="BI164" s="9" t="n">
        <v>2</v>
      </c>
      <c r="BJ164" s="9" t="n">
        <v>3</v>
      </c>
      <c r="BK164" s="9" t="n">
        <v>3</v>
      </c>
      <c r="BL164" s="9" t="n">
        <v>2</v>
      </c>
      <c r="BM164" s="11" t="n">
        <f aca="false">(BI164+BJ164+BK164+BL164)/4</f>
        <v>2.5</v>
      </c>
      <c r="BN164" s="11" t="n">
        <f aca="false">(BI164/AR164)</f>
        <v>0.111111111111111</v>
      </c>
      <c r="BO164" s="11" t="n">
        <f aca="false">(BJ164/AS164)</f>
        <v>0.107142857142857</v>
      </c>
      <c r="BP164" s="11" t="n">
        <f aca="false">(BK164/AT164)</f>
        <v>0.176470588235294</v>
      </c>
      <c r="BQ164" s="11" t="n">
        <f aca="false">(BL164/AU164)</f>
        <v>0.125</v>
      </c>
      <c r="BR164" s="11" t="n">
        <f aca="false">(BM164/AV164)</f>
        <v>0.126582278481013</v>
      </c>
      <c r="BS164" s="11" t="n">
        <f aca="false">(100*BR164)</f>
        <v>12.6582278481013</v>
      </c>
      <c r="BT164" s="9" t="n">
        <v>2</v>
      </c>
      <c r="BU164" s="9" t="n">
        <v>4</v>
      </c>
      <c r="BV164" s="9" t="n">
        <v>4</v>
      </c>
      <c r="BW164" s="9" t="n">
        <v>0</v>
      </c>
      <c r="BX164" s="9" t="n">
        <v>0</v>
      </c>
      <c r="BY164" s="11" t="n">
        <f aca="false">(BU164+BV164+BW164+BX164)/4</f>
        <v>2</v>
      </c>
      <c r="BZ164" s="11" t="n">
        <f aca="false">(BU164/AR164)</f>
        <v>0.222222222222222</v>
      </c>
      <c r="CA164" s="11" t="n">
        <f aca="false">(BV164/AS164)</f>
        <v>0.142857142857143</v>
      </c>
      <c r="CB164" s="11" t="n">
        <f aca="false">(BW164/AT164)</f>
        <v>0</v>
      </c>
      <c r="CC164" s="11" t="n">
        <f aca="false">(BX164/AU164)</f>
        <v>0</v>
      </c>
      <c r="CD164" s="11" t="n">
        <f aca="false">(BY164/AV164)</f>
        <v>0.10126582278481</v>
      </c>
      <c r="CE164" s="11" t="n">
        <f aca="false">(100*CD164)</f>
        <v>10.126582278481</v>
      </c>
      <c r="CF164" s="9" t="n">
        <v>2</v>
      </c>
      <c r="CG164" s="9" t="n">
        <v>5</v>
      </c>
      <c r="CH164" s="9" t="n">
        <v>4</v>
      </c>
      <c r="CI164" s="9" t="n">
        <v>0</v>
      </c>
      <c r="CJ164" s="9" t="n">
        <v>0</v>
      </c>
      <c r="CK164" s="11" t="n">
        <f aca="false">(CG164+CH164+CI164+CJ164)/4</f>
        <v>2.25</v>
      </c>
      <c r="CL164" s="11" t="n">
        <f aca="false">(CG164/AM164)</f>
        <v>0.125</v>
      </c>
      <c r="CM164" s="11" t="n">
        <f aca="false">(CH164/AN164)</f>
        <v>0.0597014925373134</v>
      </c>
      <c r="CN164" s="11" t="n">
        <f aca="false">(CI164/AO164)</f>
        <v>0</v>
      </c>
      <c r="CO164" s="9" t="n">
        <f aca="false">(CJ164/AP164)</f>
        <v>0</v>
      </c>
      <c r="CP164" s="9" t="n">
        <f aca="false">(CK164/AQ164)</f>
        <v>0.0497237569060773</v>
      </c>
      <c r="CQ164" s="9" t="n">
        <f aca="false">(100*CP164)</f>
        <v>4.97237569060774</v>
      </c>
      <c r="CR164" s="18" t="n">
        <v>1</v>
      </c>
      <c r="CS164" s="9" t="n">
        <v>41.4</v>
      </c>
      <c r="CT164" s="9" t="n">
        <v>51.1</v>
      </c>
      <c r="CU164" s="9" t="n">
        <v>61.8</v>
      </c>
      <c r="CV164" s="9" t="n">
        <v>76.6</v>
      </c>
      <c r="CW164" s="11" t="n">
        <f aca="false">(CS164+CT164+CU164+CV164)/4</f>
        <v>57.725</v>
      </c>
      <c r="CX164" s="9" t="n">
        <v>0</v>
      </c>
      <c r="CY164" s="9" t="n">
        <v>0</v>
      </c>
      <c r="CZ164" s="9" t="n">
        <v>0</v>
      </c>
      <c r="DA164" s="9" t="n">
        <v>0</v>
      </c>
      <c r="DB164" s="11" t="n">
        <f aca="false">(CX164+CY164+CZ164+DA164)/4</f>
        <v>0</v>
      </c>
      <c r="DC164" s="9" t="n">
        <v>1</v>
      </c>
      <c r="DD164" s="9" t="n">
        <v>1</v>
      </c>
      <c r="DE164" s="9" t="n">
        <v>1</v>
      </c>
      <c r="DF164" s="9" t="n">
        <v>1</v>
      </c>
      <c r="DG164" s="11" t="n">
        <f aca="false">(DC164+DD164+DE164+DF164)/4</f>
        <v>1</v>
      </c>
      <c r="DH164" s="9" t="n">
        <v>0</v>
      </c>
      <c r="DI164" s="9" t="n">
        <v>0</v>
      </c>
      <c r="DJ164" s="9" t="n">
        <v>1</v>
      </c>
      <c r="DK164" s="9" t="n">
        <v>1</v>
      </c>
      <c r="DL164" s="11" t="n">
        <f aca="false">(DH164+DI164+DJ164+DK164)/4</f>
        <v>0.5</v>
      </c>
      <c r="DM164" s="11" t="n">
        <v>102</v>
      </c>
      <c r="DN164" s="9" t="n">
        <v>58</v>
      </c>
      <c r="DO164" s="9" t="n">
        <v>68</v>
      </c>
      <c r="DP164" s="9" t="n">
        <v>64</v>
      </c>
      <c r="DQ164" s="11" t="n">
        <f aca="false">(DM164+DN164+DO164+DP164)/4</f>
        <v>73</v>
      </c>
      <c r="DR164" s="9" t="n">
        <v>34</v>
      </c>
      <c r="DS164" s="9" t="n">
        <v>16</v>
      </c>
      <c r="DT164" s="9" t="n">
        <v>29</v>
      </c>
      <c r="DU164" s="9" t="n">
        <v>45</v>
      </c>
      <c r="DV164" s="11" t="n">
        <f aca="false">(DR164+DS164+DT164+DU164)/4</f>
        <v>31</v>
      </c>
      <c r="DW164" s="9" t="n">
        <v>0</v>
      </c>
      <c r="DX164" s="9" t="n">
        <v>0</v>
      </c>
      <c r="DY164" s="9" t="n">
        <v>0</v>
      </c>
      <c r="DZ164" s="9" t="n">
        <v>0</v>
      </c>
      <c r="EA164" s="11" t="n">
        <f aca="false">(DW164+DX164+DY164+DZ164)/4</f>
        <v>0</v>
      </c>
      <c r="EB164" s="11" t="n">
        <f aca="false">(DW164/DR164)</f>
        <v>0</v>
      </c>
      <c r="EC164" s="11" t="n">
        <f aca="false">(DX164/DS164)</f>
        <v>0</v>
      </c>
      <c r="ED164" s="11" t="n">
        <f aca="false">(DY164/DT164)</f>
        <v>0</v>
      </c>
      <c r="EE164" s="11" t="n">
        <f aca="false">(DZ164/DU164)</f>
        <v>0</v>
      </c>
      <c r="EF164" s="11" t="n">
        <f aca="false">(EA164/DV164)</f>
        <v>0</v>
      </c>
      <c r="EG164" s="11" t="n">
        <f aca="false">(100*EF164)</f>
        <v>0</v>
      </c>
      <c r="EH164" s="9" t="n">
        <v>0</v>
      </c>
      <c r="EI164" s="9" t="n">
        <v>6</v>
      </c>
      <c r="EJ164" s="9" t="n">
        <v>3</v>
      </c>
      <c r="EK164" s="19" t="n">
        <v>6</v>
      </c>
      <c r="EL164" s="9" t="n">
        <v>4</v>
      </c>
      <c r="EM164" s="9" t="n">
        <f aca="false">(EI164+EJ164+EK164+EL164)/4</f>
        <v>4.75</v>
      </c>
      <c r="EN164" s="9" t="n">
        <f aca="false">(EI164/DR164)</f>
        <v>0.176470588235294</v>
      </c>
      <c r="EO164" s="9" t="n">
        <f aca="false">(EJ164/DS164)</f>
        <v>0.1875</v>
      </c>
      <c r="EP164" s="9" t="n">
        <f aca="false">(EK164/DT164)</f>
        <v>0.206896551724138</v>
      </c>
      <c r="EQ164" s="9" t="n">
        <f aca="false">(EL164/DU164)</f>
        <v>0.0888888888888889</v>
      </c>
      <c r="ER164" s="9" t="n">
        <f aca="false">EM164/DV164</f>
        <v>0.153225806451613</v>
      </c>
      <c r="ES164" s="9" t="n">
        <f aca="false">(100*ER164)</f>
        <v>15.3225806451613</v>
      </c>
      <c r="ET164" s="9" t="n">
        <v>2</v>
      </c>
      <c r="EU164" s="18" t="n">
        <v>4</v>
      </c>
      <c r="EV164" s="9" t="n">
        <v>4</v>
      </c>
      <c r="EW164" s="9" t="n">
        <v>0</v>
      </c>
      <c r="EX164" s="9" t="n">
        <v>0</v>
      </c>
      <c r="EY164" s="11" t="n">
        <f aca="false">(EU164+EV164+EW164+EX164)/4</f>
        <v>2</v>
      </c>
      <c r="EZ164" s="11" t="n">
        <f aca="false">(EU164/DR164)</f>
        <v>0.117647058823529</v>
      </c>
      <c r="FA164" s="11" t="n">
        <f aca="false">(EV164/DS164)</f>
        <v>0.25</v>
      </c>
      <c r="FB164" s="11" t="n">
        <f aca="false">(EW164/DT164)</f>
        <v>0</v>
      </c>
      <c r="FC164" s="11" t="n">
        <f aca="false">(EX164/DU164)</f>
        <v>0</v>
      </c>
      <c r="FD164" s="11" t="n">
        <f aca="false">(EY164/DV164)</f>
        <v>0.0645161290322581</v>
      </c>
      <c r="FE164" s="11" t="n">
        <f aca="false">(100*FD164)</f>
        <v>6.45161290322581</v>
      </c>
      <c r="FF164" s="9" t="n">
        <v>1</v>
      </c>
      <c r="FG164" s="9" t="n">
        <v>5</v>
      </c>
      <c r="FH164" s="9" t="n">
        <v>4</v>
      </c>
      <c r="FI164" s="9" t="n">
        <v>0</v>
      </c>
      <c r="FJ164" s="9" t="n">
        <v>0</v>
      </c>
      <c r="FK164" s="11" t="n">
        <f aca="false">(FG164+FH164+FI164+FJ164)/4</f>
        <v>2.25</v>
      </c>
      <c r="FL164" s="11" t="n">
        <f aca="false">(FG164/DR164)</f>
        <v>0.147058823529412</v>
      </c>
      <c r="FM164" s="11" t="n">
        <f aca="false">(FH164/DS164)</f>
        <v>0.25</v>
      </c>
      <c r="FN164" s="11" t="n">
        <f aca="false">(FI164/DT164)</f>
        <v>0</v>
      </c>
      <c r="FO164" s="11" t="n">
        <f aca="false">(FJ164/DU164)</f>
        <v>0</v>
      </c>
      <c r="FP164" s="11" t="n">
        <f aca="false">(FK164/DV164)</f>
        <v>0.0725806451612903</v>
      </c>
      <c r="FQ164" s="11" t="n">
        <f aca="false">(100*FP164)</f>
        <v>7.25806451612903</v>
      </c>
      <c r="FR164" s="9" t="n">
        <v>1</v>
      </c>
      <c r="FS164" s="9" t="n">
        <v>49.7</v>
      </c>
      <c r="FT164" s="9" t="n">
        <v>53</v>
      </c>
      <c r="FU164" s="9" t="n">
        <v>64.3</v>
      </c>
      <c r="FV164" s="9" t="n">
        <v>65.6</v>
      </c>
      <c r="FW164" s="11" t="n">
        <f aca="false">(FS164+FT164+FU164+FV164)/4</f>
        <v>58.15</v>
      </c>
      <c r="FX164" s="9" t="n">
        <v>0</v>
      </c>
      <c r="FY164" s="9" t="n">
        <v>0</v>
      </c>
      <c r="FZ164" s="9" t="n">
        <v>0</v>
      </c>
      <c r="GA164" s="9" t="n">
        <v>0</v>
      </c>
      <c r="GB164" s="11" t="n">
        <f aca="false">(FX164+FY164+FZ164+GA164)/4</f>
        <v>0</v>
      </c>
      <c r="GC164" s="9" t="n">
        <v>1</v>
      </c>
      <c r="GD164" s="9" t="n">
        <v>1</v>
      </c>
      <c r="GE164" s="9" t="n">
        <v>0</v>
      </c>
      <c r="GF164" s="9" t="n">
        <v>1</v>
      </c>
      <c r="GG164" s="11" t="n">
        <f aca="false">(GC164+GD164+GE164+GF164)/4</f>
        <v>0.75</v>
      </c>
      <c r="GH164" s="9" t="n">
        <v>1</v>
      </c>
      <c r="GI164" s="9" t="n">
        <v>1</v>
      </c>
      <c r="GJ164" s="9" t="n">
        <v>0</v>
      </c>
      <c r="GK164" s="9" t="n">
        <v>1</v>
      </c>
      <c r="GL164" s="11" t="n">
        <f aca="false">(GH164+GI164+GJ164+GK164)/4</f>
        <v>0.75</v>
      </c>
      <c r="GM164" s="9" t="n">
        <v>130</v>
      </c>
      <c r="GN164" s="9" t="n">
        <v>24</v>
      </c>
      <c r="GO164" s="9" t="n">
        <v>9</v>
      </c>
      <c r="GP164" s="9" t="n">
        <v>55</v>
      </c>
      <c r="GQ164" s="11" t="n">
        <f aca="false">(GM164+GN164+GO164+GP164)/4</f>
        <v>54.5</v>
      </c>
      <c r="GR164" s="9" t="n">
        <v>36</v>
      </c>
      <c r="GS164" s="9" t="n">
        <v>16</v>
      </c>
      <c r="GT164" s="9" t="n">
        <v>14</v>
      </c>
      <c r="GU164" s="9" t="n">
        <v>16</v>
      </c>
      <c r="GV164" s="11" t="n">
        <f aca="false">(GR164+GS164+GT164+GU164)/4</f>
        <v>20.5</v>
      </c>
      <c r="GW164" s="9" t="n">
        <v>0</v>
      </c>
      <c r="GX164" s="9" t="n">
        <v>0</v>
      </c>
      <c r="GY164" s="9" t="n">
        <v>0</v>
      </c>
      <c r="GZ164" s="9" t="n">
        <v>0</v>
      </c>
      <c r="HA164" s="11" t="n">
        <f aca="false">(GW164+GX164+GY164+GZ164)/4</f>
        <v>0</v>
      </c>
      <c r="HB164" s="9" t="n">
        <f aca="false">(GW164/GR164)</f>
        <v>0</v>
      </c>
      <c r="HC164" s="9" t="n">
        <f aca="false">(GX164/GS164)</f>
        <v>0</v>
      </c>
      <c r="HD164" s="9" t="n">
        <f aca="false">(GY164/GT164)</f>
        <v>0</v>
      </c>
      <c r="HE164" s="9" t="n">
        <f aca="false">(GZ164/GU164)/4</f>
        <v>0</v>
      </c>
      <c r="HF164" s="9" t="n">
        <f aca="false">(HB164+HC164+HD164+HE164)/4</f>
        <v>0</v>
      </c>
      <c r="HG164" s="9" t="n">
        <f aca="false">(100*HF164)</f>
        <v>0</v>
      </c>
      <c r="HH164" s="18" t="n">
        <v>0</v>
      </c>
      <c r="HI164" s="9" t="n">
        <v>5</v>
      </c>
      <c r="HJ164" s="9" t="n">
        <v>2</v>
      </c>
      <c r="HK164" s="9" t="n">
        <v>0</v>
      </c>
      <c r="HL164" s="19" t="n">
        <v>1</v>
      </c>
      <c r="HM164" s="9" t="n">
        <f aca="false">(HI164+HJ164+HK164+HL164)/4</f>
        <v>2</v>
      </c>
      <c r="HN164" s="9" t="n">
        <f aca="false">(HI164/GR164)</f>
        <v>0.138888888888889</v>
      </c>
      <c r="HO164" s="9" t="n">
        <f aca="false">(HJ164/GS164)</f>
        <v>0.125</v>
      </c>
      <c r="HP164" s="9" t="n">
        <f aca="false">(HK164/GT164)</f>
        <v>0</v>
      </c>
      <c r="HQ164" s="9" t="n">
        <f aca="false">(HL164/GU164)</f>
        <v>0.0625</v>
      </c>
      <c r="HR164" s="9" t="n">
        <f aca="false">(HM164/GV164)</f>
        <v>0.0975609756097561</v>
      </c>
      <c r="HS164" s="9" t="n">
        <f aca="false">(100*HR164)</f>
        <v>9.75609756097561</v>
      </c>
      <c r="HT164" s="18" t="n">
        <v>1</v>
      </c>
      <c r="HU164" s="9" t="n">
        <v>0</v>
      </c>
      <c r="HV164" s="9" t="n">
        <v>0</v>
      </c>
      <c r="HW164" s="9" t="n">
        <v>0</v>
      </c>
      <c r="HX164" s="19" t="n">
        <v>0</v>
      </c>
      <c r="HY164" s="9" t="n">
        <f aca="false">(HU164+HV164+HW164+HX164)/4</f>
        <v>0</v>
      </c>
      <c r="HZ164" s="9" t="n">
        <f aca="false">(HU164/GR164)</f>
        <v>0</v>
      </c>
      <c r="IA164" s="9" t="n">
        <f aca="false">HV164/GS164</f>
        <v>0</v>
      </c>
      <c r="IB164" s="9" t="n">
        <f aca="false">(HW164/GT164)</f>
        <v>0</v>
      </c>
      <c r="IC164" s="9" t="n">
        <f aca="false">(HX164/GU164)</f>
        <v>0</v>
      </c>
      <c r="ID164" s="9" t="n">
        <f aca="false">(HY164/GV164)</f>
        <v>0</v>
      </c>
      <c r="IE164" s="9" t="n">
        <f aca="false">(100*ID164)</f>
        <v>0</v>
      </c>
      <c r="IF164" s="18" t="n">
        <v>0</v>
      </c>
      <c r="IG164" s="9" t="n">
        <v>5</v>
      </c>
      <c r="IH164" s="9" t="n">
        <v>2</v>
      </c>
      <c r="II164" s="19" t="n">
        <v>0</v>
      </c>
      <c r="IJ164" s="9" t="n">
        <v>3</v>
      </c>
      <c r="IK164" s="9" t="n">
        <f aca="false">(IG164+IH164+II164+IJ164)/4</f>
        <v>2.5</v>
      </c>
      <c r="IL164" s="9" t="n">
        <f aca="false">(IG164/GM164)</f>
        <v>0.0384615384615385</v>
      </c>
      <c r="IM164" s="9" t="n">
        <f aca="false">(IH164/GN164)</f>
        <v>0.0833333333333333</v>
      </c>
      <c r="IN164" s="9" t="n">
        <f aca="false">(II164/GO164)</f>
        <v>0</v>
      </c>
      <c r="IO164" s="9" t="n">
        <f aca="false">(IJ164/GP164)</f>
        <v>0.0545454545454545</v>
      </c>
      <c r="IP164" s="9" t="n">
        <f aca="false">(IK164/GQ164)</f>
        <v>0.0458715596330275</v>
      </c>
      <c r="IQ164" s="9" t="n">
        <f aca="false">(100*IP164)</f>
        <v>4.58715596330275</v>
      </c>
      <c r="IR164" s="18" t="n">
        <v>1</v>
      </c>
      <c r="IS164" s="9" t="n">
        <v>54.6</v>
      </c>
      <c r="IT164" s="9" t="n">
        <v>57.2</v>
      </c>
      <c r="IU164" s="19" t="n">
        <v>46.4</v>
      </c>
      <c r="IV164" s="9"/>
      <c r="IW164" s="9" t="n">
        <f aca="false">(IS164+IT164+IU164+IV164)/4</f>
        <v>39.55</v>
      </c>
      <c r="IX164" s="16" t="n">
        <v>45240</v>
      </c>
      <c r="IY164" s="10" t="s">
        <v>268</v>
      </c>
    </row>
    <row r="165" customFormat="false" ht="15.75" hidden="false" customHeight="true" outlineLevel="0" collapsed="false">
      <c r="A165" s="9" t="s">
        <v>259</v>
      </c>
      <c r="B165" s="10" t="s">
        <v>636</v>
      </c>
      <c r="C165" s="10" t="s">
        <v>626</v>
      </c>
      <c r="D165" s="9" t="n">
        <v>3</v>
      </c>
      <c r="E165" s="9" t="n">
        <v>55</v>
      </c>
      <c r="F165" s="10" t="s">
        <v>641</v>
      </c>
      <c r="G165" s="10" t="s">
        <v>320</v>
      </c>
      <c r="H165" s="9" t="n">
        <v>21</v>
      </c>
      <c r="I165" s="9" t="n">
        <v>11</v>
      </c>
      <c r="J165" s="12" t="s">
        <v>270</v>
      </c>
      <c r="K165" s="20"/>
      <c r="L165" s="20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 t="n">
        <v>0</v>
      </c>
      <c r="Y165" s="9" t="n">
        <v>0</v>
      </c>
      <c r="Z165" s="9" t="n">
        <v>0</v>
      </c>
      <c r="AA165" s="9" t="n">
        <v>0</v>
      </c>
      <c r="AB165" s="11" t="n">
        <f aca="false">(X165+Y165+Z165+AA165)/4</f>
        <v>0</v>
      </c>
      <c r="AC165" s="9" t="n">
        <v>1</v>
      </c>
      <c r="AD165" s="9" t="n">
        <v>1</v>
      </c>
      <c r="AE165" s="9" t="n">
        <v>1</v>
      </c>
      <c r="AF165" s="9" t="n">
        <v>1</v>
      </c>
      <c r="AG165" s="11" t="n">
        <f aca="false">(AC165+AD165+AE165+AF165)/4</f>
        <v>1</v>
      </c>
      <c r="AH165" s="9" t="n">
        <v>1</v>
      </c>
      <c r="AI165" s="9" t="n">
        <v>1</v>
      </c>
      <c r="AJ165" s="9" t="n">
        <v>1</v>
      </c>
      <c r="AK165" s="9" t="n">
        <v>1</v>
      </c>
      <c r="AL165" s="11" t="n">
        <f aca="false">(AH165+AI165+AJ165+AK165)/4</f>
        <v>1</v>
      </c>
      <c r="AM165" s="9" t="n">
        <v>53</v>
      </c>
      <c r="AN165" s="9" t="n">
        <v>52</v>
      </c>
      <c r="AO165" s="9" t="n">
        <v>13</v>
      </c>
      <c r="AP165" s="9" t="n">
        <v>78</v>
      </c>
      <c r="AQ165" s="11" t="n">
        <f aca="false">(AM165+AN165+AO165+AP165)/4</f>
        <v>49</v>
      </c>
      <c r="AR165" s="9" t="n">
        <v>45</v>
      </c>
      <c r="AS165" s="9" t="n">
        <v>27</v>
      </c>
      <c r="AT165" s="9" t="n">
        <v>32</v>
      </c>
      <c r="AU165" s="9" t="n">
        <v>26</v>
      </c>
      <c r="AV165" s="11" t="n">
        <f aca="false">(AR165+AS165+AT165+AU165)/4</f>
        <v>32.5</v>
      </c>
      <c r="AW165" s="9" t="n">
        <v>0</v>
      </c>
      <c r="AX165" s="9" t="n">
        <v>0</v>
      </c>
      <c r="AY165" s="9" t="n">
        <v>0</v>
      </c>
      <c r="AZ165" s="9" t="n">
        <v>0</v>
      </c>
      <c r="BA165" s="11" t="n">
        <f aca="false">(AW165+AX165+AY165+AZ165)/4</f>
        <v>0</v>
      </c>
      <c r="BB165" s="11" t="n">
        <f aca="false">(AW165/AR165)</f>
        <v>0</v>
      </c>
      <c r="BC165" s="11" t="n">
        <f aca="false">(AX165/AS165)</f>
        <v>0</v>
      </c>
      <c r="BD165" s="11" t="n">
        <f aca="false">(AY165/AT165)</f>
        <v>0</v>
      </c>
      <c r="BE165" s="11" t="n">
        <f aca="false">(AZ165/AU165)</f>
        <v>0</v>
      </c>
      <c r="BF165" s="11" t="n">
        <f aca="false">(BA165/AV165)</f>
        <v>0</v>
      </c>
      <c r="BG165" s="11" t="n">
        <f aca="false">(BF165*100)</f>
        <v>0</v>
      </c>
      <c r="BH165" s="9" t="n">
        <v>0</v>
      </c>
      <c r="BI165" s="9" t="n">
        <v>1</v>
      </c>
      <c r="BJ165" s="9" t="n">
        <v>4</v>
      </c>
      <c r="BK165" s="9" t="n">
        <v>1</v>
      </c>
      <c r="BL165" s="9" t="n">
        <v>2</v>
      </c>
      <c r="BM165" s="11" t="n">
        <f aca="false">(BI165+BJ165+BK165+BL165)/4</f>
        <v>2</v>
      </c>
      <c r="BN165" s="11" t="n">
        <f aca="false">(BI165/AR165)</f>
        <v>0.0222222222222222</v>
      </c>
      <c r="BO165" s="11" t="n">
        <f aca="false">(BJ165/AS165)</f>
        <v>0.148148148148148</v>
      </c>
      <c r="BP165" s="11" t="n">
        <f aca="false">(BK165/AT165)</f>
        <v>0.03125</v>
      </c>
      <c r="BQ165" s="11" t="n">
        <f aca="false">(BL165/AU165)</f>
        <v>0.0769230769230769</v>
      </c>
      <c r="BR165" s="11" t="n">
        <f aca="false">(BM165/AV165)</f>
        <v>0.0615384615384615</v>
      </c>
      <c r="BS165" s="11" t="n">
        <f aca="false">(100*BR165)</f>
        <v>6.15384615384615</v>
      </c>
      <c r="BT165" s="9" t="n">
        <v>1</v>
      </c>
      <c r="BU165" s="9" t="n">
        <v>1</v>
      </c>
      <c r="BV165" s="9" t="n">
        <v>0</v>
      </c>
      <c r="BW165" s="9" t="n">
        <v>2</v>
      </c>
      <c r="BX165" s="9" t="n">
        <v>0</v>
      </c>
      <c r="BY165" s="11" t="n">
        <f aca="false">(BU165+BV165+BW165+BX165)/4</f>
        <v>0.75</v>
      </c>
      <c r="BZ165" s="11" t="n">
        <f aca="false">(BU165/AR165)</f>
        <v>0.0222222222222222</v>
      </c>
      <c r="CA165" s="11" t="n">
        <f aca="false">(BV165/AS165)</f>
        <v>0</v>
      </c>
      <c r="CB165" s="11" t="n">
        <f aca="false">(BW165/AT165)</f>
        <v>0.0625</v>
      </c>
      <c r="CC165" s="11" t="n">
        <f aca="false">(BX165/AU165)</f>
        <v>0</v>
      </c>
      <c r="CD165" s="11" t="n">
        <f aca="false">(BY165/AV165)</f>
        <v>0.0230769230769231</v>
      </c>
      <c r="CE165" s="11" t="n">
        <f aca="false">(100*CD165)</f>
        <v>2.30769230769231</v>
      </c>
      <c r="CF165" s="9" t="n">
        <v>1</v>
      </c>
      <c r="CG165" s="9" t="n">
        <v>2</v>
      </c>
      <c r="CH165" s="9" t="n">
        <v>1</v>
      </c>
      <c r="CI165" s="9" t="n">
        <v>3</v>
      </c>
      <c r="CJ165" s="9" t="n">
        <v>3</v>
      </c>
      <c r="CK165" s="11" t="n">
        <f aca="false">(CG165+CH165+CI165+CJ165)/4</f>
        <v>2.25</v>
      </c>
      <c r="CL165" s="11" t="n">
        <f aca="false">(CG165/AM165)</f>
        <v>0.0377358490566038</v>
      </c>
      <c r="CM165" s="11" t="n">
        <f aca="false">(CH165/AN165)</f>
        <v>0.0192307692307692</v>
      </c>
      <c r="CN165" s="11" t="n">
        <f aca="false">(CI165/AO165)</f>
        <v>0.230769230769231</v>
      </c>
      <c r="CO165" s="9" t="n">
        <f aca="false">(CJ165/AP165)</f>
        <v>0.0384615384615385</v>
      </c>
      <c r="CP165" s="9" t="n">
        <f aca="false">(CK165/AQ165)</f>
        <v>0.0459183673469388</v>
      </c>
      <c r="CQ165" s="9" t="n">
        <f aca="false">(100*CP165)</f>
        <v>4.59183673469388</v>
      </c>
      <c r="CR165" s="18" t="n">
        <v>1</v>
      </c>
      <c r="CS165" s="9" t="n">
        <v>62.1</v>
      </c>
      <c r="CT165" s="9" t="n">
        <v>51.3</v>
      </c>
      <c r="CU165" s="9" t="n">
        <v>51.8</v>
      </c>
      <c r="CV165" s="9" t="n">
        <v>52.8</v>
      </c>
      <c r="CW165" s="11" t="n">
        <f aca="false">(CS165+CT165+CU165+CV165)/4</f>
        <v>54.5</v>
      </c>
      <c r="CX165" s="9" t="n">
        <v>1</v>
      </c>
      <c r="CY165" s="9" t="n">
        <v>0</v>
      </c>
      <c r="CZ165" s="9" t="n">
        <v>0</v>
      </c>
      <c r="DA165" s="9" t="n">
        <v>0</v>
      </c>
      <c r="DB165" s="11" t="n">
        <f aca="false">(CX165+CY165+CZ165+DA165)/4</f>
        <v>0.25</v>
      </c>
      <c r="DC165" s="9" t="n">
        <v>1</v>
      </c>
      <c r="DD165" s="9" t="n">
        <v>1</v>
      </c>
      <c r="DE165" s="9" t="n">
        <v>1</v>
      </c>
      <c r="DF165" s="9" t="n">
        <v>1</v>
      </c>
      <c r="DG165" s="11" t="n">
        <f aca="false">(DC165+DD165+DE165+DF165)/4</f>
        <v>1</v>
      </c>
      <c r="DH165" s="9" t="n">
        <v>1</v>
      </c>
      <c r="DI165" s="9" t="n">
        <v>1</v>
      </c>
      <c r="DJ165" s="9" t="n">
        <v>1</v>
      </c>
      <c r="DK165" s="9" t="n">
        <v>1</v>
      </c>
      <c r="DL165" s="11" t="n">
        <f aca="false">(DH165+DI165+DJ165+DK165)/4</f>
        <v>1</v>
      </c>
      <c r="DM165" s="9" t="n">
        <v>144</v>
      </c>
      <c r="DN165" s="11" t="n">
        <v>56</v>
      </c>
      <c r="DO165" s="11" t="n">
        <v>120</v>
      </c>
      <c r="DP165" s="11" t="n">
        <v>14</v>
      </c>
      <c r="DQ165" s="11" t="n">
        <f aca="false">(DM165+DN165+DO165+DP165)/4</f>
        <v>83.5</v>
      </c>
      <c r="DR165" s="9" t="n">
        <v>15</v>
      </c>
      <c r="DS165" s="9" t="n">
        <v>60</v>
      </c>
      <c r="DT165" s="9" t="n">
        <v>70</v>
      </c>
      <c r="DU165" s="9" t="n">
        <v>28</v>
      </c>
      <c r="DV165" s="11" t="n">
        <f aca="false">(DR165+DS165+DT165+DU165)/4</f>
        <v>43.25</v>
      </c>
      <c r="DW165" s="9" t="n">
        <v>1</v>
      </c>
      <c r="DX165" s="9" t="n">
        <v>0</v>
      </c>
      <c r="DY165" s="9" t="n">
        <v>0</v>
      </c>
      <c r="DZ165" s="9" t="n">
        <v>0</v>
      </c>
      <c r="EA165" s="11" t="n">
        <f aca="false">(DW165+DX165+DY165+DZ165)/4</f>
        <v>0.25</v>
      </c>
      <c r="EB165" s="11" t="n">
        <f aca="false">(DW165/DR165)</f>
        <v>0.0666666666666667</v>
      </c>
      <c r="EC165" s="11" t="n">
        <f aca="false">(DX165/DS165)</f>
        <v>0</v>
      </c>
      <c r="ED165" s="11" t="n">
        <f aca="false">(DY165/DT165)</f>
        <v>0</v>
      </c>
      <c r="EE165" s="11" t="n">
        <f aca="false">(DZ165/DU165)</f>
        <v>0</v>
      </c>
      <c r="EF165" s="11" t="n">
        <f aca="false">(EA165/DV165)</f>
        <v>0.00578034682080925</v>
      </c>
      <c r="EG165" s="11" t="n">
        <f aca="false">(100*EF165)</f>
        <v>0.578034682080925</v>
      </c>
      <c r="EH165" s="9" t="n">
        <v>1</v>
      </c>
      <c r="EI165" s="9" t="n">
        <v>2</v>
      </c>
      <c r="EJ165" s="9" t="n">
        <v>4</v>
      </c>
      <c r="EK165" s="19" t="n">
        <v>1</v>
      </c>
      <c r="EL165" s="9" t="n">
        <v>2</v>
      </c>
      <c r="EM165" s="9" t="n">
        <f aca="false">(EI165+EJ165+EK165+EL165)/4</f>
        <v>2.25</v>
      </c>
      <c r="EN165" s="9" t="n">
        <f aca="false">(EI165/DR165)</f>
        <v>0.133333333333333</v>
      </c>
      <c r="EO165" s="9" t="n">
        <f aca="false">(EJ165/DS165)</f>
        <v>0.0666666666666667</v>
      </c>
      <c r="EP165" s="9" t="n">
        <f aca="false">(EK165/DT165)</f>
        <v>0.0142857142857143</v>
      </c>
      <c r="EQ165" s="9" t="n">
        <f aca="false">(EL165/DU165)</f>
        <v>0.0714285714285714</v>
      </c>
      <c r="ER165" s="9" t="n">
        <f aca="false">EM165/DV165</f>
        <v>0.0520231213872832</v>
      </c>
      <c r="ES165" s="9" t="n">
        <f aca="false">(100*ER165)</f>
        <v>5.20231213872832</v>
      </c>
      <c r="ET165" s="9" t="n">
        <v>1</v>
      </c>
      <c r="EU165" s="18" t="n">
        <v>0</v>
      </c>
      <c r="EV165" s="9" t="n">
        <v>0</v>
      </c>
      <c r="EW165" s="9" t="n">
        <v>0</v>
      </c>
      <c r="EX165" s="9" t="n">
        <v>0</v>
      </c>
      <c r="EY165" s="11" t="n">
        <f aca="false">(EU165+EV165+EW165+EX165)/4</f>
        <v>0</v>
      </c>
      <c r="EZ165" s="11" t="n">
        <f aca="false">(EU165/DR165)</f>
        <v>0</v>
      </c>
      <c r="FA165" s="11" t="n">
        <f aca="false">(EV165/DS165)</f>
        <v>0</v>
      </c>
      <c r="FB165" s="11" t="n">
        <f aca="false">(EW165/DT165)</f>
        <v>0</v>
      </c>
      <c r="FC165" s="11" t="n">
        <f aca="false">(EX165/DU165)</f>
        <v>0</v>
      </c>
      <c r="FD165" s="11" t="n">
        <f aca="false">(EY165/DV165)</f>
        <v>0</v>
      </c>
      <c r="FE165" s="11" t="n">
        <f aca="false">(100*FD165)</f>
        <v>0</v>
      </c>
      <c r="FF165" s="9" t="n">
        <v>0</v>
      </c>
      <c r="FG165" s="9" t="n">
        <v>5</v>
      </c>
      <c r="FH165" s="9" t="n">
        <v>6</v>
      </c>
      <c r="FI165" s="9" t="n">
        <v>2</v>
      </c>
      <c r="FJ165" s="9" t="n">
        <v>5</v>
      </c>
      <c r="FK165" s="11" t="n">
        <f aca="false">(FG165+FH165+FI165+FJ165)/4</f>
        <v>4.5</v>
      </c>
      <c r="FL165" s="11" t="n">
        <f aca="false">(FG165/DR165)</f>
        <v>0.333333333333333</v>
      </c>
      <c r="FM165" s="11" t="n">
        <f aca="false">(FH165/DS165)</f>
        <v>0.1</v>
      </c>
      <c r="FN165" s="11" t="n">
        <f aca="false">(FI165/DT165)</f>
        <v>0.0285714285714286</v>
      </c>
      <c r="FO165" s="11" t="n">
        <f aca="false">(FJ165/DU165)</f>
        <v>0.178571428571429</v>
      </c>
      <c r="FP165" s="11" t="n">
        <f aca="false">(FK165/DV165)</f>
        <v>0.104046242774566</v>
      </c>
      <c r="FQ165" s="11" t="n">
        <f aca="false">(100*FP165)</f>
        <v>10.4046242774566</v>
      </c>
      <c r="FR165" s="9" t="n">
        <v>2</v>
      </c>
      <c r="FS165" s="9" t="n">
        <v>51.5</v>
      </c>
      <c r="FT165" s="9" t="n">
        <v>54.3</v>
      </c>
      <c r="FU165" s="9" t="n">
        <v>53.9</v>
      </c>
      <c r="FV165" s="9" t="n">
        <v>52.9</v>
      </c>
      <c r="FW165" s="11" t="n">
        <f aca="false">(FS165+FT165+FU165+FV165)/4</f>
        <v>53.15</v>
      </c>
      <c r="FX165" s="9" t="n">
        <v>0</v>
      </c>
      <c r="FY165" s="9" t="n">
        <v>1</v>
      </c>
      <c r="FZ165" s="9" t="n">
        <v>0</v>
      </c>
      <c r="GA165" s="9" t="n">
        <v>0</v>
      </c>
      <c r="GB165" s="11" t="n">
        <f aca="false">(FX165+FY165+FZ165+GA165)/4</f>
        <v>0.25</v>
      </c>
      <c r="GC165" s="9" t="n">
        <v>1</v>
      </c>
      <c r="GD165" s="9" t="n">
        <v>1</v>
      </c>
      <c r="GE165" s="9" t="n">
        <v>1</v>
      </c>
      <c r="GF165" s="9" t="n">
        <v>1</v>
      </c>
      <c r="GG165" s="11" t="n">
        <f aca="false">(GC165+GD165+GE165+GF165)/4</f>
        <v>1</v>
      </c>
      <c r="GH165" s="9" t="n">
        <v>0</v>
      </c>
      <c r="GI165" s="9" t="n">
        <v>1</v>
      </c>
      <c r="GJ165" s="9" t="n">
        <v>0</v>
      </c>
      <c r="GK165" s="9" t="n">
        <v>0</v>
      </c>
      <c r="GL165" s="11" t="n">
        <f aca="false">(GH165+GI165+GJ165+GK165)/4</f>
        <v>0.25</v>
      </c>
      <c r="GM165" s="9" t="n">
        <v>55</v>
      </c>
      <c r="GN165" s="9" t="n">
        <v>70</v>
      </c>
      <c r="GO165" s="9" t="n">
        <v>63</v>
      </c>
      <c r="GP165" s="9" t="n">
        <v>74</v>
      </c>
      <c r="GQ165" s="11" t="n">
        <f aca="false">(GM165+GN165+GO165+GP165)/4</f>
        <v>65.5</v>
      </c>
      <c r="GR165" s="9" t="n">
        <v>20</v>
      </c>
      <c r="GS165" s="9" t="n">
        <v>24</v>
      </c>
      <c r="GT165" s="9" t="n">
        <v>13</v>
      </c>
      <c r="GU165" s="9" t="n">
        <v>25</v>
      </c>
      <c r="GV165" s="11" t="n">
        <f aca="false">(GR165+GS165+GT165+GU165)/4</f>
        <v>20.5</v>
      </c>
      <c r="GW165" s="9" t="n">
        <v>0</v>
      </c>
      <c r="GX165" s="9" t="n">
        <v>1</v>
      </c>
      <c r="GY165" s="9" t="n">
        <v>0</v>
      </c>
      <c r="GZ165" s="9" t="n">
        <v>0</v>
      </c>
      <c r="HA165" s="11" t="n">
        <f aca="false">(GW165+GX165+GY165+GZ165)/4</f>
        <v>0.25</v>
      </c>
      <c r="HB165" s="9" t="n">
        <f aca="false">(GW165/GR165)</f>
        <v>0</v>
      </c>
      <c r="HC165" s="9" t="n">
        <f aca="false">(GX165/GS165)</f>
        <v>0.0416666666666667</v>
      </c>
      <c r="HD165" s="9" t="n">
        <f aca="false">(GY165/GT165)</f>
        <v>0</v>
      </c>
      <c r="HE165" s="9" t="n">
        <f aca="false">(GZ165/GU165)/4</f>
        <v>0</v>
      </c>
      <c r="HF165" s="9" t="n">
        <f aca="false">(HB165+HC165+HD165+HE165)/4</f>
        <v>0.0104166666666667</v>
      </c>
      <c r="HG165" s="9" t="n">
        <f aca="false">(100*HF165)</f>
        <v>1.04166666666667</v>
      </c>
      <c r="HH165" s="18" t="n">
        <v>1</v>
      </c>
      <c r="HI165" s="9" t="n">
        <v>2</v>
      </c>
      <c r="HJ165" s="9" t="n">
        <v>3</v>
      </c>
      <c r="HK165" s="9" t="n">
        <v>4</v>
      </c>
      <c r="HL165" s="19" t="n">
        <v>4</v>
      </c>
      <c r="HM165" s="9" t="n">
        <f aca="false">(HI165+HJ165+HK165+HL165)/4</f>
        <v>3.25</v>
      </c>
      <c r="HN165" s="9" t="n">
        <f aca="false">(HI165/GR165)</f>
        <v>0.1</v>
      </c>
      <c r="HO165" s="9" t="n">
        <f aca="false">(HJ165/GS165)</f>
        <v>0.125</v>
      </c>
      <c r="HP165" s="9" t="n">
        <f aca="false">(HK165/GT165)</f>
        <v>0.307692307692308</v>
      </c>
      <c r="HQ165" s="9" t="n">
        <f aca="false">(HL165/GU165)</f>
        <v>0.16</v>
      </c>
      <c r="HR165" s="9" t="n">
        <f aca="false">(HM165/GV165)</f>
        <v>0.158536585365854</v>
      </c>
      <c r="HS165" s="9" t="n">
        <f aca="false">(100*HR165)</f>
        <v>15.8536585365854</v>
      </c>
      <c r="HT165" s="18" t="n">
        <v>2</v>
      </c>
      <c r="HU165" s="9" t="n">
        <v>0</v>
      </c>
      <c r="HV165" s="9" t="n">
        <v>0</v>
      </c>
      <c r="HW165" s="9" t="n">
        <v>0</v>
      </c>
      <c r="HX165" s="19" t="n">
        <v>0</v>
      </c>
      <c r="HY165" s="9" t="n">
        <f aca="false">(HU165+HV165+HW165+HX165)/4</f>
        <v>0</v>
      </c>
      <c r="HZ165" s="9" t="n">
        <f aca="false">(HU165/GR165)</f>
        <v>0</v>
      </c>
      <c r="IA165" s="9" t="n">
        <f aca="false">HV165/GS165</f>
        <v>0</v>
      </c>
      <c r="IB165" s="9" t="n">
        <f aca="false">(HW165/GT165)</f>
        <v>0</v>
      </c>
      <c r="IC165" s="9" t="n">
        <f aca="false">(HX165/GU165)</f>
        <v>0</v>
      </c>
      <c r="ID165" s="9" t="n">
        <f aca="false">(HY165/GV165)</f>
        <v>0</v>
      </c>
      <c r="IE165" s="9" t="n">
        <f aca="false">(100*ID165)</f>
        <v>0</v>
      </c>
      <c r="IF165" s="18" t="n">
        <v>0</v>
      </c>
      <c r="IG165" s="9" t="n">
        <v>0</v>
      </c>
      <c r="IH165" s="9" t="n">
        <v>17</v>
      </c>
      <c r="II165" s="19" t="n">
        <v>0</v>
      </c>
      <c r="IJ165" s="9" t="n">
        <v>0</v>
      </c>
      <c r="IK165" s="9" t="n">
        <f aca="false">(IG165+IH165+II165+IJ165)/4</f>
        <v>4.25</v>
      </c>
      <c r="IL165" s="9" t="n">
        <f aca="false">(IG165/GM165)</f>
        <v>0</v>
      </c>
      <c r="IM165" s="9" t="n">
        <f aca="false">(IH165/GN165)</f>
        <v>0.242857142857143</v>
      </c>
      <c r="IN165" s="9" t="n">
        <f aca="false">(II165/GO165)</f>
        <v>0</v>
      </c>
      <c r="IO165" s="9" t="n">
        <f aca="false">(IJ165/GP165)</f>
        <v>0</v>
      </c>
      <c r="IP165" s="9" t="n">
        <f aca="false">(IK165/GQ165)</f>
        <v>0.0648854961832061</v>
      </c>
      <c r="IQ165" s="9" t="n">
        <f aca="false">(100*IP165)</f>
        <v>6.48854961832061</v>
      </c>
      <c r="IR165" s="18" t="n">
        <v>1</v>
      </c>
      <c r="IS165" s="9" t="n">
        <v>50.3</v>
      </c>
      <c r="IT165" s="9" t="n">
        <v>57</v>
      </c>
      <c r="IU165" s="19" t="n">
        <v>59.7</v>
      </c>
      <c r="IV165" s="9" t="n">
        <v>60.6</v>
      </c>
      <c r="IW165" s="9" t="n">
        <f aca="false">(IS165+IT165+IU165+IV165)/4</f>
        <v>56.9</v>
      </c>
      <c r="IX165" s="16" t="n">
        <v>45240</v>
      </c>
      <c r="IY165" s="10" t="s">
        <v>268</v>
      </c>
    </row>
    <row r="166" customFormat="false" ht="15.75" hidden="false" customHeight="true" outlineLevel="0" collapsed="false">
      <c r="A166" s="9" t="s">
        <v>259</v>
      </c>
      <c r="B166" s="10" t="s">
        <v>636</v>
      </c>
      <c r="C166" s="10" t="s">
        <v>626</v>
      </c>
      <c r="D166" s="9" t="n">
        <v>3</v>
      </c>
      <c r="E166" s="9" t="n">
        <v>55</v>
      </c>
      <c r="F166" s="10" t="s">
        <v>642</v>
      </c>
      <c r="G166" s="10" t="s">
        <v>397</v>
      </c>
      <c r="H166" s="9" t="n">
        <v>21</v>
      </c>
      <c r="I166" s="9" t="n">
        <v>21</v>
      </c>
      <c r="J166" s="10" t="s">
        <v>272</v>
      </c>
      <c r="K166" s="20"/>
      <c r="L166" s="20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 t="n">
        <v>0</v>
      </c>
      <c r="Y166" s="9" t="n">
        <v>0</v>
      </c>
      <c r="Z166" s="9" t="n">
        <v>0</v>
      </c>
      <c r="AA166" s="9" t="n">
        <v>0</v>
      </c>
      <c r="AB166" s="11" t="n">
        <f aca="false">(X166+Y166+Z166+AA166)/4</f>
        <v>0</v>
      </c>
      <c r="AC166" s="9" t="n">
        <v>1</v>
      </c>
      <c r="AD166" s="9" t="n">
        <v>1</v>
      </c>
      <c r="AE166" s="9" t="n">
        <v>1</v>
      </c>
      <c r="AF166" s="9" t="n">
        <v>1</v>
      </c>
      <c r="AG166" s="11" t="n">
        <f aca="false">(AC166+AD166+AE166+AF166)/4</f>
        <v>1</v>
      </c>
      <c r="AH166" s="9" t="n">
        <v>1</v>
      </c>
      <c r="AI166" s="9" t="n">
        <v>1</v>
      </c>
      <c r="AJ166" s="9" t="n">
        <v>1</v>
      </c>
      <c r="AK166" s="9" t="n">
        <v>1</v>
      </c>
      <c r="AL166" s="11" t="n">
        <f aca="false">(AH166+AI166+AJ166+AK166)/4</f>
        <v>1</v>
      </c>
      <c r="AM166" s="9" t="n">
        <v>20</v>
      </c>
      <c r="AN166" s="9" t="n">
        <v>28</v>
      </c>
      <c r="AO166" s="9" t="n">
        <v>87</v>
      </c>
      <c r="AP166" s="9" t="n">
        <v>57</v>
      </c>
      <c r="AQ166" s="11" t="n">
        <f aca="false">(AM166+AN166+AO166+AP166)/4</f>
        <v>48</v>
      </c>
      <c r="AR166" s="9" t="n">
        <v>21</v>
      </c>
      <c r="AS166" s="9" t="n">
        <v>22</v>
      </c>
      <c r="AT166" s="9" t="n">
        <v>43</v>
      </c>
      <c r="AU166" s="9" t="n">
        <v>19</v>
      </c>
      <c r="AV166" s="11" t="n">
        <f aca="false">(AR166+AS166+AT166+AU166)/4</f>
        <v>26.25</v>
      </c>
      <c r="AW166" s="9" t="n">
        <v>0</v>
      </c>
      <c r="AX166" s="9" t="n">
        <v>0</v>
      </c>
      <c r="AY166" s="9" t="n">
        <v>0</v>
      </c>
      <c r="AZ166" s="9" t="n">
        <v>0</v>
      </c>
      <c r="BA166" s="11" t="n">
        <f aca="false">(AW166+AX166+AY166+AZ166)/4</f>
        <v>0</v>
      </c>
      <c r="BB166" s="11" t="n">
        <f aca="false">(AW166/AR166)</f>
        <v>0</v>
      </c>
      <c r="BC166" s="11" t="n">
        <f aca="false">(AX166/AS166)</f>
        <v>0</v>
      </c>
      <c r="BD166" s="11" t="n">
        <f aca="false">(AY166/AT166)</f>
        <v>0</v>
      </c>
      <c r="BE166" s="11" t="n">
        <f aca="false">(AZ166/AU166)</f>
        <v>0</v>
      </c>
      <c r="BF166" s="11" t="n">
        <f aca="false">(BA166/AV166)</f>
        <v>0</v>
      </c>
      <c r="BG166" s="11" t="n">
        <f aca="false">(BF166*100)</f>
        <v>0</v>
      </c>
      <c r="BH166" s="9" t="n">
        <v>0</v>
      </c>
      <c r="BI166" s="9" t="n">
        <v>3</v>
      </c>
      <c r="BJ166" s="9" t="n">
        <v>5</v>
      </c>
      <c r="BK166" s="9" t="n">
        <v>2</v>
      </c>
      <c r="BL166" s="9" t="n">
        <v>2</v>
      </c>
      <c r="BM166" s="11" t="n">
        <f aca="false">(BI166+BJ166+BK166+BL166)/4</f>
        <v>3</v>
      </c>
      <c r="BN166" s="11" t="n">
        <f aca="false">(BI166/AR166)</f>
        <v>0.142857142857143</v>
      </c>
      <c r="BO166" s="11" t="n">
        <f aca="false">(BJ166/AS166)</f>
        <v>0.227272727272727</v>
      </c>
      <c r="BP166" s="11" t="n">
        <f aca="false">(BK166/AT166)</f>
        <v>0.0465116279069767</v>
      </c>
      <c r="BQ166" s="11" t="n">
        <f aca="false">(BL166/AU166)</f>
        <v>0.105263157894737</v>
      </c>
      <c r="BR166" s="11" t="n">
        <f aca="false">(BM166/AV166)</f>
        <v>0.114285714285714</v>
      </c>
      <c r="BS166" s="11" t="n">
        <f aca="false">(100*BR166)</f>
        <v>11.4285714285714</v>
      </c>
      <c r="BT166" s="9" t="n">
        <v>2</v>
      </c>
      <c r="BU166" s="9" t="n">
        <v>0</v>
      </c>
      <c r="BV166" s="9" t="n">
        <v>0</v>
      </c>
      <c r="BW166" s="9" t="n">
        <v>0</v>
      </c>
      <c r="BX166" s="9" t="n">
        <v>0</v>
      </c>
      <c r="BY166" s="11" t="n">
        <f aca="false">(BU166+BV166+BW166+BX166)/4</f>
        <v>0</v>
      </c>
      <c r="BZ166" s="11" t="n">
        <f aca="false">(BU166/AR166)</f>
        <v>0</v>
      </c>
      <c r="CA166" s="11" t="n">
        <f aca="false">(BV166/AS166)</f>
        <v>0</v>
      </c>
      <c r="CB166" s="11" t="n">
        <f aca="false">(BW166/AT166)</f>
        <v>0</v>
      </c>
      <c r="CC166" s="11" t="n">
        <f aca="false">(BX166/AU166)</f>
        <v>0</v>
      </c>
      <c r="CD166" s="11" t="n">
        <f aca="false">(BY166/AV166)</f>
        <v>0</v>
      </c>
      <c r="CE166" s="11" t="n">
        <f aca="false">(100*CD166)</f>
        <v>0</v>
      </c>
      <c r="CF166" s="9" t="n">
        <v>0</v>
      </c>
      <c r="CG166" s="9" t="n">
        <v>10</v>
      </c>
      <c r="CH166" s="9" t="n">
        <v>5</v>
      </c>
      <c r="CI166" s="9" t="n">
        <v>6</v>
      </c>
      <c r="CJ166" s="9" t="n">
        <v>0</v>
      </c>
      <c r="CK166" s="11" t="n">
        <f aca="false">(CG166+CH166+CI166+CJ166)/4</f>
        <v>5.25</v>
      </c>
      <c r="CL166" s="11" t="n">
        <f aca="false">(CG166/AM166)</f>
        <v>0.5</v>
      </c>
      <c r="CM166" s="11" t="n">
        <f aca="false">(CH166/AN166)</f>
        <v>0.178571428571429</v>
      </c>
      <c r="CN166" s="11" t="n">
        <f aca="false">(CI166/AO166)</f>
        <v>0.0689655172413793</v>
      </c>
      <c r="CO166" s="9" t="n">
        <f aca="false">(CJ166/AP166)</f>
        <v>0</v>
      </c>
      <c r="CP166" s="9" t="n">
        <f aca="false">(CK166/AQ166)</f>
        <v>0.109375</v>
      </c>
      <c r="CQ166" s="9" t="n">
        <f aca="false">(100*CP166)</f>
        <v>10.9375</v>
      </c>
      <c r="CR166" s="18" t="n">
        <v>2</v>
      </c>
      <c r="CS166" s="9" t="n">
        <v>68.8</v>
      </c>
      <c r="CT166" s="9" t="n">
        <v>70.5</v>
      </c>
      <c r="CU166" s="9" t="n">
        <v>65.9</v>
      </c>
      <c r="CV166" s="9" t="n">
        <v>67.4</v>
      </c>
      <c r="CW166" s="11" t="n">
        <f aca="false">(CS166+CT166+CU166+CV166)/4</f>
        <v>68.15</v>
      </c>
      <c r="CX166" s="9" t="n">
        <v>0</v>
      </c>
      <c r="CY166" s="9" t="n">
        <v>0</v>
      </c>
      <c r="CZ166" s="9" t="n">
        <v>1</v>
      </c>
      <c r="DA166" s="9" t="n">
        <v>0</v>
      </c>
      <c r="DB166" s="11" t="n">
        <f aca="false">(CX166+CY166+CZ166+DA166)/4</f>
        <v>0.25</v>
      </c>
      <c r="DC166" s="9" t="n">
        <v>1</v>
      </c>
      <c r="DD166" s="9" t="n">
        <v>1</v>
      </c>
      <c r="DE166" s="9" t="n">
        <v>1</v>
      </c>
      <c r="DF166" s="9" t="n">
        <v>1</v>
      </c>
      <c r="DG166" s="11" t="n">
        <f aca="false">(DC166+DD166+DE166+DF166)/4</f>
        <v>1</v>
      </c>
      <c r="DH166" s="9" t="n">
        <v>1</v>
      </c>
      <c r="DI166" s="9" t="n">
        <v>1</v>
      </c>
      <c r="DJ166" s="9" t="n">
        <v>1</v>
      </c>
      <c r="DK166" s="9" t="n">
        <v>1</v>
      </c>
      <c r="DL166" s="11" t="n">
        <f aca="false">(DH166+DI166+DJ166+DK166)/4</f>
        <v>1</v>
      </c>
      <c r="DM166" s="9" t="n">
        <v>6</v>
      </c>
      <c r="DN166" s="9" t="n">
        <v>103</v>
      </c>
      <c r="DO166" s="9" t="n">
        <v>44</v>
      </c>
      <c r="DP166" s="9" t="n">
        <v>243</v>
      </c>
      <c r="DQ166" s="11" t="n">
        <f aca="false">(DM166+DN166+DO166+DP166)/4</f>
        <v>99</v>
      </c>
      <c r="DR166" s="9" t="n">
        <v>20</v>
      </c>
      <c r="DS166" s="9" t="n">
        <v>8</v>
      </c>
      <c r="DT166" s="9" t="n">
        <v>20</v>
      </c>
      <c r="DU166" s="9" t="n">
        <v>43</v>
      </c>
      <c r="DV166" s="11" t="n">
        <f aca="false">(DR166+DS166+DT166+DU166)/4</f>
        <v>22.75</v>
      </c>
      <c r="DW166" s="9" t="n">
        <v>0</v>
      </c>
      <c r="DX166" s="9" t="n">
        <v>0</v>
      </c>
      <c r="DY166" s="9" t="n">
        <v>2</v>
      </c>
      <c r="DZ166" s="9" t="n">
        <v>0</v>
      </c>
      <c r="EA166" s="11" t="n">
        <f aca="false">(DW166+DX166+DY166+DZ166)/4</f>
        <v>0.5</v>
      </c>
      <c r="EB166" s="11" t="n">
        <f aca="false">(DW166/DR166)</f>
        <v>0</v>
      </c>
      <c r="EC166" s="11" t="n">
        <f aca="false">(DX166/DS166)</f>
        <v>0</v>
      </c>
      <c r="ED166" s="11" t="n">
        <f aca="false">(DY166/DT166)</f>
        <v>0.1</v>
      </c>
      <c r="EE166" s="11" t="n">
        <f aca="false">(DZ166/DU166)</f>
        <v>0</v>
      </c>
      <c r="EF166" s="11" t="n">
        <f aca="false">(EA166/DV166)</f>
        <v>0.021978021978022</v>
      </c>
      <c r="EG166" s="11" t="n">
        <f aca="false">(100*EF166)</f>
        <v>2.1978021978022</v>
      </c>
      <c r="EH166" s="9" t="n">
        <v>1</v>
      </c>
      <c r="EI166" s="9" t="n">
        <v>5</v>
      </c>
      <c r="EJ166" s="9" t="n">
        <v>3</v>
      </c>
      <c r="EK166" s="19" t="n">
        <v>3</v>
      </c>
      <c r="EL166" s="9" t="n">
        <v>4</v>
      </c>
      <c r="EM166" s="9" t="n">
        <f aca="false">(EI166+EJ166+EK166+EL166)/4</f>
        <v>3.75</v>
      </c>
      <c r="EN166" s="9" t="n">
        <f aca="false">(EI166/DR166)</f>
        <v>0.25</v>
      </c>
      <c r="EO166" s="9" t="n">
        <f aca="false">(EJ166/DS166)</f>
        <v>0.375</v>
      </c>
      <c r="EP166" s="9" t="n">
        <f aca="false">(EK166/DT166)</f>
        <v>0.15</v>
      </c>
      <c r="EQ166" s="9" t="n">
        <f aca="false">(EL166/DU166)</f>
        <v>0.0930232558139535</v>
      </c>
      <c r="ER166" s="9" t="n">
        <f aca="false">EM166/DV166</f>
        <v>0.164835164835165</v>
      </c>
      <c r="ES166" s="9" t="n">
        <f aca="false">(100*ER166)</f>
        <v>16.4835164835165</v>
      </c>
      <c r="ET166" s="9" t="n">
        <v>2</v>
      </c>
      <c r="EU166" s="18" t="n">
        <v>0</v>
      </c>
      <c r="EV166" s="9" t="n">
        <v>0</v>
      </c>
      <c r="EW166" s="9" t="n">
        <v>1</v>
      </c>
      <c r="EX166" s="9" t="n">
        <v>4</v>
      </c>
      <c r="EY166" s="11" t="n">
        <f aca="false">(EU166+EV166+EW166+EX166)/4</f>
        <v>1.25</v>
      </c>
      <c r="EZ166" s="11" t="n">
        <f aca="false">(EU166/DR166)</f>
        <v>0</v>
      </c>
      <c r="FA166" s="11" t="n">
        <f aca="false">(EV166/DS166)</f>
        <v>0</v>
      </c>
      <c r="FB166" s="11" t="n">
        <f aca="false">(EW166/DT166)</f>
        <v>0.05</v>
      </c>
      <c r="FC166" s="11" t="n">
        <f aca="false">(EX166/DU166)</f>
        <v>0.0930232558139535</v>
      </c>
      <c r="FD166" s="11" t="n">
        <f aca="false">(EY166/DV166)</f>
        <v>0.0549450549450549</v>
      </c>
      <c r="FE166" s="11" t="n">
        <f aca="false">(100*FD166)</f>
        <v>5.49450549450549</v>
      </c>
      <c r="FF166" s="9" t="n">
        <v>1</v>
      </c>
      <c r="FG166" s="9" t="n">
        <v>3</v>
      </c>
      <c r="FH166" s="9" t="n">
        <v>8</v>
      </c>
      <c r="FI166" s="9" t="n">
        <v>0</v>
      </c>
      <c r="FJ166" s="9" t="n">
        <v>5</v>
      </c>
      <c r="FK166" s="11" t="n">
        <f aca="false">(FG166+FH166+FI166+FJ166)/4</f>
        <v>4</v>
      </c>
      <c r="FL166" s="11" t="n">
        <f aca="false">(FG166/DR166)</f>
        <v>0.15</v>
      </c>
      <c r="FM166" s="11" t="n">
        <f aca="false">(FH166/DS166)</f>
        <v>1</v>
      </c>
      <c r="FN166" s="11" t="n">
        <f aca="false">(FI166/DT166)</f>
        <v>0</v>
      </c>
      <c r="FO166" s="11" t="n">
        <f aca="false">(FJ166/DU166)</f>
        <v>0.116279069767442</v>
      </c>
      <c r="FP166" s="11" t="n">
        <f aca="false">(FK166/DV166)</f>
        <v>0.175824175824176</v>
      </c>
      <c r="FQ166" s="11" t="n">
        <f aca="false">(100*FP166)</f>
        <v>17.5824175824176</v>
      </c>
      <c r="FR166" s="9" t="n">
        <v>2</v>
      </c>
      <c r="FS166" s="9" t="n">
        <v>70</v>
      </c>
      <c r="FT166" s="9" t="n">
        <v>79.1</v>
      </c>
      <c r="FU166" s="9" t="n">
        <v>80.2</v>
      </c>
      <c r="FV166" s="9" t="n">
        <v>80.2</v>
      </c>
      <c r="FW166" s="11" t="n">
        <f aca="false">(FS166+FT166+FU166+FV166)/4</f>
        <v>77.375</v>
      </c>
      <c r="FX166" s="9" t="n">
        <v>0</v>
      </c>
      <c r="FY166" s="9" t="n">
        <v>0</v>
      </c>
      <c r="FZ166" s="9" t="n">
        <v>1</v>
      </c>
      <c r="GA166" s="9" t="n">
        <v>0</v>
      </c>
      <c r="GB166" s="11" t="n">
        <f aca="false">(FX166+FY166+FZ166+GA166)/4</f>
        <v>0.25</v>
      </c>
      <c r="GC166" s="9" t="n">
        <f aca="false">-E1705</f>
        <v>0</v>
      </c>
      <c r="GD166" s="9" t="n">
        <v>0</v>
      </c>
      <c r="GE166" s="9" t="n">
        <v>1</v>
      </c>
      <c r="GF166" s="9" t="n">
        <v>1</v>
      </c>
      <c r="GG166" s="11" t="n">
        <f aca="false">(GC166+GD166+GE166+GF166)/4</f>
        <v>0.5</v>
      </c>
      <c r="GH166" s="9" t="n">
        <v>1</v>
      </c>
      <c r="GI166" s="9" t="n">
        <v>0</v>
      </c>
      <c r="GJ166" s="9" t="n">
        <v>0</v>
      </c>
      <c r="GK166" s="9" t="n">
        <v>1</v>
      </c>
      <c r="GL166" s="11" t="n">
        <f aca="false">(GH166+GI166+GJ166+GK166)/4</f>
        <v>0.5</v>
      </c>
      <c r="GM166" s="9" t="n">
        <v>67</v>
      </c>
      <c r="GN166" s="9" t="n">
        <v>31</v>
      </c>
      <c r="GO166" s="9" t="n">
        <v>100</v>
      </c>
      <c r="GP166" s="9" t="n">
        <v>28</v>
      </c>
      <c r="GQ166" s="11" t="n">
        <f aca="false">(GM166+GN166+GO166+GP166)/4</f>
        <v>56.5</v>
      </c>
      <c r="GR166" s="9" t="n">
        <v>24</v>
      </c>
      <c r="GS166" s="9" t="n">
        <v>16</v>
      </c>
      <c r="GT166" s="9" t="n">
        <v>14</v>
      </c>
      <c r="GU166" s="9" t="n">
        <v>15</v>
      </c>
      <c r="GV166" s="11" t="n">
        <f aca="false">(GR166+GS166+GT166+GU166)/4</f>
        <v>17.25</v>
      </c>
      <c r="GW166" s="9" t="n">
        <v>0</v>
      </c>
      <c r="GX166" s="9" t="n">
        <v>0</v>
      </c>
      <c r="GY166" s="9" t="n">
        <v>1</v>
      </c>
      <c r="GZ166" s="9" t="n">
        <v>0</v>
      </c>
      <c r="HA166" s="11" t="n">
        <f aca="false">(GW166+GX166+GY166+GZ166)/4</f>
        <v>0.25</v>
      </c>
      <c r="HB166" s="9" t="n">
        <f aca="false">(GW166/GR166)</f>
        <v>0</v>
      </c>
      <c r="HC166" s="9" t="n">
        <f aca="false">(GX166/GS166)</f>
        <v>0</v>
      </c>
      <c r="HD166" s="9" t="n">
        <f aca="false">(GY166/GT166)</f>
        <v>0.0714285714285714</v>
      </c>
      <c r="HE166" s="9" t="n">
        <f aca="false">(GZ166/GU166)/4</f>
        <v>0</v>
      </c>
      <c r="HF166" s="9" t="n">
        <f aca="false">(HB166+HC166+HD166+HE166)/4</f>
        <v>0.0178571428571429</v>
      </c>
      <c r="HG166" s="9" t="n">
        <f aca="false">(100*HF166)</f>
        <v>1.78571428571429</v>
      </c>
      <c r="HH166" s="18" t="n">
        <v>1</v>
      </c>
      <c r="HI166" s="9" t="n">
        <v>0</v>
      </c>
      <c r="HJ166" s="9" t="n">
        <v>0</v>
      </c>
      <c r="HK166" s="9" t="n">
        <v>3</v>
      </c>
      <c r="HL166" s="19" t="n">
        <v>2</v>
      </c>
      <c r="HM166" s="9" t="n">
        <f aca="false">(HI166+HJ166+HK166+HL166)/4</f>
        <v>1.25</v>
      </c>
      <c r="HN166" s="9" t="n">
        <f aca="false">(HI166/GR166)</f>
        <v>0</v>
      </c>
      <c r="HO166" s="9" t="n">
        <f aca="false">(HJ166/GS166)</f>
        <v>0</v>
      </c>
      <c r="HP166" s="9" t="n">
        <f aca="false">(HK166/GT166)</f>
        <v>0.214285714285714</v>
      </c>
      <c r="HQ166" s="9" t="n">
        <f aca="false">(HL166/GU166)</f>
        <v>0.133333333333333</v>
      </c>
      <c r="HR166" s="9" t="n">
        <f aca="false">(HM166/GV166)</f>
        <v>0.072463768115942</v>
      </c>
      <c r="HS166" s="9" t="n">
        <f aca="false">(100*HR166)</f>
        <v>7.2463768115942</v>
      </c>
      <c r="HT166" s="18" t="n">
        <v>1</v>
      </c>
      <c r="HU166" s="9" t="n">
        <v>4</v>
      </c>
      <c r="HV166" s="9" t="n">
        <v>0</v>
      </c>
      <c r="HW166" s="9" t="n">
        <v>0</v>
      </c>
      <c r="HX166" s="19" t="n">
        <v>3</v>
      </c>
      <c r="HY166" s="9" t="n">
        <f aca="false">(HU166+HV166+HW166+HX166)/4</f>
        <v>1.75</v>
      </c>
      <c r="HZ166" s="9" t="n">
        <f aca="false">(HU166/GR166)</f>
        <v>0.166666666666667</v>
      </c>
      <c r="IA166" s="9" t="n">
        <f aca="false">HV166/GS166</f>
        <v>0</v>
      </c>
      <c r="IB166" s="9" t="n">
        <f aca="false">(HW166/GT166)</f>
        <v>0</v>
      </c>
      <c r="IC166" s="9" t="n">
        <f aca="false">(HX166/GU166)</f>
        <v>0.2</v>
      </c>
      <c r="ID166" s="9" t="n">
        <f aca="false">(HY166/GV166)</f>
        <v>0.101449275362319</v>
      </c>
      <c r="IE166" s="9" t="n">
        <f aca="false">(100*ID166)</f>
        <v>10.1449275362319</v>
      </c>
      <c r="IF166" s="18" t="n">
        <v>2</v>
      </c>
      <c r="IG166" s="9" t="n">
        <v>28</v>
      </c>
      <c r="IH166" s="9" t="n">
        <v>0</v>
      </c>
      <c r="II166" s="19" t="n">
        <v>0</v>
      </c>
      <c r="IJ166" s="9" t="n">
        <v>0</v>
      </c>
      <c r="IK166" s="9" t="n">
        <f aca="false">(IG166+IH166+II166+IJ166)/4</f>
        <v>7</v>
      </c>
      <c r="IL166" s="9" t="n">
        <f aca="false">(IG166/GM166)</f>
        <v>0.417910447761194</v>
      </c>
      <c r="IM166" s="9" t="n">
        <f aca="false">(IH166/GN166)</f>
        <v>0</v>
      </c>
      <c r="IN166" s="9" t="n">
        <f aca="false">(II166/GO166)</f>
        <v>0</v>
      </c>
      <c r="IO166" s="9" t="n">
        <f aca="false">(IJ166/GP166)</f>
        <v>0</v>
      </c>
      <c r="IP166" s="9" t="n">
        <f aca="false">(IK166/GQ166)</f>
        <v>0.123893805309735</v>
      </c>
      <c r="IQ166" s="9" t="n">
        <f aca="false">(100*IP166)</f>
        <v>12.3893805309735</v>
      </c>
      <c r="IR166" s="18" t="n">
        <v>2</v>
      </c>
      <c r="IS166" s="9" t="n">
        <v>65.8</v>
      </c>
      <c r="IT166" s="9" t="n">
        <v>72</v>
      </c>
      <c r="IU166" s="19" t="n">
        <v>61.3</v>
      </c>
      <c r="IV166" s="9" t="n">
        <v>52.7</v>
      </c>
      <c r="IW166" s="9" t="n">
        <f aca="false">(IS166+IT166+IU166+IV166)/4</f>
        <v>62.95</v>
      </c>
      <c r="IX166" s="16" t="n">
        <v>45240</v>
      </c>
      <c r="IY166" s="10" t="s">
        <v>268</v>
      </c>
    </row>
    <row r="167" customFormat="false" ht="15.75" hidden="false" customHeight="true" outlineLevel="0" collapsed="false">
      <c r="A167" s="9" t="s">
        <v>259</v>
      </c>
      <c r="B167" s="10" t="s">
        <v>643</v>
      </c>
      <c r="C167" s="10" t="s">
        <v>626</v>
      </c>
      <c r="D167" s="9" t="n">
        <v>4</v>
      </c>
      <c r="E167" s="9" t="n">
        <v>56</v>
      </c>
      <c r="F167" s="10" t="s">
        <v>644</v>
      </c>
      <c r="G167" s="10" t="s">
        <v>320</v>
      </c>
      <c r="H167" s="9" t="n">
        <v>21</v>
      </c>
      <c r="I167" s="9" t="n">
        <v>6</v>
      </c>
      <c r="J167" s="12" t="s">
        <v>264</v>
      </c>
      <c r="K167" s="13" t="s">
        <v>645</v>
      </c>
      <c r="L167" s="13" t="s">
        <v>646</v>
      </c>
      <c r="M167" s="14" t="n">
        <v>1281</v>
      </c>
      <c r="N167" s="15" t="n">
        <v>45155</v>
      </c>
      <c r="O167" s="10" t="s">
        <v>294</v>
      </c>
      <c r="P167" s="9"/>
      <c r="Q167" s="9" t="n">
        <v>30.2</v>
      </c>
      <c r="R167" s="9"/>
      <c r="S167" s="9"/>
      <c r="T167" s="9"/>
      <c r="U167" s="9"/>
      <c r="V167" s="9"/>
      <c r="W167" s="9" t="s">
        <v>647</v>
      </c>
      <c r="X167" s="9" t="n">
        <v>0</v>
      </c>
      <c r="Y167" s="9" t="n">
        <v>0</v>
      </c>
      <c r="Z167" s="9" t="n">
        <v>0</v>
      </c>
      <c r="AA167" s="9" t="n">
        <v>0</v>
      </c>
      <c r="AB167" s="11" t="n">
        <f aca="false">(X167+Y167+Z167+AA167)/4</f>
        <v>0</v>
      </c>
      <c r="AC167" s="9" t="n">
        <v>1</v>
      </c>
      <c r="AD167" s="9" t="n">
        <v>1</v>
      </c>
      <c r="AE167" s="9" t="n">
        <v>1</v>
      </c>
      <c r="AF167" s="9" t="n">
        <v>1</v>
      </c>
      <c r="AG167" s="11" t="n">
        <f aca="false">(AC167+AD167+AE167+AF167)/4</f>
        <v>1</v>
      </c>
      <c r="AH167" s="9" t="n">
        <v>1</v>
      </c>
      <c r="AI167" s="9" t="n">
        <v>1</v>
      </c>
      <c r="AJ167" s="9" t="n">
        <v>1</v>
      </c>
      <c r="AK167" s="9" t="n">
        <v>1</v>
      </c>
      <c r="AL167" s="11" t="n">
        <f aca="false">(AH167+AI167+AJ167+AK167)/4</f>
        <v>1</v>
      </c>
      <c r="AM167" s="9" t="n">
        <v>44</v>
      </c>
      <c r="AN167" s="9" t="n">
        <v>38</v>
      </c>
      <c r="AO167" s="9" t="n">
        <v>65</v>
      </c>
      <c r="AP167" s="9" t="n">
        <v>56</v>
      </c>
      <c r="AQ167" s="11" t="n">
        <f aca="false">(AM167+AN167+AO167+AP167)/4</f>
        <v>50.75</v>
      </c>
      <c r="AR167" s="9" t="n">
        <v>29</v>
      </c>
      <c r="AS167" s="9" t="n">
        <v>12</v>
      </c>
      <c r="AT167" s="9" t="n">
        <v>12</v>
      </c>
      <c r="AU167" s="9" t="n">
        <v>45</v>
      </c>
      <c r="AV167" s="11" t="n">
        <f aca="false">(AR167+AS167+AT167+AU167)/4</f>
        <v>24.5</v>
      </c>
      <c r="AW167" s="9" t="n">
        <v>0</v>
      </c>
      <c r="AX167" s="9" t="n">
        <v>0</v>
      </c>
      <c r="AY167" s="9" t="n">
        <v>0</v>
      </c>
      <c r="AZ167" s="9" t="n">
        <v>0</v>
      </c>
      <c r="BA167" s="11" t="n">
        <f aca="false">(AW167+AX167+AY167+AZ167)/4</f>
        <v>0</v>
      </c>
      <c r="BB167" s="11" t="n">
        <f aca="false">(AW167/AR167)</f>
        <v>0</v>
      </c>
      <c r="BC167" s="11" t="n">
        <f aca="false">(AX167/AS167)</f>
        <v>0</v>
      </c>
      <c r="BD167" s="11" t="n">
        <f aca="false">(AY167/AT167)</f>
        <v>0</v>
      </c>
      <c r="BE167" s="11" t="n">
        <f aca="false">(AZ167/AU167)</f>
        <v>0</v>
      </c>
      <c r="BF167" s="11" t="n">
        <f aca="false">(BA167/AV167)</f>
        <v>0</v>
      </c>
      <c r="BG167" s="11" t="n">
        <f aca="false">(BF167*100)</f>
        <v>0</v>
      </c>
      <c r="BH167" s="9" t="n">
        <v>0</v>
      </c>
      <c r="BI167" s="9" t="n">
        <v>1</v>
      </c>
      <c r="BJ167" s="9" t="n">
        <v>4</v>
      </c>
      <c r="BK167" s="9" t="n">
        <v>2</v>
      </c>
      <c r="BL167" s="9" t="n">
        <v>3</v>
      </c>
      <c r="BM167" s="11" t="n">
        <f aca="false">(BI167+BJ167+BK167+BL167)/4</f>
        <v>2.5</v>
      </c>
      <c r="BN167" s="11" t="n">
        <f aca="false">(BI167/AR167)</f>
        <v>0.0344827586206897</v>
      </c>
      <c r="BO167" s="11" t="n">
        <f aca="false">(BJ167/AS167)</f>
        <v>0.333333333333333</v>
      </c>
      <c r="BP167" s="11" t="n">
        <f aca="false">(BK167/AT167)</f>
        <v>0.166666666666667</v>
      </c>
      <c r="BQ167" s="11" t="n">
        <f aca="false">(BL167/AU167)</f>
        <v>0.0666666666666667</v>
      </c>
      <c r="BR167" s="11" t="n">
        <f aca="false">(BM167/AV167)</f>
        <v>0.102040816326531</v>
      </c>
      <c r="BS167" s="11" t="n">
        <f aca="false">(100*BR167)</f>
        <v>10.2040816326531</v>
      </c>
      <c r="BT167" s="9" t="n">
        <v>2</v>
      </c>
      <c r="BU167" s="9" t="n">
        <v>1</v>
      </c>
      <c r="BV167" s="9" t="n">
        <v>2</v>
      </c>
      <c r="BW167" s="9" t="n">
        <v>0</v>
      </c>
      <c r="BX167" s="9" t="n">
        <v>5</v>
      </c>
      <c r="BY167" s="11" t="n">
        <f aca="false">(BU167+BV167+BW167+BX167)/4</f>
        <v>2</v>
      </c>
      <c r="BZ167" s="11" t="n">
        <f aca="false">(BU167/AR167)</f>
        <v>0.0344827586206897</v>
      </c>
      <c r="CA167" s="11" t="n">
        <f aca="false">(BV167/AS167)</f>
        <v>0.166666666666667</v>
      </c>
      <c r="CB167" s="11" t="n">
        <f aca="false">(BW167/AT167)</f>
        <v>0</v>
      </c>
      <c r="CC167" s="11" t="n">
        <f aca="false">(BX167/AU167)</f>
        <v>0.111111111111111</v>
      </c>
      <c r="CD167" s="11" t="n">
        <f aca="false">(BY167/AV167)</f>
        <v>0.0816326530612245</v>
      </c>
      <c r="CE167" s="11" t="n">
        <f aca="false">(100*CD167)</f>
        <v>8.16326530612245</v>
      </c>
      <c r="CF167" s="9" t="n">
        <v>1</v>
      </c>
      <c r="CG167" s="9" t="n">
        <v>5</v>
      </c>
      <c r="CH167" s="9" t="n">
        <v>9</v>
      </c>
      <c r="CI167" s="9" t="n">
        <v>5</v>
      </c>
      <c r="CJ167" s="9" t="n">
        <v>4</v>
      </c>
      <c r="CK167" s="11" t="n">
        <f aca="false">(CG167+CH167+CI167+CJ167)/4</f>
        <v>5.75</v>
      </c>
      <c r="CL167" s="11" t="n">
        <f aca="false">(CG167/AM167)</f>
        <v>0.113636363636364</v>
      </c>
      <c r="CM167" s="11" t="n">
        <f aca="false">(CH167/AN167)</f>
        <v>0.236842105263158</v>
      </c>
      <c r="CN167" s="11" t="n">
        <f aca="false">(CI167/AO167)</f>
        <v>0.0769230769230769</v>
      </c>
      <c r="CO167" s="9" t="n">
        <f aca="false">(CJ167/AP167)</f>
        <v>0.0714285714285714</v>
      </c>
      <c r="CP167" s="9" t="n">
        <f aca="false">(CK167/AQ167)</f>
        <v>0.113300492610837</v>
      </c>
      <c r="CQ167" s="9" t="n">
        <f aca="false">(100*CP167)</f>
        <v>11.3300492610837</v>
      </c>
      <c r="CR167" s="18" t="n">
        <v>2</v>
      </c>
      <c r="CS167" s="9" t="n">
        <v>53.2</v>
      </c>
      <c r="CT167" s="9" t="n">
        <v>57.8</v>
      </c>
      <c r="CU167" s="9" t="n">
        <v>54.5</v>
      </c>
      <c r="CV167" s="9" t="n">
        <v>58.3</v>
      </c>
      <c r="CW167" s="11" t="n">
        <f aca="false">(CS167+CT167+CU167+CV167)/4</f>
        <v>55.95</v>
      </c>
      <c r="CX167" s="9" t="n">
        <v>0</v>
      </c>
      <c r="CY167" s="9" t="n">
        <v>0</v>
      </c>
      <c r="CZ167" s="9" t="n">
        <v>0</v>
      </c>
      <c r="DA167" s="9" t="n">
        <v>0</v>
      </c>
      <c r="DB167" s="11" t="n">
        <f aca="false">(CX167+CY167+CZ167+DA167)/4</f>
        <v>0</v>
      </c>
      <c r="DC167" s="9" t="n">
        <v>1</v>
      </c>
      <c r="DD167" s="9" t="n">
        <v>1</v>
      </c>
      <c r="DE167" s="9" t="n">
        <v>1</v>
      </c>
      <c r="DF167" s="9" t="n">
        <v>0</v>
      </c>
      <c r="DG167" s="11" t="n">
        <f aca="false">(DC167+DD167+DE167+DF167)/4</f>
        <v>0.75</v>
      </c>
      <c r="DH167" s="9" t="n">
        <v>1</v>
      </c>
      <c r="DI167" s="9" t="n">
        <v>1</v>
      </c>
      <c r="DJ167" s="9" t="n">
        <v>1</v>
      </c>
      <c r="DK167" s="9" t="n">
        <v>1</v>
      </c>
      <c r="DL167" s="11" t="n">
        <f aca="false">(DH167+DI167+DJ167+DK167)/4</f>
        <v>1</v>
      </c>
      <c r="DM167" s="9" t="n">
        <v>48</v>
      </c>
      <c r="DN167" s="9" t="n">
        <v>30</v>
      </c>
      <c r="DO167" s="9" t="n">
        <v>132</v>
      </c>
      <c r="DP167" s="9" t="n">
        <v>22</v>
      </c>
      <c r="DQ167" s="11" t="n">
        <f aca="false">(DM167+DN167+DO167+DP167)/4</f>
        <v>58</v>
      </c>
      <c r="DR167" s="9" t="n">
        <v>12</v>
      </c>
      <c r="DS167" s="9" t="n">
        <v>11</v>
      </c>
      <c r="DT167" s="9" t="n">
        <v>13</v>
      </c>
      <c r="DU167" s="9" t="n">
        <v>4</v>
      </c>
      <c r="DV167" s="11" t="n">
        <f aca="false">(DR167+DS167+DT167+DU167)/4</f>
        <v>10</v>
      </c>
      <c r="DW167" s="9" t="n">
        <v>0</v>
      </c>
      <c r="DX167" s="9" t="n">
        <v>0</v>
      </c>
      <c r="DY167" s="9" t="n">
        <v>0</v>
      </c>
      <c r="DZ167" s="9" t="n">
        <v>0</v>
      </c>
      <c r="EA167" s="11" t="n">
        <f aca="false">(DW167+DX167+DY167+DZ167)/4</f>
        <v>0</v>
      </c>
      <c r="EB167" s="11" t="n">
        <f aca="false">(DW167/DR167)</f>
        <v>0</v>
      </c>
      <c r="EC167" s="11" t="n">
        <f aca="false">(DX167/DS167)</f>
        <v>0</v>
      </c>
      <c r="ED167" s="11" t="n">
        <f aca="false">(DY167/DT167)</f>
        <v>0</v>
      </c>
      <c r="EE167" s="11" t="n">
        <f aca="false">(DZ167/DU167)</f>
        <v>0</v>
      </c>
      <c r="EF167" s="11" t="n">
        <f aca="false">(EA167/DV167)</f>
        <v>0</v>
      </c>
      <c r="EG167" s="11" t="n">
        <f aca="false">(100*EF167)</f>
        <v>0</v>
      </c>
      <c r="EH167" s="9" t="n">
        <v>0</v>
      </c>
      <c r="EI167" s="9" t="n">
        <v>2</v>
      </c>
      <c r="EJ167" s="9" t="n">
        <v>6</v>
      </c>
      <c r="EK167" s="19" t="n">
        <v>8</v>
      </c>
      <c r="EL167" s="9" t="n">
        <v>0</v>
      </c>
      <c r="EM167" s="9" t="n">
        <f aca="false">(EI167+EJ167+EK167+EL167)/4</f>
        <v>4</v>
      </c>
      <c r="EN167" s="9" t="n">
        <f aca="false">(EI167/DR167)</f>
        <v>0.166666666666667</v>
      </c>
      <c r="EO167" s="9" t="n">
        <f aca="false">(EJ167/DS167)</f>
        <v>0.545454545454545</v>
      </c>
      <c r="EP167" s="9" t="n">
        <f aca="false">(EK167/DT167)</f>
        <v>0.615384615384615</v>
      </c>
      <c r="EQ167" s="9" t="n">
        <f aca="false">(EL167/DU167)</f>
        <v>0</v>
      </c>
      <c r="ER167" s="9" t="n">
        <f aca="false">EM167/DV167</f>
        <v>0.4</v>
      </c>
      <c r="ES167" s="9" t="n">
        <f aca="false">(100*ER167)</f>
        <v>40</v>
      </c>
      <c r="ET167" s="9" t="n">
        <v>3</v>
      </c>
      <c r="EU167" s="18" t="n">
        <v>2</v>
      </c>
      <c r="EV167" s="9" t="n">
        <v>0</v>
      </c>
      <c r="EW167" s="9" t="n">
        <v>1</v>
      </c>
      <c r="EX167" s="9" t="n">
        <v>0</v>
      </c>
      <c r="EY167" s="11" t="n">
        <f aca="false">(EU167+EV167+EW167+EX167)/4</f>
        <v>0.75</v>
      </c>
      <c r="EZ167" s="11" t="n">
        <f aca="false">(EU167/DR167)</f>
        <v>0.166666666666667</v>
      </c>
      <c r="FA167" s="11" t="n">
        <f aca="false">(EV167/DS167)</f>
        <v>0</v>
      </c>
      <c r="FB167" s="11" t="n">
        <f aca="false">(EW167/DT167)</f>
        <v>0.0769230769230769</v>
      </c>
      <c r="FC167" s="11" t="n">
        <f aca="false">(EX167/DU167)</f>
        <v>0</v>
      </c>
      <c r="FD167" s="11" t="n">
        <f aca="false">(EY167/DV167)</f>
        <v>0.075</v>
      </c>
      <c r="FE167" s="11" t="n">
        <f aca="false">(100*FD167)</f>
        <v>7.5</v>
      </c>
      <c r="FF167" s="9" t="n">
        <v>1</v>
      </c>
      <c r="FG167" s="9" t="n">
        <v>30</v>
      </c>
      <c r="FH167" s="9" t="n">
        <v>12</v>
      </c>
      <c r="FI167" s="9" t="n">
        <v>12</v>
      </c>
      <c r="FJ167" s="9" t="n">
        <v>8</v>
      </c>
      <c r="FK167" s="11" t="n">
        <f aca="false">(FG167+FH167+FI167+FJ167)/4</f>
        <v>15.5</v>
      </c>
      <c r="FL167" s="11" t="n">
        <f aca="false">(FG167/DR167)</f>
        <v>2.5</v>
      </c>
      <c r="FM167" s="11" t="n">
        <f aca="false">(FH167/DS167)</f>
        <v>1.09090909090909</v>
      </c>
      <c r="FN167" s="11" t="n">
        <f aca="false">(FI167/DT167)</f>
        <v>0.923076923076923</v>
      </c>
      <c r="FO167" s="11" t="n">
        <f aca="false">(FJ167/DU167)</f>
        <v>2</v>
      </c>
      <c r="FP167" s="11" t="n">
        <f aca="false">(FK167/DV167)</f>
        <v>1.55</v>
      </c>
      <c r="FQ167" s="11" t="n">
        <f aca="false">(100*FP167)</f>
        <v>155</v>
      </c>
      <c r="FR167" s="9" t="n">
        <v>3</v>
      </c>
      <c r="FS167" s="9" t="n">
        <v>57.2</v>
      </c>
      <c r="FT167" s="9" t="n">
        <v>60.3</v>
      </c>
      <c r="FU167" s="9" t="n">
        <v>57.5</v>
      </c>
      <c r="FV167" s="9" t="n">
        <v>68.8</v>
      </c>
      <c r="FW167" s="11" t="n">
        <f aca="false">(FS167+FT167+FU167+FV167)/4</f>
        <v>60.95</v>
      </c>
      <c r="FX167" s="9" t="n">
        <v>0</v>
      </c>
      <c r="FY167" s="9" t="n">
        <v>0</v>
      </c>
      <c r="FZ167" s="9" t="n">
        <v>0</v>
      </c>
      <c r="GA167" s="9" t="n">
        <v>0</v>
      </c>
      <c r="GB167" s="11" t="n">
        <f aca="false">(FX167+FY167+FZ167+GA167)/4</f>
        <v>0</v>
      </c>
      <c r="GC167" s="9" t="n">
        <v>0</v>
      </c>
      <c r="GD167" s="9" t="n">
        <v>0</v>
      </c>
      <c r="GE167" s="9" t="n">
        <v>0</v>
      </c>
      <c r="GF167" s="9" t="n">
        <v>0</v>
      </c>
      <c r="GG167" s="11" t="n">
        <f aca="false">(GC167+GD167+GE167+GF167)/4</f>
        <v>0</v>
      </c>
      <c r="GH167" s="9" t="n">
        <v>1</v>
      </c>
      <c r="GI167" s="9" t="n">
        <v>1</v>
      </c>
      <c r="GJ167" s="9" t="n">
        <v>1</v>
      </c>
      <c r="GK167" s="9" t="n">
        <v>1</v>
      </c>
      <c r="GL167" s="11" t="n">
        <f aca="false">(GH167+GI167+GJ167+GK167)/4</f>
        <v>1</v>
      </c>
      <c r="GM167" s="9" t="n">
        <v>57</v>
      </c>
      <c r="GN167" s="9" t="n">
        <v>102</v>
      </c>
      <c r="GO167" s="9" t="n">
        <v>130</v>
      </c>
      <c r="GP167" s="9" t="n">
        <v>77</v>
      </c>
      <c r="GQ167" s="11" t="n">
        <f aca="false">(GM167+GN167+GO167+GP167)/4</f>
        <v>91.5</v>
      </c>
      <c r="GR167" s="9" t="n">
        <v>24</v>
      </c>
      <c r="GS167" s="9" t="n">
        <v>24</v>
      </c>
      <c r="GT167" s="9" t="n">
        <v>20</v>
      </c>
      <c r="GU167" s="9" t="n">
        <v>28</v>
      </c>
      <c r="GV167" s="11" t="n">
        <f aca="false">(GR167+GS167+GT167+GU167)/4</f>
        <v>24</v>
      </c>
      <c r="GW167" s="9" t="n">
        <v>0</v>
      </c>
      <c r="GX167" s="9" t="n">
        <v>0</v>
      </c>
      <c r="GY167" s="9" t="n">
        <v>0</v>
      </c>
      <c r="GZ167" s="9" t="n">
        <v>0</v>
      </c>
      <c r="HA167" s="11" t="n">
        <f aca="false">(GW167+GX167+GY167+GZ167)/4</f>
        <v>0</v>
      </c>
      <c r="HB167" s="9" t="n">
        <f aca="false">(GW167/GR167)</f>
        <v>0</v>
      </c>
      <c r="HC167" s="9" t="n">
        <f aca="false">(GX167/GS167)</f>
        <v>0</v>
      </c>
      <c r="HD167" s="9" t="n">
        <f aca="false">(GY167/GT167)</f>
        <v>0</v>
      </c>
      <c r="HE167" s="9" t="n">
        <f aca="false">(GZ167/GU167)/4</f>
        <v>0</v>
      </c>
      <c r="HF167" s="9" t="n">
        <f aca="false">(HB167+HC167+HD167+HE167)/4</f>
        <v>0</v>
      </c>
      <c r="HG167" s="9" t="n">
        <f aca="false">(100*HF167)</f>
        <v>0</v>
      </c>
      <c r="HH167" s="18" t="n">
        <v>0</v>
      </c>
      <c r="HI167" s="9" t="n">
        <v>0</v>
      </c>
      <c r="HJ167" s="9" t="n">
        <v>0</v>
      </c>
      <c r="HK167" s="9" t="n">
        <v>0</v>
      </c>
      <c r="HL167" s="19" t="n">
        <v>0</v>
      </c>
      <c r="HM167" s="9" t="n">
        <f aca="false">(HI167+HJ167+HK167+HL167)/4</f>
        <v>0</v>
      </c>
      <c r="HN167" s="9" t="n">
        <f aca="false">(HI167/GR167)</f>
        <v>0</v>
      </c>
      <c r="HO167" s="9" t="n">
        <f aca="false">(HJ167/GS167)</f>
        <v>0</v>
      </c>
      <c r="HP167" s="9" t="n">
        <f aca="false">(HK167/GT167)</f>
        <v>0</v>
      </c>
      <c r="HQ167" s="9" t="n">
        <f aca="false">(HL167/GU167)</f>
        <v>0</v>
      </c>
      <c r="HR167" s="9" t="n">
        <f aca="false">(HM167/GV167)</f>
        <v>0</v>
      </c>
      <c r="HS167" s="9" t="n">
        <f aca="false">(100*HR167)</f>
        <v>0</v>
      </c>
      <c r="HT167" s="18" t="n">
        <v>0</v>
      </c>
      <c r="HU167" s="9" t="n">
        <v>5</v>
      </c>
      <c r="HV167" s="9" t="n">
        <v>0</v>
      </c>
      <c r="HW167" s="9" t="n">
        <v>2</v>
      </c>
      <c r="HX167" s="19" t="n">
        <v>1</v>
      </c>
      <c r="HY167" s="9" t="n">
        <f aca="false">(HU167+HV167+HW167+HX167)/4</f>
        <v>2</v>
      </c>
      <c r="HZ167" s="9" t="n">
        <f aca="false">(HU167/GR167)</f>
        <v>0.208333333333333</v>
      </c>
      <c r="IA167" s="9" t="n">
        <f aca="false">HV167/GS167</f>
        <v>0</v>
      </c>
      <c r="IB167" s="9" t="n">
        <f aca="false">(HW167/GT167)</f>
        <v>0.1</v>
      </c>
      <c r="IC167" s="9" t="n">
        <f aca="false">(HX167/GU167)</f>
        <v>0.0357142857142857</v>
      </c>
      <c r="ID167" s="9" t="n">
        <f aca="false">(HY167/GV167)</f>
        <v>0.0833333333333333</v>
      </c>
      <c r="IE167" s="9" t="n">
        <f aca="false">(100*ID167)</f>
        <v>8.33333333333333</v>
      </c>
      <c r="IF167" s="18" t="n">
        <v>1</v>
      </c>
      <c r="IG167" s="9" t="n">
        <v>25</v>
      </c>
      <c r="IH167" s="9" t="n">
        <v>12</v>
      </c>
      <c r="II167" s="19" t="n">
        <v>10</v>
      </c>
      <c r="IJ167" s="9" t="n">
        <v>8</v>
      </c>
      <c r="IK167" s="9" t="n">
        <f aca="false">(IG167+IH167+II167+IJ167)/4</f>
        <v>13.75</v>
      </c>
      <c r="IL167" s="9" t="n">
        <f aca="false">(IG167/GM167)</f>
        <v>0.43859649122807</v>
      </c>
      <c r="IM167" s="9" t="n">
        <f aca="false">(IH167/GN167)</f>
        <v>0.117647058823529</v>
      </c>
      <c r="IN167" s="9" t="n">
        <f aca="false">(II167/GO167)</f>
        <v>0.0769230769230769</v>
      </c>
      <c r="IO167" s="9" t="n">
        <f aca="false">(IJ167/GP167)</f>
        <v>0.103896103896104</v>
      </c>
      <c r="IP167" s="9" t="n">
        <f aca="false">(IK167/GQ167)</f>
        <v>0.150273224043716</v>
      </c>
      <c r="IQ167" s="9" t="n">
        <f aca="false">(100*IP167)</f>
        <v>15.0273224043716</v>
      </c>
      <c r="IR167" s="18" t="n">
        <v>2</v>
      </c>
      <c r="IS167" s="9" t="n">
        <v>68.3</v>
      </c>
      <c r="IT167" s="9" t="n">
        <v>68.7</v>
      </c>
      <c r="IU167" s="19" t="n">
        <v>67.3</v>
      </c>
      <c r="IV167" s="9" t="n">
        <v>66.6</v>
      </c>
      <c r="IW167" s="9" t="n">
        <f aca="false">(IS167+IT167+IU167+IV167)/4</f>
        <v>67.725</v>
      </c>
      <c r="IX167" s="16" t="n">
        <v>45240</v>
      </c>
      <c r="IY167" s="10" t="s">
        <v>268</v>
      </c>
    </row>
    <row r="168" customFormat="false" ht="15.75" hidden="false" customHeight="true" outlineLevel="0" collapsed="false">
      <c r="A168" s="9" t="s">
        <v>259</v>
      </c>
      <c r="B168" s="10" t="s">
        <v>643</v>
      </c>
      <c r="C168" s="10" t="s">
        <v>626</v>
      </c>
      <c r="D168" s="9" t="n">
        <v>4</v>
      </c>
      <c r="E168" s="9" t="n">
        <v>56</v>
      </c>
      <c r="F168" s="10" t="s">
        <v>648</v>
      </c>
      <c r="G168" s="10" t="s">
        <v>275</v>
      </c>
      <c r="H168" s="9" t="n">
        <v>21</v>
      </c>
      <c r="I168" s="9" t="n">
        <v>11</v>
      </c>
      <c r="J168" s="12" t="s">
        <v>270</v>
      </c>
      <c r="K168" s="20"/>
      <c r="L168" s="20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 t="n">
        <v>0</v>
      </c>
      <c r="Y168" s="9" t="n">
        <v>0</v>
      </c>
      <c r="Z168" s="9" t="n">
        <v>0</v>
      </c>
      <c r="AA168" s="9" t="n">
        <v>0</v>
      </c>
      <c r="AB168" s="11" t="n">
        <f aca="false">(X168+Y168+Z168+AA168)/4</f>
        <v>0</v>
      </c>
      <c r="AC168" s="9" t="n">
        <v>1</v>
      </c>
      <c r="AD168" s="9" t="n">
        <v>1</v>
      </c>
      <c r="AE168" s="9" t="n">
        <v>1</v>
      </c>
      <c r="AF168" s="9" t="n">
        <v>1</v>
      </c>
      <c r="AG168" s="11" t="n">
        <f aca="false">(AC168+AD168+AE168+AF168)/4</f>
        <v>1</v>
      </c>
      <c r="AH168" s="9" t="n">
        <v>1</v>
      </c>
      <c r="AI168" s="9" t="n">
        <v>1</v>
      </c>
      <c r="AJ168" s="9" t="n">
        <v>1</v>
      </c>
      <c r="AK168" s="9" t="n">
        <v>1</v>
      </c>
      <c r="AL168" s="11" t="n">
        <f aca="false">(AH168+AI168+AJ168+AK168)/4</f>
        <v>1</v>
      </c>
      <c r="AM168" s="9" t="n">
        <v>42</v>
      </c>
      <c r="AN168" s="9" t="n">
        <v>29</v>
      </c>
      <c r="AO168" s="9" t="n">
        <v>28</v>
      </c>
      <c r="AP168" s="9" t="n">
        <v>24</v>
      </c>
      <c r="AQ168" s="11" t="n">
        <f aca="false">(AM168+AN168+AO168+AP168)/4</f>
        <v>30.75</v>
      </c>
      <c r="AR168" s="9" t="n">
        <v>11</v>
      </c>
      <c r="AS168" s="9" t="n">
        <v>14</v>
      </c>
      <c r="AT168" s="9" t="n">
        <v>8</v>
      </c>
      <c r="AU168" s="9" t="n">
        <v>12</v>
      </c>
      <c r="AV168" s="11" t="n">
        <f aca="false">(AR168+AS168+AT168+AU168)/4</f>
        <v>11.25</v>
      </c>
      <c r="AW168" s="9" t="n">
        <v>0</v>
      </c>
      <c r="AX168" s="9" t="n">
        <v>0</v>
      </c>
      <c r="AY168" s="9" t="n">
        <v>0</v>
      </c>
      <c r="AZ168" s="9" t="n">
        <v>0</v>
      </c>
      <c r="BA168" s="11" t="n">
        <f aca="false">(AW168+AX168+AY168+AZ168)/4</f>
        <v>0</v>
      </c>
      <c r="BB168" s="11" t="n">
        <f aca="false">(AW168/AR168)</f>
        <v>0</v>
      </c>
      <c r="BC168" s="11" t="n">
        <f aca="false">(AX168/AS168)</f>
        <v>0</v>
      </c>
      <c r="BD168" s="11" t="n">
        <f aca="false">(AY168/AT168)</f>
        <v>0</v>
      </c>
      <c r="BE168" s="11" t="n">
        <f aca="false">(AZ168/AU168)</f>
        <v>0</v>
      </c>
      <c r="BF168" s="11" t="n">
        <f aca="false">(BA168/AV168)</f>
        <v>0</v>
      </c>
      <c r="BG168" s="11" t="n">
        <f aca="false">(BF168*100)</f>
        <v>0</v>
      </c>
      <c r="BH168" s="9" t="n">
        <v>0</v>
      </c>
      <c r="BI168" s="9" t="n">
        <v>3</v>
      </c>
      <c r="BJ168" s="9" t="n">
        <v>1</v>
      </c>
      <c r="BK168" s="9" t="n">
        <v>3</v>
      </c>
      <c r="BL168" s="9" t="n">
        <v>3</v>
      </c>
      <c r="BM168" s="11" t="n">
        <f aca="false">(BI168+BJ168+BK168+BL168)/4</f>
        <v>2.5</v>
      </c>
      <c r="BN168" s="11" t="n">
        <f aca="false">(BI168/AR168)</f>
        <v>0.272727272727273</v>
      </c>
      <c r="BO168" s="11" t="n">
        <f aca="false">(BJ168/AS168)</f>
        <v>0.0714285714285714</v>
      </c>
      <c r="BP168" s="11" t="n">
        <f aca="false">(BK168/AT168)</f>
        <v>0.375</v>
      </c>
      <c r="BQ168" s="11" t="n">
        <f aca="false">(BL168/AU168)</f>
        <v>0.25</v>
      </c>
      <c r="BR168" s="11" t="n">
        <f aca="false">(BM168/AV168)</f>
        <v>0.222222222222222</v>
      </c>
      <c r="BS168" s="11" t="n">
        <f aca="false">(100*BR168)</f>
        <v>22.2222222222222</v>
      </c>
      <c r="BT168" s="9" t="n">
        <v>2</v>
      </c>
      <c r="BU168" s="9" t="n">
        <v>1</v>
      </c>
      <c r="BV168" s="9" t="n">
        <v>1</v>
      </c>
      <c r="BW168" s="9" t="n">
        <v>0</v>
      </c>
      <c r="BX168" s="9" t="n">
        <v>1</v>
      </c>
      <c r="BY168" s="11" t="n">
        <f aca="false">(BU168+BV168+BW168+BX168)/4</f>
        <v>0.75</v>
      </c>
      <c r="BZ168" s="11" t="n">
        <f aca="false">(BU168/AR168)</f>
        <v>0.0909090909090909</v>
      </c>
      <c r="CA168" s="11" t="n">
        <f aca="false">(BV168/AS168)</f>
        <v>0.0714285714285714</v>
      </c>
      <c r="CB168" s="11" t="n">
        <f aca="false">(BW168/AT168)</f>
        <v>0</v>
      </c>
      <c r="CC168" s="11" t="n">
        <f aca="false">(BX168/AU168)</f>
        <v>0.0833333333333333</v>
      </c>
      <c r="CD168" s="11" t="n">
        <f aca="false">(BY168/AV168)</f>
        <v>0.0666666666666667</v>
      </c>
      <c r="CE168" s="11" t="n">
        <f aca="false">(100*CD168)</f>
        <v>6.66666666666667</v>
      </c>
      <c r="CF168" s="9" t="n">
        <v>1</v>
      </c>
      <c r="CG168" s="9" t="n">
        <v>2</v>
      </c>
      <c r="CH168" s="9" t="n">
        <v>0</v>
      </c>
      <c r="CI168" s="9" t="n">
        <v>4</v>
      </c>
      <c r="CJ168" s="9" t="n">
        <v>10</v>
      </c>
      <c r="CK168" s="11" t="n">
        <f aca="false">(CG168+CH168+CI168+CJ168)/4</f>
        <v>4</v>
      </c>
      <c r="CL168" s="11" t="n">
        <f aca="false">(CG168/AM168)</f>
        <v>0.0476190476190476</v>
      </c>
      <c r="CM168" s="11" t="n">
        <f aca="false">(CH168/AN168)</f>
        <v>0</v>
      </c>
      <c r="CN168" s="11" t="n">
        <f aca="false">(CI168/AO168)</f>
        <v>0.142857142857143</v>
      </c>
      <c r="CO168" s="9" t="n">
        <f aca="false">(CJ168/AP168)</f>
        <v>0.416666666666667</v>
      </c>
      <c r="CP168" s="9" t="n">
        <f aca="false">(CK168/AQ168)</f>
        <v>0.130081300813008</v>
      </c>
      <c r="CQ168" s="9" t="n">
        <f aca="false">(100*CP168)</f>
        <v>13.0081300813008</v>
      </c>
      <c r="CR168" s="18" t="n">
        <v>2</v>
      </c>
      <c r="CS168" s="9" t="n">
        <v>58.6</v>
      </c>
      <c r="CT168" s="9" t="n">
        <v>60.6</v>
      </c>
      <c r="CU168" s="9" t="n">
        <v>67.4</v>
      </c>
      <c r="CV168" s="9" t="n">
        <v>52.6</v>
      </c>
      <c r="CW168" s="11" t="n">
        <f aca="false">(CS168+CT168+CU168+CV168)/4</f>
        <v>59.8</v>
      </c>
      <c r="CX168" s="9" t="n">
        <v>0</v>
      </c>
      <c r="CY168" s="9" t="n">
        <v>0</v>
      </c>
      <c r="CZ168" s="9" t="n">
        <v>0</v>
      </c>
      <c r="DA168" s="9" t="n">
        <v>0</v>
      </c>
      <c r="DB168" s="11" t="n">
        <f aca="false">(CX168+CY168+CZ168+DA168)/4</f>
        <v>0</v>
      </c>
      <c r="DC168" s="9" t="n">
        <v>1</v>
      </c>
      <c r="DD168" s="9" t="n">
        <v>1</v>
      </c>
      <c r="DE168" s="9" t="n">
        <v>1</v>
      </c>
      <c r="DF168" s="9" t="n">
        <v>1</v>
      </c>
      <c r="DG168" s="11" t="n">
        <f aca="false">(DC168+DD168+DE168+DF168)/4</f>
        <v>1</v>
      </c>
      <c r="DH168" s="9" t="n">
        <v>1</v>
      </c>
      <c r="DI168" s="9" t="n">
        <v>1</v>
      </c>
      <c r="DJ168" s="9" t="n">
        <v>1</v>
      </c>
      <c r="DK168" s="9" t="n">
        <v>1</v>
      </c>
      <c r="DL168" s="11" t="n">
        <f aca="false">(DH168+DI168+DJ168+DK168)/4</f>
        <v>1</v>
      </c>
      <c r="DM168" s="9" t="n">
        <v>84</v>
      </c>
      <c r="DN168" s="9" t="n">
        <v>26</v>
      </c>
      <c r="DO168" s="9" t="n">
        <v>73</v>
      </c>
      <c r="DP168" s="9" t="n">
        <v>81</v>
      </c>
      <c r="DQ168" s="11" t="n">
        <f aca="false">(DM168+DN168+DO168+DP168)/4</f>
        <v>66</v>
      </c>
      <c r="DR168" s="9" t="n">
        <v>21</v>
      </c>
      <c r="DS168" s="9" t="n">
        <v>9</v>
      </c>
      <c r="DT168" s="9" t="n">
        <v>19</v>
      </c>
      <c r="DU168" s="9" t="n">
        <v>21</v>
      </c>
      <c r="DV168" s="11" t="n">
        <f aca="false">(DR168+DS168+DT168+DU168)/4</f>
        <v>17.5</v>
      </c>
      <c r="DW168" s="9" t="n">
        <v>0</v>
      </c>
      <c r="DX168" s="9" t="n">
        <v>0</v>
      </c>
      <c r="DY168" s="9" t="n">
        <v>0</v>
      </c>
      <c r="DZ168" s="9" t="n">
        <v>0</v>
      </c>
      <c r="EA168" s="11" t="n">
        <f aca="false">(DW168+DX168+DY168+DZ168)/4</f>
        <v>0</v>
      </c>
      <c r="EB168" s="11" t="n">
        <f aca="false">(DW168/DR168)</f>
        <v>0</v>
      </c>
      <c r="EC168" s="11" t="n">
        <f aca="false">(DX168/DS168)</f>
        <v>0</v>
      </c>
      <c r="ED168" s="11" t="n">
        <f aca="false">(DY168/DT168)</f>
        <v>0</v>
      </c>
      <c r="EE168" s="11" t="n">
        <f aca="false">(DZ168/DU168)</f>
        <v>0</v>
      </c>
      <c r="EF168" s="11" t="n">
        <f aca="false">(EA168/DV168)</f>
        <v>0</v>
      </c>
      <c r="EG168" s="11" t="n">
        <f aca="false">(100*EF168)</f>
        <v>0</v>
      </c>
      <c r="EH168" s="9" t="n">
        <v>0</v>
      </c>
      <c r="EI168" s="9" t="n">
        <v>6</v>
      </c>
      <c r="EJ168" s="9" t="n">
        <v>3</v>
      </c>
      <c r="EK168" s="19" t="n">
        <v>5</v>
      </c>
      <c r="EL168" s="9" t="n">
        <v>4</v>
      </c>
      <c r="EM168" s="9" t="n">
        <f aca="false">(EI168+EJ168+EK168+EL168)/4</f>
        <v>4.5</v>
      </c>
      <c r="EN168" s="9" t="n">
        <f aca="false">(EI168/DR168)</f>
        <v>0.285714285714286</v>
      </c>
      <c r="EO168" s="9" t="n">
        <f aca="false">(EJ168/DS168)</f>
        <v>0.333333333333333</v>
      </c>
      <c r="EP168" s="9" t="n">
        <f aca="false">(EK168/DT168)</f>
        <v>0.263157894736842</v>
      </c>
      <c r="EQ168" s="9" t="n">
        <f aca="false">(EL168/DU168)</f>
        <v>0.19047619047619</v>
      </c>
      <c r="ER168" s="9" t="n">
        <f aca="false">EM168/DV168</f>
        <v>0.257142857142857</v>
      </c>
      <c r="ES168" s="9" t="n">
        <f aca="false">(100*ER168)</f>
        <v>25.7142857142857</v>
      </c>
      <c r="ET168" s="9" t="n">
        <v>2</v>
      </c>
      <c r="EU168" s="18" t="n">
        <v>0</v>
      </c>
      <c r="EV168" s="9" t="n">
        <v>1</v>
      </c>
      <c r="EW168" s="9" t="n">
        <v>2</v>
      </c>
      <c r="EX168" s="9" t="n">
        <v>0</v>
      </c>
      <c r="EY168" s="11" t="n">
        <f aca="false">(EU168+EV168+EW168+EX168)/4</f>
        <v>0.75</v>
      </c>
      <c r="EZ168" s="11" t="n">
        <f aca="false">(EU168/DR168)</f>
        <v>0</v>
      </c>
      <c r="FA168" s="11" t="n">
        <f aca="false">(EV168/DS168)</f>
        <v>0.111111111111111</v>
      </c>
      <c r="FB168" s="11" t="n">
        <f aca="false">(EW168/DT168)</f>
        <v>0.105263157894737</v>
      </c>
      <c r="FC168" s="11" t="n">
        <f aca="false">(EX168/DU168)</f>
        <v>0</v>
      </c>
      <c r="FD168" s="11" t="n">
        <f aca="false">(EY168/DV168)</f>
        <v>0.0428571428571429</v>
      </c>
      <c r="FE168" s="11" t="n">
        <f aca="false">(100*FD168)</f>
        <v>4.28571428571429</v>
      </c>
      <c r="FF168" s="9" t="n">
        <v>1</v>
      </c>
      <c r="FG168" s="9" t="n">
        <v>10</v>
      </c>
      <c r="FH168" s="9" t="n">
        <v>4</v>
      </c>
      <c r="FI168" s="9" t="n">
        <v>12</v>
      </c>
      <c r="FJ168" s="9" t="n">
        <v>5</v>
      </c>
      <c r="FK168" s="11" t="n">
        <f aca="false">(FG168+FH168+FI168+FJ168)/4</f>
        <v>7.75</v>
      </c>
      <c r="FL168" s="11" t="n">
        <f aca="false">(FG168/DR168)</f>
        <v>0.476190476190476</v>
      </c>
      <c r="FM168" s="11" t="n">
        <f aca="false">(FH168/DS168)</f>
        <v>0.444444444444444</v>
      </c>
      <c r="FN168" s="11" t="n">
        <f aca="false">(FI168/DT168)</f>
        <v>0.631578947368421</v>
      </c>
      <c r="FO168" s="11" t="n">
        <f aca="false">(FJ168/DU168)</f>
        <v>0.238095238095238</v>
      </c>
      <c r="FP168" s="11" t="n">
        <f aca="false">(FK168/DV168)</f>
        <v>0.442857142857143</v>
      </c>
      <c r="FQ168" s="11" t="n">
        <f aca="false">(100*FP168)</f>
        <v>44.2857142857143</v>
      </c>
      <c r="FR168" s="9" t="n">
        <v>3</v>
      </c>
      <c r="FS168" s="9" t="n">
        <v>56.2</v>
      </c>
      <c r="FT168" s="9" t="n">
        <v>65.6</v>
      </c>
      <c r="FU168" s="9" t="n">
        <v>63</v>
      </c>
      <c r="FV168" s="9" t="n">
        <v>61.9</v>
      </c>
      <c r="FW168" s="11" t="n">
        <f aca="false">(FS168+FT168+FU168+FV168)/4</f>
        <v>61.675</v>
      </c>
      <c r="FX168" s="9" t="n">
        <v>0</v>
      </c>
      <c r="FY168" s="9" t="n">
        <v>0</v>
      </c>
      <c r="FZ168" s="9" t="n">
        <v>1</v>
      </c>
      <c r="GA168" s="9" t="n">
        <v>0</v>
      </c>
      <c r="GB168" s="11" t="n">
        <f aca="false">(FX168+FY168+FZ168+GA168)/4</f>
        <v>0.25</v>
      </c>
      <c r="GC168" s="9" t="n">
        <v>1</v>
      </c>
      <c r="GD168" s="9" t="n">
        <v>1</v>
      </c>
      <c r="GE168" s="9" t="n">
        <v>1</v>
      </c>
      <c r="GF168" s="9" t="n">
        <v>1</v>
      </c>
      <c r="GG168" s="11" t="n">
        <f aca="false">(GC168+GD168+GE168+GF168)/4</f>
        <v>1</v>
      </c>
      <c r="GH168" s="9" t="n">
        <v>1</v>
      </c>
      <c r="GI168" s="9" t="n">
        <v>1</v>
      </c>
      <c r="GJ168" s="9" t="n">
        <v>1</v>
      </c>
      <c r="GK168" s="9" t="n">
        <v>1</v>
      </c>
      <c r="GL168" s="11" t="n">
        <f aca="false">(GH168+GI168+GJ168+GK168)/4</f>
        <v>1</v>
      </c>
      <c r="GM168" s="9" t="n">
        <v>28</v>
      </c>
      <c r="GN168" s="9" t="n">
        <v>86</v>
      </c>
      <c r="GO168" s="9" t="n">
        <v>26</v>
      </c>
      <c r="GP168" s="9" t="n">
        <v>43</v>
      </c>
      <c r="GQ168" s="11" t="n">
        <f aca="false">(GM168+GN168+GO168+GP168)/4</f>
        <v>45.75</v>
      </c>
      <c r="GR168" s="9" t="n">
        <v>21</v>
      </c>
      <c r="GS168" s="9" t="n">
        <v>13</v>
      </c>
      <c r="GT168" s="9" t="n">
        <v>15</v>
      </c>
      <c r="GU168" s="9" t="n">
        <v>23</v>
      </c>
      <c r="GV168" s="11" t="n">
        <f aca="false">(GR168+GS168+GT168+GU168)/4</f>
        <v>18</v>
      </c>
      <c r="GW168" s="9" t="n">
        <v>0</v>
      </c>
      <c r="GX168" s="9" t="n">
        <v>0</v>
      </c>
      <c r="GY168" s="9" t="n">
        <v>1</v>
      </c>
      <c r="GZ168" s="9" t="n">
        <v>0</v>
      </c>
      <c r="HA168" s="11" t="n">
        <f aca="false">(GW168+GX168+GY168+GZ168)/4</f>
        <v>0.25</v>
      </c>
      <c r="HB168" s="9" t="n">
        <f aca="false">(GW168/GR168)</f>
        <v>0</v>
      </c>
      <c r="HC168" s="9" t="n">
        <f aca="false">(GX168/GS168)</f>
        <v>0</v>
      </c>
      <c r="HD168" s="9" t="n">
        <f aca="false">(GY168/GT168)</f>
        <v>0.0666666666666667</v>
      </c>
      <c r="HE168" s="9" t="n">
        <f aca="false">(GZ168/GU168)/4</f>
        <v>0</v>
      </c>
      <c r="HF168" s="9" t="n">
        <f aca="false">(HB168+HC168+HD168+HE168)/4</f>
        <v>0.0166666666666667</v>
      </c>
      <c r="HG168" s="9" t="n">
        <f aca="false">(100*HF168)</f>
        <v>1.66666666666667</v>
      </c>
      <c r="HH168" s="18" t="n">
        <v>1</v>
      </c>
      <c r="HI168" s="9" t="n">
        <v>6</v>
      </c>
      <c r="HJ168" s="9" t="n">
        <v>3</v>
      </c>
      <c r="HK168" s="9" t="n">
        <v>2</v>
      </c>
      <c r="HL168" s="19" t="n">
        <v>7</v>
      </c>
      <c r="HM168" s="9" t="n">
        <f aca="false">(HI168+HJ168+HK168+HL168)/4</f>
        <v>4.5</v>
      </c>
      <c r="HN168" s="9" t="n">
        <f aca="false">(HI168/GR168)</f>
        <v>0.285714285714286</v>
      </c>
      <c r="HO168" s="9" t="n">
        <f aca="false">(HJ168/GS168)</f>
        <v>0.230769230769231</v>
      </c>
      <c r="HP168" s="9" t="n">
        <f aca="false">(HK168/GT168)</f>
        <v>0.133333333333333</v>
      </c>
      <c r="HQ168" s="9" t="n">
        <f aca="false">(HL168/GU168)</f>
        <v>0.304347826086957</v>
      </c>
      <c r="HR168" s="9" t="n">
        <f aca="false">(HM168/GV168)</f>
        <v>0.25</v>
      </c>
      <c r="HS168" s="9" t="n">
        <f aca="false">(100*HR168)</f>
        <v>25</v>
      </c>
      <c r="HT168" s="18" t="n">
        <v>2</v>
      </c>
      <c r="HU168" s="9" t="n">
        <v>0</v>
      </c>
      <c r="HV168" s="9" t="n">
        <v>0</v>
      </c>
      <c r="HW168" s="9" t="n">
        <v>0</v>
      </c>
      <c r="HX168" s="19" t="n">
        <v>0</v>
      </c>
      <c r="HY168" s="9" t="n">
        <f aca="false">(HU168+HV168+HW168+HX168)/4</f>
        <v>0</v>
      </c>
      <c r="HZ168" s="9" t="n">
        <f aca="false">(HU168/GR168)</f>
        <v>0</v>
      </c>
      <c r="IA168" s="9" t="n">
        <f aca="false">HV168/GS168</f>
        <v>0</v>
      </c>
      <c r="IB168" s="9" t="n">
        <f aca="false">(HW168/GT168)</f>
        <v>0</v>
      </c>
      <c r="IC168" s="9" t="n">
        <f aca="false">(HX168/GU168)</f>
        <v>0</v>
      </c>
      <c r="ID168" s="9" t="n">
        <f aca="false">(HY168/GV168)</f>
        <v>0</v>
      </c>
      <c r="IE168" s="9" t="n">
        <f aca="false">(100*ID168)</f>
        <v>0</v>
      </c>
      <c r="IF168" s="18" t="n">
        <v>0</v>
      </c>
      <c r="IG168" s="9" t="n">
        <v>6</v>
      </c>
      <c r="IH168" s="9" t="n">
        <v>2</v>
      </c>
      <c r="II168" s="19" t="n">
        <v>4</v>
      </c>
      <c r="IJ168" s="9" t="n">
        <v>8</v>
      </c>
      <c r="IK168" s="9" t="n">
        <f aca="false">(IG168+IH168+II168+IJ168)/4</f>
        <v>5</v>
      </c>
      <c r="IL168" s="9" t="n">
        <f aca="false">(IG168/GM168)</f>
        <v>0.214285714285714</v>
      </c>
      <c r="IM168" s="9" t="n">
        <f aca="false">(IH168/GN168)</f>
        <v>0.0232558139534884</v>
      </c>
      <c r="IN168" s="9" t="n">
        <f aca="false">(II168/GO168)</f>
        <v>0.153846153846154</v>
      </c>
      <c r="IO168" s="9" t="n">
        <f aca="false">(IJ168/GP168)</f>
        <v>0.186046511627907</v>
      </c>
      <c r="IP168" s="9" t="n">
        <f aca="false">(IK168/GQ168)</f>
        <v>0.109289617486339</v>
      </c>
      <c r="IQ168" s="9" t="n">
        <f aca="false">(100*IP168)</f>
        <v>10.9289617486339</v>
      </c>
      <c r="IR168" s="18" t="n">
        <v>2</v>
      </c>
      <c r="IS168" s="9" t="n">
        <v>56.8</v>
      </c>
      <c r="IT168" s="9" t="n">
        <v>65.7</v>
      </c>
      <c r="IU168" s="19" t="n">
        <v>63.9</v>
      </c>
      <c r="IV168" s="9" t="n">
        <v>61.9</v>
      </c>
      <c r="IW168" s="9" t="n">
        <f aca="false">(IS168+IT168+IU168+IV168)/4</f>
        <v>62.075</v>
      </c>
      <c r="IX168" s="16" t="n">
        <v>45240</v>
      </c>
      <c r="IY168" s="10" t="s">
        <v>268</v>
      </c>
    </row>
    <row r="169" customFormat="false" ht="15.75" hidden="false" customHeight="true" outlineLevel="0" collapsed="false">
      <c r="A169" s="9" t="s">
        <v>259</v>
      </c>
      <c r="B169" s="10" t="s">
        <v>643</v>
      </c>
      <c r="C169" s="10" t="s">
        <v>626</v>
      </c>
      <c r="D169" s="9" t="n">
        <v>4</v>
      </c>
      <c r="E169" s="9" t="n">
        <v>56</v>
      </c>
      <c r="F169" s="10" t="s">
        <v>649</v>
      </c>
      <c r="G169" s="10" t="s">
        <v>291</v>
      </c>
      <c r="H169" s="9" t="n">
        <v>21</v>
      </c>
      <c r="I169" s="9" t="n">
        <v>18</v>
      </c>
      <c r="J169" s="10" t="s">
        <v>272</v>
      </c>
      <c r="K169" s="20"/>
      <c r="L169" s="20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 t="n">
        <v>1</v>
      </c>
      <c r="Y169" s="9" t="n">
        <v>1</v>
      </c>
      <c r="Z169" s="9" t="n">
        <v>1</v>
      </c>
      <c r="AA169" s="9" t="n">
        <v>0</v>
      </c>
      <c r="AB169" s="11" t="n">
        <f aca="false">(X169+Y169+Z169+AA169)/4</f>
        <v>0.75</v>
      </c>
      <c r="AC169" s="9" t="n">
        <v>1</v>
      </c>
      <c r="AD169" s="9" t="n">
        <v>1</v>
      </c>
      <c r="AE169" s="9" t="n">
        <v>1</v>
      </c>
      <c r="AF169" s="9" t="n">
        <v>1</v>
      </c>
      <c r="AG169" s="11" t="n">
        <f aca="false">(AC169+AD169+AE169+AF169)/4</f>
        <v>1</v>
      </c>
      <c r="AH169" s="9" t="n">
        <v>0</v>
      </c>
      <c r="AI169" s="9" t="n">
        <v>0</v>
      </c>
      <c r="AJ169" s="9" t="n">
        <v>1</v>
      </c>
      <c r="AK169" s="9" t="n">
        <v>1</v>
      </c>
      <c r="AL169" s="11" t="n">
        <f aca="false">(AH169+AI169+AJ169+AK169)/4</f>
        <v>0.5</v>
      </c>
      <c r="AM169" s="9" t="n">
        <v>84</v>
      </c>
      <c r="AN169" s="9" t="n">
        <v>72</v>
      </c>
      <c r="AO169" s="9" t="n">
        <v>30</v>
      </c>
      <c r="AP169" s="9" t="n">
        <v>12</v>
      </c>
      <c r="AQ169" s="11" t="n">
        <f aca="false">(AM169+AN169+AO169+AP169)/4</f>
        <v>49.5</v>
      </c>
      <c r="AR169" s="9" t="n">
        <v>72</v>
      </c>
      <c r="AS169" s="9" t="n">
        <v>65</v>
      </c>
      <c r="AT169" s="9" t="n">
        <v>30</v>
      </c>
      <c r="AU169" s="9" t="n">
        <v>14</v>
      </c>
      <c r="AV169" s="11" t="n">
        <f aca="false">(AR169+AS169+AT169+AU169)/4</f>
        <v>45.25</v>
      </c>
      <c r="AW169" s="9" t="n">
        <v>2</v>
      </c>
      <c r="AX169" s="9" t="n">
        <v>2</v>
      </c>
      <c r="AY169" s="9" t="n">
        <v>1</v>
      </c>
      <c r="AZ169" s="9" t="n">
        <v>0</v>
      </c>
      <c r="BA169" s="11" t="n">
        <f aca="false">(AW169+AX169+AY169+AZ169)/4</f>
        <v>1.25</v>
      </c>
      <c r="BB169" s="11" t="n">
        <f aca="false">(AW169/AR169)</f>
        <v>0.0277777777777778</v>
      </c>
      <c r="BC169" s="11" t="n">
        <f aca="false">(AX169/AS169)</f>
        <v>0.0307692307692308</v>
      </c>
      <c r="BD169" s="11" t="n">
        <f aca="false">(AY169/AT169)</f>
        <v>0.0333333333333333</v>
      </c>
      <c r="BE169" s="11" t="n">
        <f aca="false">(AZ169/AU169)</f>
        <v>0</v>
      </c>
      <c r="BF169" s="11" t="n">
        <f aca="false">(BA169/AV169)</f>
        <v>0.0276243093922652</v>
      </c>
      <c r="BG169" s="11" t="n">
        <f aca="false">(BF169*100)</f>
        <v>2.76243093922652</v>
      </c>
      <c r="BH169" s="9" t="n">
        <v>1</v>
      </c>
      <c r="BI169" s="9" t="n">
        <v>4</v>
      </c>
      <c r="BJ169" s="9" t="n">
        <v>1</v>
      </c>
      <c r="BK169" s="9" t="n">
        <v>2</v>
      </c>
      <c r="BL169" s="9" t="n">
        <v>3</v>
      </c>
      <c r="BM169" s="11" t="n">
        <f aca="false">(BI169+BJ169+BK169+BL169)/4</f>
        <v>2.5</v>
      </c>
      <c r="BN169" s="11" t="n">
        <f aca="false">(BI169/AR169)</f>
        <v>0.0555555555555556</v>
      </c>
      <c r="BO169" s="11" t="n">
        <f aca="false">(BJ169/AS169)</f>
        <v>0.0153846153846154</v>
      </c>
      <c r="BP169" s="11" t="n">
        <f aca="false">(BK169/AT169)</f>
        <v>0.0666666666666667</v>
      </c>
      <c r="BQ169" s="11" t="n">
        <f aca="false">(BL169/AU169)</f>
        <v>0.214285714285714</v>
      </c>
      <c r="BR169" s="11" t="n">
        <f aca="false">(BM169/AV169)</f>
        <v>0.0552486187845304</v>
      </c>
      <c r="BS169" s="11" t="n">
        <f aca="false">(100*BR169)</f>
        <v>5.52486187845304</v>
      </c>
      <c r="BT169" s="9" t="n">
        <v>1</v>
      </c>
      <c r="BU169" s="9" t="n">
        <v>0</v>
      </c>
      <c r="BV169" s="9" t="n">
        <v>0</v>
      </c>
      <c r="BW169" s="9" t="n">
        <v>0</v>
      </c>
      <c r="BX169" s="9" t="n">
        <v>0</v>
      </c>
      <c r="BY169" s="11" t="n">
        <f aca="false">(BU169+BV169+BW169+BX169)/4</f>
        <v>0</v>
      </c>
      <c r="BZ169" s="11" t="n">
        <f aca="false">(BU169/AR169)</f>
        <v>0</v>
      </c>
      <c r="CA169" s="11" t="n">
        <f aca="false">(BV169/AS169)</f>
        <v>0</v>
      </c>
      <c r="CB169" s="11" t="n">
        <f aca="false">(BW169/AT169)</f>
        <v>0</v>
      </c>
      <c r="CC169" s="11" t="n">
        <f aca="false">(BX169/AU169)</f>
        <v>0</v>
      </c>
      <c r="CD169" s="11" t="n">
        <f aca="false">(BY169/AV169)</f>
        <v>0</v>
      </c>
      <c r="CE169" s="11" t="n">
        <f aca="false">(100*CD169)</f>
        <v>0</v>
      </c>
      <c r="CF169" s="9" t="n">
        <v>0</v>
      </c>
      <c r="CG169" s="9" t="n">
        <v>0</v>
      </c>
      <c r="CH169" s="9" t="n">
        <v>0</v>
      </c>
      <c r="CI169" s="9" t="n">
        <v>2</v>
      </c>
      <c r="CJ169" s="9" t="n">
        <v>7</v>
      </c>
      <c r="CK169" s="11" t="n">
        <f aca="false">(CG169+CH169+CI169+CJ169)/4</f>
        <v>2.25</v>
      </c>
      <c r="CL169" s="11" t="n">
        <f aca="false">(CG169/AM169)</f>
        <v>0</v>
      </c>
      <c r="CM169" s="11" t="n">
        <f aca="false">(CH169/AN169)</f>
        <v>0</v>
      </c>
      <c r="CN169" s="11" t="n">
        <f aca="false">(CI169/AO169)</f>
        <v>0.0666666666666667</v>
      </c>
      <c r="CO169" s="9" t="n">
        <f aca="false">(CJ169/AP169)</f>
        <v>0.583333333333333</v>
      </c>
      <c r="CP169" s="9" t="n">
        <f aca="false">(CK169/AQ169)</f>
        <v>0.0454545454545455</v>
      </c>
      <c r="CQ169" s="9" t="n">
        <f aca="false">(100*CP169)</f>
        <v>4.54545454545455</v>
      </c>
      <c r="CR169" s="18" t="n">
        <v>1</v>
      </c>
      <c r="CS169" s="9" t="n">
        <v>66.9</v>
      </c>
      <c r="CT169" s="9" t="n">
        <v>71.5</v>
      </c>
      <c r="CU169" s="9" t="n">
        <v>64.4</v>
      </c>
      <c r="CV169" s="9" t="n">
        <v>56.5</v>
      </c>
      <c r="CW169" s="11" t="n">
        <f aca="false">(CS169+CT169+CU169+CV169)/4</f>
        <v>64.825</v>
      </c>
      <c r="CX169" s="9" t="n">
        <v>0</v>
      </c>
      <c r="CY169" s="9" t="n">
        <v>0</v>
      </c>
      <c r="CZ169" s="9" t="n">
        <v>0</v>
      </c>
      <c r="DA169" s="9" t="n">
        <v>0</v>
      </c>
      <c r="DB169" s="11" t="n">
        <f aca="false">(CX169+CY169+CZ169+DA169)/4</f>
        <v>0</v>
      </c>
      <c r="DC169" s="9" t="n">
        <v>1</v>
      </c>
      <c r="DD169" s="9" t="n">
        <v>0</v>
      </c>
      <c r="DE169" s="9" t="n">
        <v>1</v>
      </c>
      <c r="DF169" s="9" t="n">
        <v>0</v>
      </c>
      <c r="DG169" s="11" t="n">
        <f aca="false">(DC169+DD169+DE169+DF169)/4</f>
        <v>0.5</v>
      </c>
      <c r="DH169" s="9" t="n">
        <v>1</v>
      </c>
      <c r="DI169" s="9" t="n">
        <v>1</v>
      </c>
      <c r="DJ169" s="9" t="n">
        <v>1</v>
      </c>
      <c r="DK169" s="9" t="n">
        <v>1</v>
      </c>
      <c r="DL169" s="11" t="n">
        <f aca="false">(DH169+DI169+DJ169+DK169)/4</f>
        <v>1</v>
      </c>
      <c r="DM169" s="9" t="n">
        <v>32</v>
      </c>
      <c r="DN169" s="9" t="n">
        <v>19</v>
      </c>
      <c r="DO169" s="9" t="n">
        <v>21</v>
      </c>
      <c r="DP169" s="9" t="n">
        <v>28</v>
      </c>
      <c r="DQ169" s="11" t="n">
        <f aca="false">(DM169+DN169+DO169+DP169)/4</f>
        <v>25</v>
      </c>
      <c r="DR169" s="9" t="n">
        <v>39</v>
      </c>
      <c r="DS169" s="9" t="n">
        <v>28</v>
      </c>
      <c r="DT169" s="9" t="n">
        <v>21</v>
      </c>
      <c r="DU169" s="9" t="n">
        <v>6</v>
      </c>
      <c r="DV169" s="11" t="n">
        <f aca="false">(DR169+DS169+DT169+DU169)/4</f>
        <v>23.5</v>
      </c>
      <c r="DW169" s="9" t="n">
        <v>0</v>
      </c>
      <c r="DX169" s="9" t="n">
        <v>0</v>
      </c>
      <c r="DY169" s="9" t="n">
        <v>0</v>
      </c>
      <c r="DZ169" s="9" t="n">
        <v>0</v>
      </c>
      <c r="EA169" s="11" t="n">
        <f aca="false">(DW169+DX169+DY169+DZ169)/4</f>
        <v>0</v>
      </c>
      <c r="EB169" s="11" t="n">
        <f aca="false">(DW169/DR169)</f>
        <v>0</v>
      </c>
      <c r="EC169" s="11" t="n">
        <f aca="false">(DX169/DS169)</f>
        <v>0</v>
      </c>
      <c r="ED169" s="11" t="n">
        <f aca="false">(DY169/DT169)</f>
        <v>0</v>
      </c>
      <c r="EE169" s="11" t="n">
        <f aca="false">(DZ169/DU169)</f>
        <v>0</v>
      </c>
      <c r="EF169" s="11" t="n">
        <f aca="false">(EA169/DV169)</f>
        <v>0</v>
      </c>
      <c r="EG169" s="11" t="n">
        <f aca="false">(100*EF169)</f>
        <v>0</v>
      </c>
      <c r="EH169" s="9" t="n">
        <v>0</v>
      </c>
      <c r="EI169" s="9" t="n">
        <v>1</v>
      </c>
      <c r="EJ169" s="9" t="n">
        <v>0</v>
      </c>
      <c r="EK169" s="19" t="n">
        <v>4</v>
      </c>
      <c r="EL169" s="9" t="n">
        <v>0</v>
      </c>
      <c r="EM169" s="9" t="n">
        <f aca="false">(EI169+EJ169+EK169+EL169)/4</f>
        <v>1.25</v>
      </c>
      <c r="EN169" s="9" t="n">
        <f aca="false">(EI169/DR169)</f>
        <v>0.0256410256410256</v>
      </c>
      <c r="EO169" s="9" t="n">
        <f aca="false">(EJ169/DS169)</f>
        <v>0</v>
      </c>
      <c r="EP169" s="9" t="n">
        <f aca="false">(EK169/DT169)</f>
        <v>0.19047619047619</v>
      </c>
      <c r="EQ169" s="9" t="n">
        <f aca="false">(EL169/DU169)</f>
        <v>0</v>
      </c>
      <c r="ER169" s="9" t="n">
        <f aca="false">EM169/DV169</f>
        <v>0.0531914893617021</v>
      </c>
      <c r="ES169" s="9" t="n">
        <f aca="false">(100*ER169)</f>
        <v>5.31914893617021</v>
      </c>
      <c r="ET169" s="9" t="n">
        <v>1</v>
      </c>
      <c r="EU169" s="18" t="n">
        <v>0</v>
      </c>
      <c r="EV169" s="9" t="n">
        <v>0</v>
      </c>
      <c r="EW169" s="9" t="n">
        <v>7</v>
      </c>
      <c r="EX169" s="9" t="n">
        <v>0</v>
      </c>
      <c r="EY169" s="11" t="n">
        <f aca="false">(EU169+EV169+EW169+EX169)/4</f>
        <v>1.75</v>
      </c>
      <c r="EZ169" s="11" t="n">
        <f aca="false">(EU169/DR169)</f>
        <v>0</v>
      </c>
      <c r="FA169" s="11" t="n">
        <f aca="false">(EV169/DS169)</f>
        <v>0</v>
      </c>
      <c r="FB169" s="11" t="n">
        <f aca="false">(EW169/DT169)</f>
        <v>0.333333333333333</v>
      </c>
      <c r="FC169" s="11" t="n">
        <f aca="false">(EX169/DU169)</f>
        <v>0</v>
      </c>
      <c r="FD169" s="11" t="n">
        <f aca="false">(EY169/DV169)</f>
        <v>0.074468085106383</v>
      </c>
      <c r="FE169" s="11" t="n">
        <f aca="false">(100*FD169)</f>
        <v>7.4468085106383</v>
      </c>
      <c r="FF169" s="9" t="n">
        <v>1</v>
      </c>
      <c r="FG169" s="9" t="n">
        <v>3</v>
      </c>
      <c r="FH169" s="9" t="n">
        <v>2</v>
      </c>
      <c r="FI169" s="9" t="n">
        <v>6</v>
      </c>
      <c r="FJ169" s="9" t="n">
        <v>6</v>
      </c>
      <c r="FK169" s="11" t="n">
        <f aca="false">(FG169+FH169+FI169+FJ169)/4</f>
        <v>4.25</v>
      </c>
      <c r="FL169" s="11" t="n">
        <f aca="false">(FG169/DR169)</f>
        <v>0.0769230769230769</v>
      </c>
      <c r="FM169" s="11" t="n">
        <f aca="false">(FH169/DS169)</f>
        <v>0.0714285714285714</v>
      </c>
      <c r="FN169" s="11" t="n">
        <f aca="false">(FI169/DT169)</f>
        <v>0.285714285714286</v>
      </c>
      <c r="FO169" s="11" t="n">
        <f aca="false">(FJ169/DU169)</f>
        <v>1</v>
      </c>
      <c r="FP169" s="11" t="n">
        <f aca="false">(FK169/DV169)</f>
        <v>0.180851063829787</v>
      </c>
      <c r="FQ169" s="11" t="n">
        <f aca="false">(100*FP169)</f>
        <v>18.0851063829787</v>
      </c>
      <c r="FR169" s="9" t="n">
        <v>2</v>
      </c>
      <c r="FS169" s="9" t="n">
        <v>62.7</v>
      </c>
      <c r="FT169" s="9" t="n">
        <v>62.29</v>
      </c>
      <c r="FU169" s="9" t="n">
        <v>57.7</v>
      </c>
      <c r="FV169" s="9" t="n">
        <v>64.5</v>
      </c>
      <c r="FW169" s="11" t="n">
        <f aca="false">(FS169+FT169+FU169+FV169)/4</f>
        <v>61.7975</v>
      </c>
      <c r="FX169" s="9" t="n">
        <v>0</v>
      </c>
      <c r="FY169" s="9" t="n">
        <v>0</v>
      </c>
      <c r="FZ169" s="9" t="n">
        <v>0</v>
      </c>
      <c r="GA169" s="9" t="n">
        <v>0</v>
      </c>
      <c r="GB169" s="11" t="n">
        <f aca="false">(FX169+FY169+FZ169+GA169)/4</f>
        <v>0</v>
      </c>
      <c r="GC169" s="9" t="n">
        <v>1</v>
      </c>
      <c r="GD169" s="9" t="n">
        <v>1</v>
      </c>
      <c r="GE169" s="9" t="n">
        <v>1</v>
      </c>
      <c r="GF169" s="9" t="n">
        <v>1</v>
      </c>
      <c r="GG169" s="11" t="n">
        <f aca="false">(GC169+GD169+GE169+GF169)/4</f>
        <v>1</v>
      </c>
      <c r="GH169" s="9" t="n">
        <v>1</v>
      </c>
      <c r="GI169" s="9" t="n">
        <v>1</v>
      </c>
      <c r="GJ169" s="9" t="n">
        <v>0</v>
      </c>
      <c r="GK169" s="9" t="n">
        <v>1</v>
      </c>
      <c r="GL169" s="11" t="n">
        <f aca="false">(GH169+GI169+GJ169+GK169)/4</f>
        <v>0.75</v>
      </c>
      <c r="GM169" s="9" t="n">
        <v>25</v>
      </c>
      <c r="GN169" s="9" t="n">
        <v>152</v>
      </c>
      <c r="GO169" s="9" t="n">
        <v>72</v>
      </c>
      <c r="GP169" s="9" t="n">
        <v>102</v>
      </c>
      <c r="GQ169" s="11" t="n">
        <f aca="false">(GM169+GN169+GO169+GP169)/4</f>
        <v>87.75</v>
      </c>
      <c r="GR169" s="9" t="n">
        <v>5</v>
      </c>
      <c r="GS169" s="9" t="n">
        <v>17</v>
      </c>
      <c r="GT169" s="9" t="n">
        <v>12</v>
      </c>
      <c r="GU169" s="9" t="n">
        <v>20</v>
      </c>
      <c r="GV169" s="11" t="n">
        <f aca="false">(GR169+GS169+GT169+GU169)/4</f>
        <v>13.5</v>
      </c>
      <c r="GW169" s="9" t="n">
        <v>0</v>
      </c>
      <c r="GX169" s="9" t="n">
        <v>0</v>
      </c>
      <c r="GY169" s="9" t="n">
        <v>0</v>
      </c>
      <c r="GZ169" s="9" t="n">
        <v>0</v>
      </c>
      <c r="HA169" s="11" t="n">
        <f aca="false">(GW169+GX169+GY169+GZ169)/4</f>
        <v>0</v>
      </c>
      <c r="HB169" s="9" t="n">
        <f aca="false">(GW169/GR169)</f>
        <v>0</v>
      </c>
      <c r="HC169" s="9" t="n">
        <f aca="false">(GX169/GS169)</f>
        <v>0</v>
      </c>
      <c r="HD169" s="9" t="n">
        <f aca="false">(GY169/GT169)</f>
        <v>0</v>
      </c>
      <c r="HE169" s="9" t="n">
        <f aca="false">(GZ169/GU169)/4</f>
        <v>0</v>
      </c>
      <c r="HF169" s="9" t="n">
        <f aca="false">(HB169+HC169+HD169+HE169)/4</f>
        <v>0</v>
      </c>
      <c r="HG169" s="9" t="n">
        <f aca="false">(100*HF169)</f>
        <v>0</v>
      </c>
      <c r="HH169" s="18" t="n">
        <v>0</v>
      </c>
      <c r="HI169" s="9" t="n">
        <v>3</v>
      </c>
      <c r="HJ169" s="9" t="n">
        <v>12</v>
      </c>
      <c r="HK169" s="9" t="n">
        <v>2</v>
      </c>
      <c r="HL169" s="19" t="n">
        <v>1</v>
      </c>
      <c r="HM169" s="9" t="n">
        <f aca="false">(HI169+HJ169+HK169+HL169)/4</f>
        <v>4.5</v>
      </c>
      <c r="HN169" s="9" t="n">
        <f aca="false">(HI169/GR169)</f>
        <v>0.6</v>
      </c>
      <c r="HO169" s="9" t="n">
        <f aca="false">(HJ169/GS169)</f>
        <v>0.705882352941177</v>
      </c>
      <c r="HP169" s="9" t="n">
        <f aca="false">(HK169/GT169)</f>
        <v>0.166666666666667</v>
      </c>
      <c r="HQ169" s="9" t="n">
        <f aca="false">(HL169/GU169)</f>
        <v>0.05</v>
      </c>
      <c r="HR169" s="9" t="n">
        <f aca="false">(HM169/GV169)</f>
        <v>0.333333333333333</v>
      </c>
      <c r="HS169" s="9" t="n">
        <f aca="false">(100*HR169)</f>
        <v>33.3333333333333</v>
      </c>
      <c r="HT169" s="18" t="n">
        <v>3</v>
      </c>
      <c r="HU169" s="9" t="n">
        <v>0</v>
      </c>
      <c r="HV169" s="9" t="n">
        <v>0</v>
      </c>
      <c r="HW169" s="9" t="n">
        <v>0</v>
      </c>
      <c r="HX169" s="19" t="n">
        <v>0</v>
      </c>
      <c r="HY169" s="9" t="n">
        <f aca="false">(HU169+HV169+HW169+HX169)/4</f>
        <v>0</v>
      </c>
      <c r="HZ169" s="9" t="n">
        <f aca="false">(HU169/GR169)</f>
        <v>0</v>
      </c>
      <c r="IA169" s="9" t="n">
        <f aca="false">HV169/GS169</f>
        <v>0</v>
      </c>
      <c r="IB169" s="9" t="n">
        <f aca="false">(HW169/GT169)</f>
        <v>0</v>
      </c>
      <c r="IC169" s="9" t="n">
        <f aca="false">(HX169/GU169)</f>
        <v>0</v>
      </c>
      <c r="ID169" s="9" t="n">
        <f aca="false">(HY169/GV169)</f>
        <v>0</v>
      </c>
      <c r="IE169" s="9" t="n">
        <f aca="false">(100*ID169)</f>
        <v>0</v>
      </c>
      <c r="IF169" s="18" t="n">
        <v>0</v>
      </c>
      <c r="IG169" s="9" t="n">
        <v>3</v>
      </c>
      <c r="IH169" s="9" t="n">
        <v>3</v>
      </c>
      <c r="II169" s="19" t="n">
        <v>0</v>
      </c>
      <c r="IJ169" s="9" t="n">
        <v>3</v>
      </c>
      <c r="IK169" s="9" t="n">
        <f aca="false">(IG169+IH169+II169+IJ169)/4</f>
        <v>2.25</v>
      </c>
      <c r="IL169" s="9" t="n">
        <f aca="false">(IG169/GM169)</f>
        <v>0.12</v>
      </c>
      <c r="IM169" s="9" t="n">
        <f aca="false">(IH169/GN169)</f>
        <v>0.0197368421052632</v>
      </c>
      <c r="IN169" s="9" t="n">
        <f aca="false">(II169/GO169)</f>
        <v>0</v>
      </c>
      <c r="IO169" s="9" t="n">
        <f aca="false">(IJ169/GP169)</f>
        <v>0.0294117647058824</v>
      </c>
      <c r="IP169" s="9" t="n">
        <f aca="false">(IK169/GQ169)</f>
        <v>0.0256410256410256</v>
      </c>
      <c r="IQ169" s="9" t="n">
        <f aca="false">(100*IP169)</f>
        <v>2.56410256410256</v>
      </c>
      <c r="IR169" s="18" t="n">
        <v>1</v>
      </c>
      <c r="IS169" s="9" t="n">
        <v>60.3</v>
      </c>
      <c r="IT169" s="9" t="n">
        <v>69</v>
      </c>
      <c r="IU169" s="19" t="n">
        <v>56.1</v>
      </c>
      <c r="IV169" s="9" t="n">
        <v>67.2</v>
      </c>
      <c r="IW169" s="9" t="n">
        <f aca="false">(IS169+IT169+IU169+IV169)/4</f>
        <v>63.15</v>
      </c>
      <c r="IX169" s="16" t="n">
        <v>45240</v>
      </c>
      <c r="IY169" s="10" t="s">
        <v>268</v>
      </c>
    </row>
    <row r="170" customFormat="false" ht="15.75" hidden="false" customHeight="true" outlineLevel="0" collapsed="false">
      <c r="A170" s="9" t="s">
        <v>299</v>
      </c>
      <c r="B170" s="10" t="s">
        <v>650</v>
      </c>
      <c r="C170" s="10" t="s">
        <v>626</v>
      </c>
      <c r="D170" s="9" t="n">
        <v>1</v>
      </c>
      <c r="E170" s="9" t="n">
        <v>57</v>
      </c>
      <c r="F170" s="10" t="s">
        <v>651</v>
      </c>
      <c r="G170" s="10" t="s">
        <v>297</v>
      </c>
      <c r="H170" s="9" t="n">
        <v>21</v>
      </c>
      <c r="I170" s="9" t="n">
        <v>3</v>
      </c>
      <c r="J170" s="12" t="s">
        <v>264</v>
      </c>
      <c r="K170" s="13" t="s">
        <v>652</v>
      </c>
      <c r="L170" s="13" t="s">
        <v>653</v>
      </c>
      <c r="M170" s="9" t="n">
        <v>1307</v>
      </c>
      <c r="N170" s="15" t="n">
        <v>45134</v>
      </c>
      <c r="O170" s="10" t="s">
        <v>267</v>
      </c>
      <c r="P170" s="9"/>
      <c r="Q170" s="9" t="n">
        <v>5.28</v>
      </c>
      <c r="R170" s="9" t="n">
        <v>14</v>
      </c>
      <c r="S170" s="9" t="n">
        <v>-10</v>
      </c>
      <c r="T170" s="9" t="n">
        <v>120</v>
      </c>
      <c r="U170" s="9"/>
      <c r="V170" s="9" t="n">
        <v>1.7</v>
      </c>
      <c r="W170" s="9" t="s">
        <v>654</v>
      </c>
      <c r="X170" s="9" t="n">
        <v>0</v>
      </c>
      <c r="Y170" s="9" t="n">
        <v>0</v>
      </c>
      <c r="Z170" s="9" t="n">
        <v>0</v>
      </c>
      <c r="AA170" s="9" t="n">
        <v>0</v>
      </c>
      <c r="AB170" s="11" t="n">
        <f aca="false">(X170+Y170+Z170+AA170)/4</f>
        <v>0</v>
      </c>
      <c r="AC170" s="9" t="n">
        <v>0</v>
      </c>
      <c r="AD170" s="9" t="n">
        <v>1</v>
      </c>
      <c r="AE170" s="9" t="n">
        <v>1</v>
      </c>
      <c r="AF170" s="9" t="n">
        <v>1</v>
      </c>
      <c r="AG170" s="11" t="n">
        <f aca="false">(AC170+AD170+AE170+AF170)/4</f>
        <v>0.75</v>
      </c>
      <c r="AH170" s="9" t="n">
        <v>1</v>
      </c>
      <c r="AI170" s="9" t="n">
        <v>1</v>
      </c>
      <c r="AJ170" s="9" t="n">
        <v>1</v>
      </c>
      <c r="AK170" s="9" t="n">
        <v>1</v>
      </c>
      <c r="AL170" s="11" t="n">
        <f aca="false">(AH170+AI170+AJ170+AK170)/4</f>
        <v>1</v>
      </c>
      <c r="AM170" s="9" t="n">
        <v>27</v>
      </c>
      <c r="AN170" s="9" t="n">
        <v>180</v>
      </c>
      <c r="AO170" s="9" t="n">
        <v>64</v>
      </c>
      <c r="AP170" s="9" t="n">
        <v>72</v>
      </c>
      <c r="AQ170" s="11" t="n">
        <f aca="false">(AM170+AN170+AO170+AP170)/4</f>
        <v>85.75</v>
      </c>
      <c r="AR170" s="9" t="n">
        <v>17</v>
      </c>
      <c r="AS170" s="9" t="n">
        <v>82</v>
      </c>
      <c r="AT170" s="9" t="n">
        <v>22</v>
      </c>
      <c r="AU170" s="9" t="n">
        <v>18</v>
      </c>
      <c r="AV170" s="11" t="n">
        <f aca="false">(AR170+AS170+AT170+AU170)/4</f>
        <v>34.75</v>
      </c>
      <c r="AW170" s="9" t="n">
        <v>0</v>
      </c>
      <c r="AX170" s="9" t="n">
        <v>0</v>
      </c>
      <c r="AY170" s="9" t="n">
        <v>0</v>
      </c>
      <c r="AZ170" s="9" t="n">
        <v>0</v>
      </c>
      <c r="BA170" s="11" t="n">
        <f aca="false">(AW170+AX170+AY170+AZ170)/4</f>
        <v>0</v>
      </c>
      <c r="BB170" s="11" t="n">
        <f aca="false">(AW170/AR170)</f>
        <v>0</v>
      </c>
      <c r="BC170" s="11" t="n">
        <f aca="false">(AX170/AS170)</f>
        <v>0</v>
      </c>
      <c r="BD170" s="11" t="n">
        <f aca="false">(AY170/AT170)</f>
        <v>0</v>
      </c>
      <c r="BE170" s="11" t="n">
        <f aca="false">(AZ170/AU170)</f>
        <v>0</v>
      </c>
      <c r="BF170" s="11" t="n">
        <f aca="false">(BA170/AV170)</f>
        <v>0</v>
      </c>
      <c r="BG170" s="11" t="n">
        <f aca="false">(BF170*100)</f>
        <v>0</v>
      </c>
      <c r="BH170" s="9" t="n">
        <v>0</v>
      </c>
      <c r="BI170" s="9" t="n">
        <v>0</v>
      </c>
      <c r="BJ170" s="9" t="n">
        <v>2</v>
      </c>
      <c r="BK170" s="9" t="n">
        <v>1</v>
      </c>
      <c r="BL170" s="9" t="n">
        <v>2</v>
      </c>
      <c r="BM170" s="11" t="n">
        <f aca="false">(BI170+BJ170+BK170+BL170)/4</f>
        <v>1.25</v>
      </c>
      <c r="BN170" s="11" t="n">
        <f aca="false">(BI170/AR170)</f>
        <v>0</v>
      </c>
      <c r="BO170" s="11" t="n">
        <f aca="false">(BJ170/AS170)</f>
        <v>0.024390243902439</v>
      </c>
      <c r="BP170" s="11" t="n">
        <f aca="false">(BK170/AT170)</f>
        <v>0.0454545454545455</v>
      </c>
      <c r="BQ170" s="11" t="n">
        <f aca="false">(BL170/AU170)</f>
        <v>0.111111111111111</v>
      </c>
      <c r="BR170" s="11" t="n">
        <f aca="false">(BM170/AV170)</f>
        <v>0.0359712230215827</v>
      </c>
      <c r="BS170" s="11" t="n">
        <f aca="false">(100*BR170)</f>
        <v>3.59712230215827</v>
      </c>
      <c r="BT170" s="9" t="n">
        <v>1</v>
      </c>
      <c r="BU170" s="9" t="n">
        <v>7</v>
      </c>
      <c r="BV170" s="9" t="n">
        <v>12</v>
      </c>
      <c r="BW170" s="9" t="n">
        <v>2</v>
      </c>
      <c r="BX170" s="9" t="n">
        <v>4</v>
      </c>
      <c r="BY170" s="11" t="n">
        <f aca="false">(BU170+BV170+BW170+BX170)/4</f>
        <v>6.25</v>
      </c>
      <c r="BZ170" s="11" t="n">
        <f aca="false">(BU170/AR170)</f>
        <v>0.411764705882353</v>
      </c>
      <c r="CA170" s="11" t="n">
        <f aca="false">(BV170/AS170)</f>
        <v>0.146341463414634</v>
      </c>
      <c r="CB170" s="11" t="n">
        <f aca="false">(BW170/AT170)</f>
        <v>0.0909090909090909</v>
      </c>
      <c r="CC170" s="11" t="n">
        <f aca="false">(BX170/AU170)</f>
        <v>0.222222222222222</v>
      </c>
      <c r="CD170" s="11" t="n">
        <f aca="false">(BY170/AV170)</f>
        <v>0.179856115107914</v>
      </c>
      <c r="CE170" s="11" t="n">
        <f aca="false">(100*CD170)</f>
        <v>17.9856115107914</v>
      </c>
      <c r="CF170" s="9" t="n">
        <v>2</v>
      </c>
      <c r="CG170" s="9" t="n">
        <v>8</v>
      </c>
      <c r="CH170" s="9" t="n">
        <v>14</v>
      </c>
      <c r="CI170" s="9" t="n">
        <v>14</v>
      </c>
      <c r="CJ170" s="9" t="n">
        <v>12</v>
      </c>
      <c r="CK170" s="11" t="n">
        <f aca="false">(CG170+CH170+CI170+CJ170)/4</f>
        <v>12</v>
      </c>
      <c r="CL170" s="11" t="n">
        <f aca="false">(CG170/AM170)</f>
        <v>0.296296296296296</v>
      </c>
      <c r="CM170" s="11" t="n">
        <f aca="false">(CH170/AN170)</f>
        <v>0.0777777777777778</v>
      </c>
      <c r="CN170" s="11" t="n">
        <f aca="false">(CI170/AO170)</f>
        <v>0.21875</v>
      </c>
      <c r="CO170" s="9" t="n">
        <f aca="false">(CJ170/AP170)</f>
        <v>0.166666666666667</v>
      </c>
      <c r="CP170" s="9" t="n">
        <f aca="false">(CK170/AQ170)</f>
        <v>0.139941690962099</v>
      </c>
      <c r="CQ170" s="9" t="n">
        <f aca="false">(100*CP170)</f>
        <v>13.9941690962099</v>
      </c>
      <c r="CR170" s="18" t="n">
        <v>2</v>
      </c>
      <c r="CS170" s="9" t="n">
        <v>74.8</v>
      </c>
      <c r="CT170" s="9" t="n">
        <v>74.3</v>
      </c>
      <c r="CU170" s="9" t="n">
        <v>76.3</v>
      </c>
      <c r="CV170" s="9" t="n">
        <v>76.2</v>
      </c>
      <c r="CW170" s="11" t="n">
        <f aca="false">(CS170+CT170+CU170+CV170)/4</f>
        <v>75.4</v>
      </c>
      <c r="CX170" s="9" t="n">
        <v>0</v>
      </c>
      <c r="CY170" s="9" t="n">
        <v>0</v>
      </c>
      <c r="CZ170" s="9" t="n">
        <v>0</v>
      </c>
      <c r="DA170" s="9" t="n">
        <v>0</v>
      </c>
      <c r="DB170" s="11" t="n">
        <f aca="false">(CX170+CY170+CZ170+DA170)/4</f>
        <v>0</v>
      </c>
      <c r="DC170" s="9" t="n">
        <v>0</v>
      </c>
      <c r="DD170" s="9" t="n">
        <v>1</v>
      </c>
      <c r="DE170" s="9" t="n">
        <v>1</v>
      </c>
      <c r="DF170" s="9" t="n">
        <v>0</v>
      </c>
      <c r="DG170" s="11" t="n">
        <f aca="false">(DC170+DD170+DE170+DF170)/4</f>
        <v>0.5</v>
      </c>
      <c r="DH170" s="9" t="n">
        <v>1</v>
      </c>
      <c r="DI170" s="9" t="n">
        <v>1</v>
      </c>
      <c r="DJ170" s="9" t="n">
        <v>1</v>
      </c>
      <c r="DK170" s="9" t="n">
        <v>1</v>
      </c>
      <c r="DL170" s="11" t="n">
        <f aca="false">(DH170+DI170+DJ170+DK170)/4</f>
        <v>1</v>
      </c>
      <c r="DM170" s="9" t="n">
        <v>109</v>
      </c>
      <c r="DN170" s="9" t="n">
        <v>75</v>
      </c>
      <c r="DO170" s="9" t="n">
        <v>132</v>
      </c>
      <c r="DP170" s="9" t="n">
        <v>56</v>
      </c>
      <c r="DQ170" s="11" t="n">
        <f aca="false">(DM170+DN170+DO170+DP170)/4</f>
        <v>93</v>
      </c>
      <c r="DR170" s="9" t="n">
        <v>18</v>
      </c>
      <c r="DS170" s="9" t="n">
        <v>20</v>
      </c>
      <c r="DT170" s="9" t="n">
        <v>38</v>
      </c>
      <c r="DU170" s="9" t="n">
        <v>24</v>
      </c>
      <c r="DV170" s="11" t="n">
        <f aca="false">(DR170+DS170+DT170+DU170)/4</f>
        <v>25</v>
      </c>
      <c r="DW170" s="9" t="n">
        <v>0</v>
      </c>
      <c r="DX170" s="9" t="n">
        <v>0</v>
      </c>
      <c r="DY170" s="9" t="n">
        <v>0</v>
      </c>
      <c r="DZ170" s="9" t="n">
        <v>0</v>
      </c>
      <c r="EA170" s="11" t="n">
        <f aca="false">(DW170+DX170+DY170+DZ170)/4</f>
        <v>0</v>
      </c>
      <c r="EB170" s="11" t="n">
        <f aca="false">(DW170/DR170)</f>
        <v>0</v>
      </c>
      <c r="EC170" s="11" t="n">
        <f aca="false">(DX170/DS170)</f>
        <v>0</v>
      </c>
      <c r="ED170" s="11" t="n">
        <f aca="false">(DY170/DT170)</f>
        <v>0</v>
      </c>
      <c r="EE170" s="11" t="n">
        <f aca="false">(DZ170/DU170)</f>
        <v>0</v>
      </c>
      <c r="EF170" s="11" t="n">
        <f aca="false">(EA170/DV170)</f>
        <v>0</v>
      </c>
      <c r="EG170" s="11" t="n">
        <f aca="false">(100*EF170)</f>
        <v>0</v>
      </c>
      <c r="EH170" s="9" t="n">
        <v>0</v>
      </c>
      <c r="EI170" s="9" t="n">
        <v>0</v>
      </c>
      <c r="EJ170" s="9" t="n">
        <v>5</v>
      </c>
      <c r="EK170" s="19" t="n">
        <v>1</v>
      </c>
      <c r="EL170" s="9" t="n">
        <v>0</v>
      </c>
      <c r="EM170" s="9" t="n">
        <f aca="false">(EI170+EJ170+EK170+EL170)/4</f>
        <v>1.5</v>
      </c>
      <c r="EN170" s="9" t="n">
        <f aca="false">(EI170/DR170)</f>
        <v>0</v>
      </c>
      <c r="EO170" s="9" t="n">
        <f aca="false">(EJ170/DS170)</f>
        <v>0.25</v>
      </c>
      <c r="EP170" s="9" t="n">
        <f aca="false">(EK170/DT170)</f>
        <v>0.0263157894736842</v>
      </c>
      <c r="EQ170" s="9" t="n">
        <f aca="false">(EL170/DU170)</f>
        <v>0</v>
      </c>
      <c r="ER170" s="9" t="n">
        <f aca="false">EM170/DV170</f>
        <v>0.06</v>
      </c>
      <c r="ES170" s="9" t="n">
        <f aca="false">(100*ER170)</f>
        <v>6</v>
      </c>
      <c r="ET170" s="9" t="n">
        <v>1</v>
      </c>
      <c r="EU170" s="18" t="n">
        <v>6</v>
      </c>
      <c r="EV170" s="9" t="n">
        <v>0</v>
      </c>
      <c r="EW170" s="9" t="n">
        <v>8</v>
      </c>
      <c r="EX170" s="9" t="n">
        <v>6</v>
      </c>
      <c r="EY170" s="11" t="n">
        <f aca="false">(EU170+EV170+EW170+EX170)/4</f>
        <v>5</v>
      </c>
      <c r="EZ170" s="11" t="n">
        <f aca="false">(EU170/DR170)</f>
        <v>0.333333333333333</v>
      </c>
      <c r="FA170" s="11" t="n">
        <f aca="false">(EV170/DS170)</f>
        <v>0</v>
      </c>
      <c r="FB170" s="11" t="n">
        <f aca="false">(EW170/DT170)</f>
        <v>0.210526315789474</v>
      </c>
      <c r="FC170" s="11" t="n">
        <f aca="false">(EX170/DU170)</f>
        <v>0.25</v>
      </c>
      <c r="FD170" s="11" t="n">
        <f aca="false">(EY170/DV170)</f>
        <v>0.2</v>
      </c>
      <c r="FE170" s="11" t="n">
        <f aca="false">(100*FD170)</f>
        <v>20</v>
      </c>
      <c r="FF170" s="9" t="n">
        <v>2</v>
      </c>
      <c r="FG170" s="9" t="n">
        <v>2</v>
      </c>
      <c r="FH170" s="9" t="n">
        <v>4</v>
      </c>
      <c r="FI170" s="9" t="n">
        <v>9</v>
      </c>
      <c r="FJ170" s="9" t="n">
        <v>20</v>
      </c>
      <c r="FK170" s="11" t="n">
        <f aca="false">(FG170+FH170+FI170+FJ170)/4</f>
        <v>8.75</v>
      </c>
      <c r="FL170" s="11" t="n">
        <f aca="false">(FG170/DR170)</f>
        <v>0.111111111111111</v>
      </c>
      <c r="FM170" s="11" t="n">
        <f aca="false">(FH170/DS170)</f>
        <v>0.2</v>
      </c>
      <c r="FN170" s="11" t="n">
        <f aca="false">(FI170/DT170)</f>
        <v>0.236842105263158</v>
      </c>
      <c r="FO170" s="11" t="n">
        <f aca="false">(FJ170/DU170)</f>
        <v>0.833333333333333</v>
      </c>
      <c r="FP170" s="11" t="n">
        <f aca="false">(FK170/DV170)</f>
        <v>0.35</v>
      </c>
      <c r="FQ170" s="11" t="n">
        <f aca="false">(100*FP170)</f>
        <v>35</v>
      </c>
      <c r="FR170" s="9" t="n">
        <v>3</v>
      </c>
      <c r="FS170" s="9" t="n">
        <v>65</v>
      </c>
      <c r="FT170" s="9" t="n">
        <v>78</v>
      </c>
      <c r="FU170" s="9" t="n">
        <v>61</v>
      </c>
      <c r="FV170" s="9" t="n">
        <v>60.5</v>
      </c>
      <c r="FW170" s="11" t="n">
        <f aca="false">(FS170+FT170+FU170+FV170)/4</f>
        <v>66.125</v>
      </c>
      <c r="FX170" s="9" t="n">
        <v>0</v>
      </c>
      <c r="FY170" s="9" t="n">
        <v>0</v>
      </c>
      <c r="FZ170" s="9" t="n">
        <v>0</v>
      </c>
      <c r="GA170" s="9" t="n">
        <v>0</v>
      </c>
      <c r="GB170" s="11" t="n">
        <f aca="false">(FX170+FY170+FZ170+GA170)/4</f>
        <v>0</v>
      </c>
      <c r="GC170" s="9" t="n">
        <v>0</v>
      </c>
      <c r="GD170" s="9" t="n">
        <v>0</v>
      </c>
      <c r="GE170" s="9" t="n">
        <v>1</v>
      </c>
      <c r="GF170" s="9" t="n">
        <v>1</v>
      </c>
      <c r="GG170" s="11" t="n">
        <f aca="false">(GC170+GD170+GE170+GF170)/4</f>
        <v>0.5</v>
      </c>
      <c r="GH170" s="9" t="n">
        <v>1</v>
      </c>
      <c r="GI170" s="9" t="n">
        <v>1</v>
      </c>
      <c r="GJ170" s="9" t="n">
        <v>1</v>
      </c>
      <c r="GK170" s="9" t="n">
        <v>1</v>
      </c>
      <c r="GL170" s="11" t="n">
        <f aca="false">(GH170+GI170+GJ170+GK170)/4</f>
        <v>1</v>
      </c>
      <c r="GM170" s="9" t="n">
        <v>38</v>
      </c>
      <c r="GN170" s="9" t="n">
        <v>70</v>
      </c>
      <c r="GO170" s="9" t="n">
        <v>142</v>
      </c>
      <c r="GP170" s="9" t="n">
        <v>162</v>
      </c>
      <c r="GQ170" s="11" t="n">
        <f aca="false">(GM170+GN170+GO170+GP170)/4</f>
        <v>103</v>
      </c>
      <c r="GR170" s="9" t="n">
        <v>11</v>
      </c>
      <c r="GS170" s="9" t="n">
        <v>12</v>
      </c>
      <c r="GT170" s="9" t="n">
        <v>54</v>
      </c>
      <c r="GU170" s="9" t="n">
        <v>10</v>
      </c>
      <c r="GV170" s="11" t="n">
        <f aca="false">(GR170+GS170+GT170+GU170)/4</f>
        <v>21.75</v>
      </c>
      <c r="GW170" s="9" t="n">
        <v>0</v>
      </c>
      <c r="GX170" s="9" t="n">
        <v>0</v>
      </c>
      <c r="GY170" s="9" t="n">
        <v>0</v>
      </c>
      <c r="GZ170" s="9" t="n">
        <v>0</v>
      </c>
      <c r="HA170" s="11" t="n">
        <f aca="false">(GW170+GX170+GY170+GZ170)/4</f>
        <v>0</v>
      </c>
      <c r="HB170" s="9" t="n">
        <f aca="false">(GW170/GR170)</f>
        <v>0</v>
      </c>
      <c r="HC170" s="9" t="n">
        <f aca="false">(GX170/GS170)</f>
        <v>0</v>
      </c>
      <c r="HD170" s="9" t="n">
        <f aca="false">(GY170/GT170)</f>
        <v>0</v>
      </c>
      <c r="HE170" s="9" t="n">
        <f aca="false">(GZ170/GU170)/4</f>
        <v>0</v>
      </c>
      <c r="HF170" s="9" t="n">
        <f aca="false">(HB170+HC170+HD170+HE170)/4</f>
        <v>0</v>
      </c>
      <c r="HG170" s="9" t="n">
        <f aca="false">(100*HF170)</f>
        <v>0</v>
      </c>
      <c r="HH170" s="18" t="n">
        <v>0</v>
      </c>
      <c r="HI170" s="9" t="n">
        <v>0</v>
      </c>
      <c r="HJ170" s="9" t="n">
        <v>0</v>
      </c>
      <c r="HK170" s="9" t="n">
        <v>1</v>
      </c>
      <c r="HL170" s="19" t="n">
        <v>1</v>
      </c>
      <c r="HM170" s="9" t="n">
        <f aca="false">(HI170+HJ170+HK170+HL170)/4</f>
        <v>0.5</v>
      </c>
      <c r="HN170" s="9" t="n">
        <f aca="false">(HI170/GR170)</f>
        <v>0</v>
      </c>
      <c r="HO170" s="9" t="n">
        <f aca="false">(HJ170/GS170)</f>
        <v>0</v>
      </c>
      <c r="HP170" s="9" t="n">
        <f aca="false">(HK170/GT170)</f>
        <v>0.0185185185185185</v>
      </c>
      <c r="HQ170" s="9" t="n">
        <f aca="false">(HL170/GU170)</f>
        <v>0.1</v>
      </c>
      <c r="HR170" s="9" t="n">
        <f aca="false">(HM170/GV170)</f>
        <v>0.0229885057471264</v>
      </c>
      <c r="HS170" s="9" t="n">
        <f aca="false">(100*HR170)</f>
        <v>2.29885057471264</v>
      </c>
      <c r="HT170" s="18" t="n">
        <v>1</v>
      </c>
      <c r="HU170" s="9" t="n">
        <v>11</v>
      </c>
      <c r="HV170" s="9" t="n">
        <v>3</v>
      </c>
      <c r="HW170" s="9" t="n">
        <v>9</v>
      </c>
      <c r="HX170" s="19" t="n">
        <v>4</v>
      </c>
      <c r="HY170" s="9" t="n">
        <f aca="false">(HU170+HV170+HW170+HX170)/4</f>
        <v>6.75</v>
      </c>
      <c r="HZ170" s="9" t="n">
        <f aca="false">(HU170/GR170)</f>
        <v>1</v>
      </c>
      <c r="IA170" s="9" t="n">
        <f aca="false">HV170/GS170</f>
        <v>0.25</v>
      </c>
      <c r="IB170" s="9" t="n">
        <f aca="false">(HW170/GT170)</f>
        <v>0.166666666666667</v>
      </c>
      <c r="IC170" s="9" t="n">
        <f aca="false">(HX170/GU170)</f>
        <v>0.4</v>
      </c>
      <c r="ID170" s="9" t="n">
        <f aca="false">(HY170/GV170)</f>
        <v>0.310344827586207</v>
      </c>
      <c r="IE170" s="9" t="n">
        <f aca="false">(100*ID170)</f>
        <v>31.0344827586207</v>
      </c>
      <c r="IF170" s="18" t="n">
        <v>3</v>
      </c>
      <c r="IG170" s="9" t="n">
        <v>2</v>
      </c>
      <c r="IH170" s="9" t="n">
        <v>7</v>
      </c>
      <c r="II170" s="19" t="n">
        <v>3</v>
      </c>
      <c r="IJ170" s="9" t="n">
        <v>9</v>
      </c>
      <c r="IK170" s="9" t="n">
        <f aca="false">(IG170+IH170+II170+IJ170)/4</f>
        <v>5.25</v>
      </c>
      <c r="IL170" s="9" t="n">
        <f aca="false">(IG170/GM170)</f>
        <v>0.0526315789473684</v>
      </c>
      <c r="IM170" s="9" t="n">
        <f aca="false">(IH170/GN170)</f>
        <v>0.1</v>
      </c>
      <c r="IN170" s="9" t="n">
        <f aca="false">(II170/GO170)</f>
        <v>0.0211267605633803</v>
      </c>
      <c r="IO170" s="9" t="n">
        <f aca="false">(IJ170/GP170)</f>
        <v>0.0555555555555556</v>
      </c>
      <c r="IP170" s="9" t="n">
        <f aca="false">(IK170/GQ170)</f>
        <v>0.0509708737864078</v>
      </c>
      <c r="IQ170" s="9" t="n">
        <f aca="false">(100*IP170)</f>
        <v>5.09708737864078</v>
      </c>
      <c r="IR170" s="18" t="n">
        <v>1</v>
      </c>
      <c r="IS170" s="9" t="n">
        <v>56.6</v>
      </c>
      <c r="IT170" s="9" t="n">
        <v>63.8</v>
      </c>
      <c r="IU170" s="19" t="n">
        <v>63.6</v>
      </c>
      <c r="IV170" s="9" t="n">
        <v>65.7</v>
      </c>
      <c r="IW170" s="9" t="n">
        <f aca="false">(IS170+IT170+IU170+IV170)/4</f>
        <v>62.425</v>
      </c>
      <c r="IX170" s="16" t="n">
        <v>45209</v>
      </c>
      <c r="IY170" s="10" t="s">
        <v>268</v>
      </c>
    </row>
    <row r="171" customFormat="false" ht="15.75" hidden="false" customHeight="true" outlineLevel="0" collapsed="false">
      <c r="A171" s="9" t="s">
        <v>299</v>
      </c>
      <c r="B171" s="10" t="s">
        <v>650</v>
      </c>
      <c r="C171" s="10" t="s">
        <v>626</v>
      </c>
      <c r="D171" s="9" t="n">
        <v>1</v>
      </c>
      <c r="E171" s="9" t="n">
        <v>57</v>
      </c>
      <c r="F171" s="10" t="s">
        <v>655</v>
      </c>
      <c r="G171" s="10" t="s">
        <v>291</v>
      </c>
      <c r="H171" s="9" t="n">
        <v>21</v>
      </c>
      <c r="I171" s="9" t="n">
        <v>7</v>
      </c>
      <c r="J171" s="12" t="s">
        <v>270</v>
      </c>
      <c r="K171" s="20"/>
      <c r="L171" s="20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 t="n">
        <v>0</v>
      </c>
      <c r="Y171" s="9" t="n">
        <v>0</v>
      </c>
      <c r="Z171" s="9" t="n">
        <v>0</v>
      </c>
      <c r="AA171" s="9" t="n">
        <v>0</v>
      </c>
      <c r="AB171" s="11" t="n">
        <f aca="false">(X171+Y171+Z171+AA171)/4</f>
        <v>0</v>
      </c>
      <c r="AC171" s="9" t="n">
        <v>1</v>
      </c>
      <c r="AD171" s="9" t="n">
        <v>1</v>
      </c>
      <c r="AE171" s="9" t="n">
        <v>1</v>
      </c>
      <c r="AF171" s="9" t="n">
        <v>1</v>
      </c>
      <c r="AG171" s="11" t="n">
        <f aca="false">(AC171+AD171+AE171+AF171)/4</f>
        <v>1</v>
      </c>
      <c r="AH171" s="9" t="n">
        <v>1</v>
      </c>
      <c r="AI171" s="9" t="n">
        <v>1</v>
      </c>
      <c r="AJ171" s="9" t="n">
        <v>1</v>
      </c>
      <c r="AK171" s="9" t="n">
        <v>1</v>
      </c>
      <c r="AL171" s="11" t="n">
        <f aca="false">(AH171+AI171+AJ171+AK171)/4</f>
        <v>1</v>
      </c>
      <c r="AM171" s="9" t="n">
        <v>16</v>
      </c>
      <c r="AN171" s="9" t="n">
        <v>136</v>
      </c>
      <c r="AO171" s="9" t="n">
        <v>34</v>
      </c>
      <c r="AP171" s="9" t="n">
        <v>79</v>
      </c>
      <c r="AQ171" s="11" t="n">
        <f aca="false">(AM171+AN171+AO171+AP171)/4</f>
        <v>66.25</v>
      </c>
      <c r="AR171" s="9" t="n">
        <v>6</v>
      </c>
      <c r="AS171" s="9" t="n">
        <v>21</v>
      </c>
      <c r="AT171" s="9" t="n">
        <v>27</v>
      </c>
      <c r="AU171" s="9" t="n">
        <v>30</v>
      </c>
      <c r="AV171" s="11" t="n">
        <f aca="false">(AR171+AS171+AT171+AU171)/4</f>
        <v>21</v>
      </c>
      <c r="AW171" s="9" t="n">
        <v>0</v>
      </c>
      <c r="AX171" s="9" t="n">
        <v>0</v>
      </c>
      <c r="AY171" s="9" t="n">
        <v>0</v>
      </c>
      <c r="AZ171" s="9" t="n">
        <v>0</v>
      </c>
      <c r="BA171" s="11" t="n">
        <f aca="false">(AW171+AX171+AY171+AZ171)/4</f>
        <v>0</v>
      </c>
      <c r="BB171" s="11" t="n">
        <f aca="false">(AW171/AR171)</f>
        <v>0</v>
      </c>
      <c r="BC171" s="11" t="n">
        <f aca="false">(AX171/AS171)</f>
        <v>0</v>
      </c>
      <c r="BD171" s="11" t="n">
        <f aca="false">(AY171/AT171)</f>
        <v>0</v>
      </c>
      <c r="BE171" s="11" t="n">
        <f aca="false">(AZ171/AU171)</f>
        <v>0</v>
      </c>
      <c r="BF171" s="11" t="n">
        <f aca="false">(BA171/AV171)</f>
        <v>0</v>
      </c>
      <c r="BG171" s="11" t="n">
        <f aca="false">(BF171*100)</f>
        <v>0</v>
      </c>
      <c r="BH171" s="9" t="n">
        <v>0</v>
      </c>
      <c r="BI171" s="9" t="n">
        <v>5</v>
      </c>
      <c r="BJ171" s="9" t="n">
        <v>6</v>
      </c>
      <c r="BK171" s="9" t="n">
        <v>11</v>
      </c>
      <c r="BL171" s="9" t="n">
        <v>8</v>
      </c>
      <c r="BM171" s="11" t="n">
        <f aca="false">(BI171+BJ171+BK171+BL171)/4</f>
        <v>7.5</v>
      </c>
      <c r="BN171" s="11" t="n">
        <f aca="false">(BI171/AR171)</f>
        <v>0.833333333333333</v>
      </c>
      <c r="BO171" s="11" t="n">
        <f aca="false">(BJ171/AS171)</f>
        <v>0.285714285714286</v>
      </c>
      <c r="BP171" s="11" t="n">
        <f aca="false">(BK171/AT171)</f>
        <v>0.407407407407407</v>
      </c>
      <c r="BQ171" s="11" t="n">
        <f aca="false">(BL171/AU171)</f>
        <v>0.266666666666667</v>
      </c>
      <c r="BR171" s="11" t="n">
        <f aca="false">(BM171/AV171)</f>
        <v>0.357142857142857</v>
      </c>
      <c r="BS171" s="11" t="n">
        <f aca="false">(100*BR171)</f>
        <v>35.7142857142857</v>
      </c>
      <c r="BT171" s="9" t="n">
        <v>3</v>
      </c>
      <c r="BU171" s="9" t="n">
        <v>0</v>
      </c>
      <c r="BV171" s="9" t="n">
        <v>0</v>
      </c>
      <c r="BW171" s="9" t="n">
        <v>0</v>
      </c>
      <c r="BX171" s="9" t="n">
        <v>0</v>
      </c>
      <c r="BY171" s="11" t="n">
        <f aca="false">(BU171+BV171+BW171+BX171)/4</f>
        <v>0</v>
      </c>
      <c r="BZ171" s="11" t="n">
        <f aca="false">(BU171/AR171)</f>
        <v>0</v>
      </c>
      <c r="CA171" s="11" t="n">
        <f aca="false">(BV171/AS171)</f>
        <v>0</v>
      </c>
      <c r="CB171" s="11" t="n">
        <f aca="false">(BW171/AT171)</f>
        <v>0</v>
      </c>
      <c r="CC171" s="11" t="n">
        <f aca="false">(BX171/AU171)</f>
        <v>0</v>
      </c>
      <c r="CD171" s="11" t="n">
        <f aca="false">(BY171/AV171)</f>
        <v>0</v>
      </c>
      <c r="CE171" s="11" t="n">
        <f aca="false">(100*CD171)</f>
        <v>0</v>
      </c>
      <c r="CF171" s="9" t="n">
        <v>0</v>
      </c>
      <c r="CG171" s="9" t="n">
        <v>11</v>
      </c>
      <c r="CH171" s="9" t="n">
        <v>21</v>
      </c>
      <c r="CI171" s="9" t="n">
        <v>11</v>
      </c>
      <c r="CJ171" s="9" t="n">
        <v>32</v>
      </c>
      <c r="CK171" s="11" t="n">
        <f aca="false">(CG171+CH171+CI171+CJ171)/4</f>
        <v>18.75</v>
      </c>
      <c r="CL171" s="11" t="n">
        <f aca="false">(CG171/AM171)</f>
        <v>0.6875</v>
      </c>
      <c r="CM171" s="11" t="n">
        <f aca="false">(CH171/AN171)</f>
        <v>0.154411764705882</v>
      </c>
      <c r="CN171" s="11" t="n">
        <f aca="false">(CI171/AO171)</f>
        <v>0.323529411764706</v>
      </c>
      <c r="CO171" s="9" t="n">
        <f aca="false">(CJ171/AP171)</f>
        <v>0.405063291139241</v>
      </c>
      <c r="CP171" s="9" t="n">
        <f aca="false">(CK171/AQ171)</f>
        <v>0.283018867924528</v>
      </c>
      <c r="CQ171" s="9" t="n">
        <f aca="false">(100*CP171)</f>
        <v>28.3018867924528</v>
      </c>
      <c r="CR171" s="18" t="n">
        <v>2</v>
      </c>
      <c r="CS171" s="9" t="n">
        <v>64.4</v>
      </c>
      <c r="CT171" s="9" t="n">
        <v>63.8</v>
      </c>
      <c r="CU171" s="9" t="n">
        <v>77.9</v>
      </c>
      <c r="CV171" s="9" t="n">
        <v>66.6</v>
      </c>
      <c r="CW171" s="11" t="n">
        <f aca="false">(CS171+CT171+CU171+CV171)/4</f>
        <v>68.175</v>
      </c>
      <c r="CX171" s="9" t="n">
        <v>0</v>
      </c>
      <c r="CY171" s="9" t="n">
        <v>0</v>
      </c>
      <c r="CZ171" s="9" t="n">
        <v>1</v>
      </c>
      <c r="DA171" s="9" t="n">
        <v>0</v>
      </c>
      <c r="DB171" s="11" t="n">
        <f aca="false">(CX171+CY171+CZ171+DA171)/4</f>
        <v>0.25</v>
      </c>
      <c r="DC171" s="9" t="n">
        <v>1</v>
      </c>
      <c r="DD171" s="9" t="n">
        <v>1</v>
      </c>
      <c r="DE171" s="9" t="n">
        <v>1</v>
      </c>
      <c r="DF171" s="9" t="n">
        <v>1</v>
      </c>
      <c r="DG171" s="11" t="n">
        <f aca="false">(DC171+DD171+DE171+DF171)/4</f>
        <v>1</v>
      </c>
      <c r="DH171" s="9" t="n">
        <v>1</v>
      </c>
      <c r="DI171" s="9" t="n">
        <v>1</v>
      </c>
      <c r="DJ171" s="9" t="n">
        <v>1</v>
      </c>
      <c r="DK171" s="9" t="n">
        <v>1</v>
      </c>
      <c r="DL171" s="11" t="n">
        <f aca="false">(DH171+DI171+DJ171+DK171)/4</f>
        <v>1</v>
      </c>
      <c r="DM171" s="9" t="n">
        <v>72</v>
      </c>
      <c r="DN171" s="9" t="n">
        <v>163</v>
      </c>
      <c r="DO171" s="9" t="n">
        <v>8</v>
      </c>
      <c r="DP171" s="9" t="n">
        <v>48</v>
      </c>
      <c r="DQ171" s="11" t="n">
        <f aca="false">(DM171+DN171+DO171+DP171)/4</f>
        <v>72.75</v>
      </c>
      <c r="DR171" s="9" t="n">
        <v>21</v>
      </c>
      <c r="DS171" s="9" t="n">
        <v>39</v>
      </c>
      <c r="DT171" s="9" t="n">
        <v>16</v>
      </c>
      <c r="DU171" s="9" t="n">
        <v>30</v>
      </c>
      <c r="DV171" s="11" t="n">
        <f aca="false">(DR171+DS171+DT171+DU171)/4</f>
        <v>26.5</v>
      </c>
      <c r="DW171" s="9" t="n">
        <v>0</v>
      </c>
      <c r="DX171" s="9" t="n">
        <v>0</v>
      </c>
      <c r="DY171" s="9" t="n">
        <v>2</v>
      </c>
      <c r="DZ171" s="9" t="n">
        <v>0</v>
      </c>
      <c r="EA171" s="11" t="n">
        <f aca="false">(DW171+DX171+DY171+DZ171)/4</f>
        <v>0.5</v>
      </c>
      <c r="EB171" s="11" t="n">
        <f aca="false">(DW171/DR171)</f>
        <v>0</v>
      </c>
      <c r="EC171" s="11" t="n">
        <f aca="false">(DX171/DS171)</f>
        <v>0</v>
      </c>
      <c r="ED171" s="11" t="n">
        <f aca="false">(DY171/DT171)</f>
        <v>0.125</v>
      </c>
      <c r="EE171" s="11" t="n">
        <f aca="false">(DZ171/DU171)</f>
        <v>0</v>
      </c>
      <c r="EF171" s="11" t="n">
        <f aca="false">(EA171/DV171)</f>
        <v>0.0188679245283019</v>
      </c>
      <c r="EG171" s="11" t="n">
        <f aca="false">(100*EF171)</f>
        <v>1.88679245283019</v>
      </c>
      <c r="EH171" s="9" t="n">
        <v>1</v>
      </c>
      <c r="EI171" s="9" t="n">
        <v>10</v>
      </c>
      <c r="EJ171" s="9" t="n">
        <v>18</v>
      </c>
      <c r="EK171" s="19" t="n">
        <v>3</v>
      </c>
      <c r="EL171" s="9" t="n">
        <v>2</v>
      </c>
      <c r="EM171" s="9" t="n">
        <f aca="false">(EI171+EJ171+EK171+EL171)/4</f>
        <v>8.25</v>
      </c>
      <c r="EN171" s="9" t="n">
        <f aca="false">(EI171/DR171)</f>
        <v>0.476190476190476</v>
      </c>
      <c r="EO171" s="9" t="n">
        <f aca="false">(EJ171/DS171)</f>
        <v>0.461538461538462</v>
      </c>
      <c r="EP171" s="9" t="n">
        <f aca="false">(EK171/DT171)</f>
        <v>0.1875</v>
      </c>
      <c r="EQ171" s="9" t="n">
        <f aca="false">(EL171/DU171)</f>
        <v>0.0666666666666667</v>
      </c>
      <c r="ER171" s="9" t="n">
        <f aca="false">EM171/DV171</f>
        <v>0.311320754716981</v>
      </c>
      <c r="ES171" s="9" t="n">
        <f aca="false">(100*ER171)</f>
        <v>31.1320754716981</v>
      </c>
      <c r="ET171" s="9" t="n">
        <v>3</v>
      </c>
      <c r="EU171" s="18" t="n">
        <v>0</v>
      </c>
      <c r="EV171" s="9" t="n">
        <v>0</v>
      </c>
      <c r="EW171" s="9" t="n">
        <v>0</v>
      </c>
      <c r="EX171" s="9" t="n">
        <v>0</v>
      </c>
      <c r="EY171" s="11" t="n">
        <f aca="false">(EU171+EV171+EW171+EX171)/4</f>
        <v>0</v>
      </c>
      <c r="EZ171" s="11" t="n">
        <f aca="false">(EU171/DR171)</f>
        <v>0</v>
      </c>
      <c r="FA171" s="11" t="n">
        <f aca="false">(EV171/DS171)</f>
        <v>0</v>
      </c>
      <c r="FB171" s="11" t="n">
        <f aca="false">(EW171/DT171)</f>
        <v>0</v>
      </c>
      <c r="FC171" s="11" t="n">
        <f aca="false">(EX171/DU171)</f>
        <v>0</v>
      </c>
      <c r="FD171" s="11" t="n">
        <f aca="false">(EY171/DV171)</f>
        <v>0</v>
      </c>
      <c r="FE171" s="11" t="n">
        <f aca="false">(100*FD171)</f>
        <v>0</v>
      </c>
      <c r="FF171" s="9" t="n">
        <v>0</v>
      </c>
      <c r="FG171" s="9" t="n">
        <v>17</v>
      </c>
      <c r="FH171" s="9" t="n">
        <v>24</v>
      </c>
      <c r="FI171" s="9" t="n">
        <v>7</v>
      </c>
      <c r="FJ171" s="9" t="n">
        <v>21</v>
      </c>
      <c r="FK171" s="11" t="n">
        <f aca="false">(FG171+FH171+FI171+FJ171)/4</f>
        <v>17.25</v>
      </c>
      <c r="FL171" s="11" t="n">
        <f aca="false">(FG171/DR171)</f>
        <v>0.80952380952381</v>
      </c>
      <c r="FM171" s="11" t="n">
        <f aca="false">(FH171/DS171)</f>
        <v>0.615384615384615</v>
      </c>
      <c r="FN171" s="11" t="n">
        <f aca="false">(FI171/DT171)</f>
        <v>0.4375</v>
      </c>
      <c r="FO171" s="11" t="n">
        <f aca="false">(FJ171/DU171)</f>
        <v>0.7</v>
      </c>
      <c r="FP171" s="11" t="n">
        <f aca="false">(FK171/DV171)</f>
        <v>0.650943396226415</v>
      </c>
      <c r="FQ171" s="11" t="n">
        <f aca="false">(100*FP171)</f>
        <v>65.0943396226415</v>
      </c>
      <c r="FR171" s="9" t="n">
        <v>3</v>
      </c>
      <c r="FS171" s="9" t="n">
        <v>75.9</v>
      </c>
      <c r="FT171" s="9" t="n">
        <v>60.1</v>
      </c>
      <c r="FU171" s="9" t="n">
        <v>55.4</v>
      </c>
      <c r="FV171" s="9" t="n">
        <v>50.7</v>
      </c>
      <c r="FW171" s="11" t="n">
        <f aca="false">(FS171+FT171+FU171+FV171)/4</f>
        <v>60.525</v>
      </c>
      <c r="FX171" s="9" t="n">
        <v>0</v>
      </c>
      <c r="FY171" s="9" t="n">
        <v>0</v>
      </c>
      <c r="FZ171" s="9" t="n">
        <v>1</v>
      </c>
      <c r="GA171" s="9"/>
      <c r="GB171" s="11" t="n">
        <f aca="false">(FX171+FY171+FZ171+GA171)/4</f>
        <v>0.25</v>
      </c>
      <c r="GC171" s="9" t="n">
        <v>1</v>
      </c>
      <c r="GD171" s="9" t="n">
        <v>1</v>
      </c>
      <c r="GE171" s="9" t="n">
        <v>1</v>
      </c>
      <c r="GF171" s="9"/>
      <c r="GG171" s="11" t="n">
        <f aca="false">(GC171+GD171+GE171+GF171)/4</f>
        <v>0.75</v>
      </c>
      <c r="GH171" s="9" t="n">
        <v>1</v>
      </c>
      <c r="GI171" s="9" t="n">
        <v>0</v>
      </c>
      <c r="GJ171" s="9" t="n">
        <v>0</v>
      </c>
      <c r="GK171" s="9"/>
      <c r="GL171" s="11" t="n">
        <f aca="false">(GH171+GI171+GJ171+GK171)/4</f>
        <v>0.25</v>
      </c>
      <c r="GM171" s="9" t="n">
        <v>82</v>
      </c>
      <c r="GN171" s="9" t="n">
        <v>43</v>
      </c>
      <c r="GO171" s="9" t="n">
        <v>104</v>
      </c>
      <c r="GP171" s="9"/>
      <c r="GQ171" s="11" t="n">
        <f aca="false">(GM171+GN171+GO171+GP171)/4</f>
        <v>57.25</v>
      </c>
      <c r="GR171" s="9" t="n">
        <v>7</v>
      </c>
      <c r="GS171" s="9" t="n">
        <v>6</v>
      </c>
      <c r="GT171" s="9" t="n">
        <v>13</v>
      </c>
      <c r="GU171" s="9"/>
      <c r="GV171" s="11" t="n">
        <f aca="false">(GR171+GS171+GT171+GU171)/4</f>
        <v>6.5</v>
      </c>
      <c r="GW171" s="9" t="n">
        <v>0</v>
      </c>
      <c r="GX171" s="9" t="n">
        <v>0</v>
      </c>
      <c r="GY171" s="9" t="n">
        <v>11</v>
      </c>
      <c r="GZ171" s="9"/>
      <c r="HA171" s="11" t="n">
        <f aca="false">(GW171+GX171+GY171+GZ171)/4</f>
        <v>2.75</v>
      </c>
      <c r="HB171" s="9" t="n">
        <f aca="false">(GW171/GR171)</f>
        <v>0</v>
      </c>
      <c r="HC171" s="9" t="n">
        <f aca="false">(GX171/GS171)</f>
        <v>0</v>
      </c>
      <c r="HD171" s="9" t="n">
        <f aca="false">(GY171/GT171)</f>
        <v>0.846153846153846</v>
      </c>
      <c r="HE171" s="9" t="e">
        <f aca="false">(GZ171/GU171)/4</f>
        <v>#DIV/0!</v>
      </c>
      <c r="HF171" s="9" t="e">
        <f aca="false">(HB171+HC171+HD171+HE171)/4</f>
        <v>#DIV/0!</v>
      </c>
      <c r="HG171" s="9" t="e">
        <f aca="false">(100*HF171)</f>
        <v>#DIV/0!</v>
      </c>
      <c r="HH171" s="18"/>
      <c r="HI171" s="9" t="n">
        <v>5</v>
      </c>
      <c r="HJ171" s="9" t="n">
        <v>3</v>
      </c>
      <c r="HK171" s="9" t="n">
        <v>2</v>
      </c>
      <c r="HL171" s="19"/>
      <c r="HM171" s="9" t="n">
        <f aca="false">(HI171+HJ171+HK171+HL171)/4</f>
        <v>2.5</v>
      </c>
      <c r="HN171" s="9" t="n">
        <f aca="false">(HI171/GR171)</f>
        <v>0.714285714285714</v>
      </c>
      <c r="HO171" s="9" t="n">
        <f aca="false">(HJ171/GS171)</f>
        <v>0.5</v>
      </c>
      <c r="HP171" s="9" t="n">
        <f aca="false">(HK171/GT171)</f>
        <v>0.153846153846154</v>
      </c>
      <c r="HQ171" s="9" t="e">
        <f aca="false">(HL171/GU171)</f>
        <v>#DIV/0!</v>
      </c>
      <c r="HR171" s="9" t="n">
        <f aca="false">(HM171/GV171)</f>
        <v>0.384615384615385</v>
      </c>
      <c r="HS171" s="9" t="n">
        <f aca="false">(100*HR171)</f>
        <v>38.4615384615385</v>
      </c>
      <c r="HT171" s="18" t="n">
        <v>3</v>
      </c>
      <c r="HU171" s="9" t="n">
        <v>0</v>
      </c>
      <c r="HV171" s="9" t="n">
        <v>0</v>
      </c>
      <c r="HW171" s="9" t="n">
        <v>0</v>
      </c>
      <c r="HX171" s="19"/>
      <c r="HY171" s="9" t="n">
        <f aca="false">(HU171+HV171+HW171+HX171)/4</f>
        <v>0</v>
      </c>
      <c r="HZ171" s="9" t="n">
        <f aca="false">(HU171/GR171)</f>
        <v>0</v>
      </c>
      <c r="IA171" s="9" t="n">
        <f aca="false">HV171/GS171</f>
        <v>0</v>
      </c>
      <c r="IB171" s="9" t="n">
        <f aca="false">(HW171/GT171)</f>
        <v>0</v>
      </c>
      <c r="IC171" s="9" t="e">
        <f aca="false">(HX171/GU171)</f>
        <v>#DIV/0!</v>
      </c>
      <c r="ID171" s="9" t="n">
        <f aca="false">(HY171/GV171)</f>
        <v>0</v>
      </c>
      <c r="IE171" s="9" t="n">
        <f aca="false">(100*ID171)</f>
        <v>0</v>
      </c>
      <c r="IF171" s="18" t="n">
        <v>0</v>
      </c>
      <c r="IG171" s="9" t="n">
        <v>4</v>
      </c>
      <c r="IH171" s="9" t="n">
        <v>0</v>
      </c>
      <c r="II171" s="19" t="n">
        <v>0</v>
      </c>
      <c r="IJ171" s="9"/>
      <c r="IK171" s="9" t="n">
        <f aca="false">(IG171+IH171+II171+IJ171)/4</f>
        <v>1</v>
      </c>
      <c r="IL171" s="9" t="n">
        <f aca="false">(IG171/GM171)</f>
        <v>0.0487804878048781</v>
      </c>
      <c r="IM171" s="9" t="n">
        <f aca="false">(IH171/GN171)</f>
        <v>0</v>
      </c>
      <c r="IN171" s="9" t="n">
        <f aca="false">(II171/GO171)</f>
        <v>0</v>
      </c>
      <c r="IO171" s="9" t="e">
        <f aca="false">(IJ171/GP171)</f>
        <v>#DIV/0!</v>
      </c>
      <c r="IP171" s="9" t="n">
        <f aca="false">(IK171/GQ171)</f>
        <v>0.0174672489082969</v>
      </c>
      <c r="IQ171" s="9" t="n">
        <f aca="false">(100*IP171)</f>
        <v>1.74672489082969</v>
      </c>
      <c r="IR171" s="18" t="n">
        <v>1</v>
      </c>
      <c r="IS171" s="9" t="n">
        <v>64.6</v>
      </c>
      <c r="IT171" s="9" t="n">
        <v>59.3</v>
      </c>
      <c r="IU171" s="19" t="n">
        <v>75</v>
      </c>
      <c r="IV171" s="9"/>
      <c r="IW171" s="9" t="n">
        <f aca="false">(IS171+IT171+IU171+IV171)/4</f>
        <v>49.725</v>
      </c>
      <c r="IX171" s="16" t="n">
        <v>45209</v>
      </c>
      <c r="IY171" s="10" t="s">
        <v>268</v>
      </c>
    </row>
    <row r="172" customFormat="false" ht="15.75" hidden="false" customHeight="true" outlineLevel="0" collapsed="false">
      <c r="A172" s="9" t="s">
        <v>299</v>
      </c>
      <c r="B172" s="10" t="s">
        <v>650</v>
      </c>
      <c r="C172" s="10" t="s">
        <v>626</v>
      </c>
      <c r="D172" s="9" t="n">
        <v>1</v>
      </c>
      <c r="E172" s="9" t="n">
        <v>57</v>
      </c>
      <c r="F172" s="10" t="s">
        <v>656</v>
      </c>
      <c r="G172" s="10" t="s">
        <v>320</v>
      </c>
      <c r="H172" s="9" t="n">
        <v>21</v>
      </c>
      <c r="I172" s="9" t="n">
        <v>15</v>
      </c>
      <c r="J172" s="10" t="s">
        <v>272</v>
      </c>
      <c r="K172" s="20"/>
      <c r="L172" s="20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 t="n">
        <v>0</v>
      </c>
      <c r="Y172" s="9" t="n">
        <v>0</v>
      </c>
      <c r="Z172" s="9" t="n">
        <v>0</v>
      </c>
      <c r="AA172" s="9" t="n">
        <v>0</v>
      </c>
      <c r="AB172" s="11" t="n">
        <f aca="false">(X172+Y172+Z172+AA172)/4</f>
        <v>0</v>
      </c>
      <c r="AC172" s="9" t="n">
        <v>1</v>
      </c>
      <c r="AD172" s="9" t="n">
        <v>1</v>
      </c>
      <c r="AE172" s="9" t="n">
        <v>1</v>
      </c>
      <c r="AF172" s="9" t="n">
        <v>1</v>
      </c>
      <c r="AG172" s="11" t="n">
        <f aca="false">(AC172+AD172+AE172+AF172)/4</f>
        <v>1</v>
      </c>
      <c r="AH172" s="9" t="n">
        <v>1</v>
      </c>
      <c r="AI172" s="9" t="n">
        <v>1</v>
      </c>
      <c r="AJ172" s="9" t="n">
        <v>1</v>
      </c>
      <c r="AK172" s="9" t="n">
        <v>1</v>
      </c>
      <c r="AL172" s="11" t="n">
        <f aca="false">(AH172+AI172+AJ172+AK172)/4</f>
        <v>1</v>
      </c>
      <c r="AM172" s="9" t="n">
        <v>120</v>
      </c>
      <c r="AN172" s="9" t="n">
        <v>94</v>
      </c>
      <c r="AO172" s="9" t="n">
        <v>108</v>
      </c>
      <c r="AP172" s="9" t="n">
        <v>120</v>
      </c>
      <c r="AQ172" s="11" t="n">
        <f aca="false">(AM172+AN172+AO172+AP172)/4</f>
        <v>110.5</v>
      </c>
      <c r="AR172" s="9" t="n">
        <v>8</v>
      </c>
      <c r="AS172" s="9" t="n">
        <v>7</v>
      </c>
      <c r="AT172" s="9" t="n">
        <v>27</v>
      </c>
      <c r="AU172" s="9" t="n">
        <v>15</v>
      </c>
      <c r="AV172" s="11" t="n">
        <f aca="false">(AR172+AS172+AT172+AU172)/4</f>
        <v>14.25</v>
      </c>
      <c r="AW172" s="9" t="n">
        <v>0</v>
      </c>
      <c r="AX172" s="9" t="n">
        <v>0</v>
      </c>
      <c r="AY172" s="9" t="n">
        <v>0</v>
      </c>
      <c r="AZ172" s="9" t="n">
        <v>0</v>
      </c>
      <c r="BA172" s="11" t="n">
        <f aca="false">(AW172+AX172+AY172+AZ172)/4</f>
        <v>0</v>
      </c>
      <c r="BB172" s="11" t="n">
        <f aca="false">(AW172/AR172)</f>
        <v>0</v>
      </c>
      <c r="BC172" s="11" t="n">
        <f aca="false">(AX172/AS172)</f>
        <v>0</v>
      </c>
      <c r="BD172" s="11" t="n">
        <f aca="false">(AY172/AT172)</f>
        <v>0</v>
      </c>
      <c r="BE172" s="11" t="n">
        <f aca="false">(AZ172/AU172)</f>
        <v>0</v>
      </c>
      <c r="BF172" s="11" t="n">
        <f aca="false">(BA172/AV172)</f>
        <v>0</v>
      </c>
      <c r="BG172" s="11" t="n">
        <f aca="false">(BF172*100)</f>
        <v>0</v>
      </c>
      <c r="BH172" s="9" t="n">
        <v>0</v>
      </c>
      <c r="BI172" s="9" t="n">
        <v>4</v>
      </c>
      <c r="BJ172" s="9" t="n">
        <v>3</v>
      </c>
      <c r="BK172" s="9" t="n">
        <v>2</v>
      </c>
      <c r="BL172" s="9" t="n">
        <v>3</v>
      </c>
      <c r="BM172" s="11" t="n">
        <f aca="false">(BI172+BJ172+BK172+BL172)/4</f>
        <v>3</v>
      </c>
      <c r="BN172" s="11" t="n">
        <f aca="false">(BI172/AR172)</f>
        <v>0.5</v>
      </c>
      <c r="BO172" s="11" t="n">
        <f aca="false">(BJ172/AS172)</f>
        <v>0.428571428571429</v>
      </c>
      <c r="BP172" s="11" t="n">
        <f aca="false">(BK172/AT172)</f>
        <v>0.0740740740740741</v>
      </c>
      <c r="BQ172" s="11" t="n">
        <f aca="false">(BL172/AU172)</f>
        <v>0.2</v>
      </c>
      <c r="BR172" s="11" t="n">
        <f aca="false">(BM172/AV172)</f>
        <v>0.210526315789474</v>
      </c>
      <c r="BS172" s="11" t="n">
        <f aca="false">(100*BR172)</f>
        <v>21.0526315789474</v>
      </c>
      <c r="BT172" s="9" t="n">
        <v>2</v>
      </c>
      <c r="BU172" s="9" t="n">
        <v>0</v>
      </c>
      <c r="BV172" s="9" t="n">
        <v>0</v>
      </c>
      <c r="BW172" s="9" t="n">
        <v>0</v>
      </c>
      <c r="BX172" s="9" t="n">
        <v>0</v>
      </c>
      <c r="BY172" s="11" t="n">
        <f aca="false">(BU172+BV172+BW172+BX172)/4</f>
        <v>0</v>
      </c>
      <c r="BZ172" s="11" t="n">
        <f aca="false">(BU172/AR172)</f>
        <v>0</v>
      </c>
      <c r="CA172" s="11" t="n">
        <f aca="false">(BV172/AS172)</f>
        <v>0</v>
      </c>
      <c r="CB172" s="11" t="n">
        <f aca="false">(BW172/AT172)</f>
        <v>0</v>
      </c>
      <c r="CC172" s="11" t="n">
        <f aca="false">(BX172/AU172)</f>
        <v>0</v>
      </c>
      <c r="CD172" s="11" t="n">
        <f aca="false">(BY172/AV172)</f>
        <v>0</v>
      </c>
      <c r="CE172" s="11" t="n">
        <f aca="false">(100*CD172)</f>
        <v>0</v>
      </c>
      <c r="CF172" s="9" t="n">
        <v>0</v>
      </c>
      <c r="CG172" s="9" t="n">
        <v>20</v>
      </c>
      <c r="CH172" s="9" t="n">
        <v>26</v>
      </c>
      <c r="CI172" s="9" t="n">
        <v>48</v>
      </c>
      <c r="CJ172" s="9" t="n">
        <v>50</v>
      </c>
      <c r="CK172" s="11" t="n">
        <f aca="false">(CG172+CH172+CI172+CJ172)/4</f>
        <v>36</v>
      </c>
      <c r="CL172" s="11" t="n">
        <f aca="false">(CG172/AM172)</f>
        <v>0.166666666666667</v>
      </c>
      <c r="CM172" s="11" t="n">
        <f aca="false">(CH172/AN172)</f>
        <v>0.276595744680851</v>
      </c>
      <c r="CN172" s="11" t="n">
        <f aca="false">(CI172/AO172)</f>
        <v>0.444444444444444</v>
      </c>
      <c r="CO172" s="9" t="n">
        <f aca="false">(CJ172/AP172)</f>
        <v>0.416666666666667</v>
      </c>
      <c r="CP172" s="9" t="n">
        <f aca="false">(CK172/AQ172)</f>
        <v>0.32579185520362</v>
      </c>
      <c r="CQ172" s="9" t="n">
        <f aca="false">(100*CP172)</f>
        <v>32.579185520362</v>
      </c>
      <c r="CR172" s="18" t="n">
        <v>3</v>
      </c>
      <c r="CS172" s="9" t="n">
        <v>50.7</v>
      </c>
      <c r="CT172" s="9" t="n">
        <v>47.5</v>
      </c>
      <c r="CU172" s="9" t="n">
        <v>71.4</v>
      </c>
      <c r="CV172" s="9" t="n">
        <v>42</v>
      </c>
      <c r="CW172" s="11" t="n">
        <f aca="false">(CS172+CT172+CU172+CV172)/4</f>
        <v>52.9</v>
      </c>
      <c r="CX172" s="9" t="n">
        <v>0</v>
      </c>
      <c r="CY172" s="9" t="n">
        <v>0</v>
      </c>
      <c r="CZ172" s="9" t="n">
        <v>0</v>
      </c>
      <c r="DA172" s="9" t="n">
        <v>0</v>
      </c>
      <c r="DB172" s="11" t="n">
        <f aca="false">(CX172+CY172+CZ172+DA172)/4</f>
        <v>0</v>
      </c>
      <c r="DC172" s="9" t="n">
        <v>1</v>
      </c>
      <c r="DD172" s="9" t="n">
        <v>1</v>
      </c>
      <c r="DE172" s="9" t="n">
        <v>1</v>
      </c>
      <c r="DF172" s="9" t="n">
        <v>1</v>
      </c>
      <c r="DG172" s="11" t="n">
        <f aca="false">(DC172+DD172+DE172+DF172)/4</f>
        <v>1</v>
      </c>
      <c r="DH172" s="9" t="n">
        <v>1</v>
      </c>
      <c r="DI172" s="9" t="n">
        <v>1</v>
      </c>
      <c r="DJ172" s="9" t="n">
        <v>1</v>
      </c>
      <c r="DK172" s="9" t="n">
        <v>1</v>
      </c>
      <c r="DL172" s="11" t="n">
        <f aca="false">(DH172+DI172+DJ172+DK172)/4</f>
        <v>1</v>
      </c>
      <c r="DM172" s="9" t="n">
        <v>103</v>
      </c>
      <c r="DN172" s="9" t="n">
        <v>109</v>
      </c>
      <c r="DO172" s="9" t="n">
        <v>216</v>
      </c>
      <c r="DP172" s="9" t="n">
        <v>174</v>
      </c>
      <c r="DQ172" s="11" t="n">
        <f aca="false">(DM172+DN172+DO172+DP172)/4</f>
        <v>150.5</v>
      </c>
      <c r="DR172" s="9" t="n">
        <v>25</v>
      </c>
      <c r="DS172" s="9" t="n">
        <v>5</v>
      </c>
      <c r="DT172" s="9" t="n">
        <v>39</v>
      </c>
      <c r="DU172" s="9" t="n">
        <v>9</v>
      </c>
      <c r="DV172" s="11" t="n">
        <f aca="false">(DR172+DS172+DT172+DU172)/4</f>
        <v>19.5</v>
      </c>
      <c r="DW172" s="9" t="n">
        <v>0</v>
      </c>
      <c r="DX172" s="9" t="n">
        <v>0</v>
      </c>
      <c r="DY172" s="9" t="n">
        <v>0</v>
      </c>
      <c r="DZ172" s="9" t="n">
        <v>0</v>
      </c>
      <c r="EA172" s="11" t="n">
        <f aca="false">(DW172+DX172+DY172+DZ172)/4</f>
        <v>0</v>
      </c>
      <c r="EB172" s="11" t="n">
        <f aca="false">(DW172/DR172)</f>
        <v>0</v>
      </c>
      <c r="EC172" s="11" t="n">
        <f aca="false">(DX172/DS172)</f>
        <v>0</v>
      </c>
      <c r="ED172" s="11" t="n">
        <f aca="false">(DY172/DT172)</f>
        <v>0</v>
      </c>
      <c r="EE172" s="11" t="n">
        <f aca="false">(DZ172/DU172)</f>
        <v>0</v>
      </c>
      <c r="EF172" s="11" t="n">
        <f aca="false">(EA172/DV172)</f>
        <v>0</v>
      </c>
      <c r="EG172" s="11" t="n">
        <f aca="false">(100*EF172)</f>
        <v>0</v>
      </c>
      <c r="EH172" s="9" t="n">
        <v>0</v>
      </c>
      <c r="EI172" s="9" t="n">
        <v>12</v>
      </c>
      <c r="EJ172" s="9" t="n">
        <v>3</v>
      </c>
      <c r="EK172" s="19" t="n">
        <v>26</v>
      </c>
      <c r="EL172" s="9" t="n">
        <v>4</v>
      </c>
      <c r="EM172" s="9" t="n">
        <f aca="false">(EI172+EJ172+EK172+EL172)/4</f>
        <v>11.25</v>
      </c>
      <c r="EN172" s="9" t="n">
        <f aca="false">(EI172/DR172)</f>
        <v>0.48</v>
      </c>
      <c r="EO172" s="9" t="n">
        <f aca="false">(EJ172/DS172)</f>
        <v>0.6</v>
      </c>
      <c r="EP172" s="9" t="n">
        <f aca="false">(EK172/DT172)</f>
        <v>0.666666666666667</v>
      </c>
      <c r="EQ172" s="9" t="n">
        <f aca="false">(EL172/DU172)</f>
        <v>0.444444444444444</v>
      </c>
      <c r="ER172" s="9" t="n">
        <f aca="false">EM172/DV172</f>
        <v>0.576923076923077</v>
      </c>
      <c r="ES172" s="9" t="n">
        <f aca="false">(100*ER172)</f>
        <v>57.6923076923077</v>
      </c>
      <c r="ET172" s="9" t="n">
        <v>3</v>
      </c>
      <c r="EU172" s="18" t="n">
        <v>0</v>
      </c>
      <c r="EV172" s="9" t="n">
        <v>0</v>
      </c>
      <c r="EW172" s="9" t="n">
        <v>0</v>
      </c>
      <c r="EX172" s="9" t="n">
        <v>0</v>
      </c>
      <c r="EY172" s="11" t="n">
        <f aca="false">(EU172+EV172+EW172+EX172)/4</f>
        <v>0</v>
      </c>
      <c r="EZ172" s="11" t="n">
        <f aca="false">(EU172/DR172)</f>
        <v>0</v>
      </c>
      <c r="FA172" s="11" t="n">
        <f aca="false">(EV172/DS172)</f>
        <v>0</v>
      </c>
      <c r="FB172" s="11" t="n">
        <f aca="false">(EW172/DT172)</f>
        <v>0</v>
      </c>
      <c r="FC172" s="11" t="n">
        <f aca="false">(EX172/DU172)</f>
        <v>0</v>
      </c>
      <c r="FD172" s="11" t="n">
        <f aca="false">(EY172/DV172)</f>
        <v>0</v>
      </c>
      <c r="FE172" s="11" t="n">
        <f aca="false">(100*FD172)</f>
        <v>0</v>
      </c>
      <c r="FF172" s="9" t="n">
        <v>0</v>
      </c>
      <c r="FG172" s="9" t="n">
        <v>17</v>
      </c>
      <c r="FH172" s="9" t="n">
        <v>15</v>
      </c>
      <c r="FI172" s="9" t="n">
        <v>29</v>
      </c>
      <c r="FJ172" s="9" t="n">
        <v>14</v>
      </c>
      <c r="FK172" s="11" t="n">
        <f aca="false">(FG172+FH172+FI172+FJ172)/4</f>
        <v>18.75</v>
      </c>
      <c r="FL172" s="11" t="n">
        <f aca="false">(FG172/DR172)</f>
        <v>0.68</v>
      </c>
      <c r="FM172" s="11" t="n">
        <f aca="false">(FH172/DS172)</f>
        <v>3</v>
      </c>
      <c r="FN172" s="11" t="n">
        <f aca="false">(FI172/DT172)</f>
        <v>0.743589743589744</v>
      </c>
      <c r="FO172" s="11" t="n">
        <f aca="false">(FJ172/DU172)</f>
        <v>1.55555555555556</v>
      </c>
      <c r="FP172" s="11" t="n">
        <f aca="false">(FK172/DV172)</f>
        <v>0.961538461538462</v>
      </c>
      <c r="FQ172" s="11" t="n">
        <f aca="false">(100*FP172)</f>
        <v>96.1538461538462</v>
      </c>
      <c r="FR172" s="9" t="n">
        <v>3</v>
      </c>
      <c r="FS172" s="9" t="n">
        <v>62.8</v>
      </c>
      <c r="FT172" s="9" t="n">
        <v>52.3</v>
      </c>
      <c r="FU172" s="9" t="n">
        <v>65.3</v>
      </c>
      <c r="FV172" s="9" t="n">
        <v>49.4</v>
      </c>
      <c r="FW172" s="11" t="n">
        <f aca="false">(FS172+FT172+FU172+FV172)/4</f>
        <v>57.45</v>
      </c>
      <c r="FX172" s="9" t="n">
        <v>0</v>
      </c>
      <c r="FY172" s="9" t="n">
        <v>0</v>
      </c>
      <c r="FZ172" s="9" t="n">
        <v>0</v>
      </c>
      <c r="GA172" s="9" t="n">
        <v>0</v>
      </c>
      <c r="GB172" s="11" t="n">
        <f aca="false">(FX172+FY172+FZ172+GA172)/4</f>
        <v>0</v>
      </c>
      <c r="GC172" s="9" t="n">
        <v>1</v>
      </c>
      <c r="GD172" s="9" t="n">
        <v>1</v>
      </c>
      <c r="GE172" s="9" t="n">
        <v>1</v>
      </c>
      <c r="GF172" s="9" t="n">
        <v>1</v>
      </c>
      <c r="GG172" s="11" t="n">
        <f aca="false">(GC172+GD172+GE172+GF172)/4</f>
        <v>1</v>
      </c>
      <c r="GH172" s="9" t="n">
        <v>1</v>
      </c>
      <c r="GI172" s="9" t="n">
        <v>1</v>
      </c>
      <c r="GJ172" s="9" t="n">
        <v>1</v>
      </c>
      <c r="GK172" s="9" t="n">
        <v>1</v>
      </c>
      <c r="GL172" s="11" t="n">
        <f aca="false">(GH172+GI172+GJ172+GK172)/4</f>
        <v>1</v>
      </c>
      <c r="GM172" s="11" t="n">
        <v>157</v>
      </c>
      <c r="GN172" s="11" t="n">
        <v>107</v>
      </c>
      <c r="GO172" s="11" t="n">
        <v>172</v>
      </c>
      <c r="GP172" s="11" t="n">
        <v>253</v>
      </c>
      <c r="GQ172" s="11" t="n">
        <f aca="false">(GM172+GN172+GO172+GP172)/4</f>
        <v>172.25</v>
      </c>
      <c r="GR172" s="9" t="n">
        <v>7</v>
      </c>
      <c r="GS172" s="9" t="n">
        <v>10</v>
      </c>
      <c r="GT172" s="9" t="n">
        <v>4</v>
      </c>
      <c r="GU172" s="9" t="n">
        <v>11</v>
      </c>
      <c r="GV172" s="11" t="n">
        <f aca="false">(GR172+GS172+GT172+GU172)/4</f>
        <v>8</v>
      </c>
      <c r="GW172" s="9" t="n">
        <v>0</v>
      </c>
      <c r="GX172" s="9" t="n">
        <v>0</v>
      </c>
      <c r="GY172" s="9" t="n">
        <v>0</v>
      </c>
      <c r="GZ172" s="9" t="n">
        <v>0</v>
      </c>
      <c r="HA172" s="11" t="n">
        <f aca="false">(GW172+GX172+GY172+GZ172)/4</f>
        <v>0</v>
      </c>
      <c r="HB172" s="9" t="n">
        <f aca="false">(GW172/GR172)</f>
        <v>0</v>
      </c>
      <c r="HC172" s="9" t="n">
        <f aca="false">(GX172/GS172)</f>
        <v>0</v>
      </c>
      <c r="HD172" s="9" t="n">
        <f aca="false">(GY172/GT172)</f>
        <v>0</v>
      </c>
      <c r="HE172" s="9" t="n">
        <f aca="false">(GZ172/GU172)/4</f>
        <v>0</v>
      </c>
      <c r="HF172" s="9" t="n">
        <f aca="false">(HB172+HC172+HD172+HE172)/4</f>
        <v>0</v>
      </c>
      <c r="HG172" s="9" t="n">
        <f aca="false">(100*HF172)</f>
        <v>0</v>
      </c>
      <c r="HH172" s="18" t="n">
        <v>0</v>
      </c>
      <c r="HI172" s="9" t="n">
        <v>2</v>
      </c>
      <c r="HJ172" s="9" t="n">
        <v>8</v>
      </c>
      <c r="HK172" s="9" t="n">
        <v>4</v>
      </c>
      <c r="HL172" s="19" t="n">
        <v>7</v>
      </c>
      <c r="HM172" s="9" t="n">
        <f aca="false">(HI172+HJ172+HK172+HL172)/4</f>
        <v>5.25</v>
      </c>
      <c r="HN172" s="9" t="n">
        <f aca="false">(HI172/GR172)</f>
        <v>0.285714285714286</v>
      </c>
      <c r="HO172" s="9" t="n">
        <f aca="false">(HJ172/GS172)</f>
        <v>0.8</v>
      </c>
      <c r="HP172" s="9" t="n">
        <f aca="false">(HK172/GT172)</f>
        <v>1</v>
      </c>
      <c r="HQ172" s="9" t="n">
        <f aca="false">(HL172/GU172)</f>
        <v>0.636363636363636</v>
      </c>
      <c r="HR172" s="9" t="n">
        <f aca="false">(HM172/GV172)</f>
        <v>0.65625</v>
      </c>
      <c r="HS172" s="9" t="n">
        <f aca="false">(100*HR172)</f>
        <v>65.625</v>
      </c>
      <c r="HT172" s="18" t="n">
        <v>3</v>
      </c>
      <c r="HU172" s="9" t="n">
        <v>0</v>
      </c>
      <c r="HV172" s="9" t="n">
        <v>0</v>
      </c>
      <c r="HW172" s="9" t="n">
        <v>0</v>
      </c>
      <c r="HX172" s="19" t="n">
        <v>0</v>
      </c>
      <c r="HY172" s="9" t="n">
        <f aca="false">(HU172+HV172+HW172+HX172)/4</f>
        <v>0</v>
      </c>
      <c r="HZ172" s="9" t="n">
        <f aca="false">(HU172/GR172)</f>
        <v>0</v>
      </c>
      <c r="IA172" s="9" t="n">
        <f aca="false">HV172/GS172</f>
        <v>0</v>
      </c>
      <c r="IB172" s="9" t="n">
        <f aca="false">(HW172/GT172)</f>
        <v>0</v>
      </c>
      <c r="IC172" s="9" t="n">
        <f aca="false">(HX172/GU172)</f>
        <v>0</v>
      </c>
      <c r="ID172" s="9" t="n">
        <f aca="false">(HY172/GV172)</f>
        <v>0</v>
      </c>
      <c r="IE172" s="9" t="n">
        <f aca="false">(100*ID172)</f>
        <v>0</v>
      </c>
      <c r="IF172" s="18" t="n">
        <v>0</v>
      </c>
      <c r="IG172" s="9" t="n">
        <v>23</v>
      </c>
      <c r="IH172" s="9" t="n">
        <v>9</v>
      </c>
      <c r="II172" s="19" t="n">
        <v>26</v>
      </c>
      <c r="IJ172" s="9" t="n">
        <v>13</v>
      </c>
      <c r="IK172" s="9" t="n">
        <f aca="false">(IG172+IH172+II172+IJ172)/4</f>
        <v>17.75</v>
      </c>
      <c r="IL172" s="9" t="n">
        <f aca="false">(IG172/GM172)</f>
        <v>0.146496815286624</v>
      </c>
      <c r="IM172" s="9" t="n">
        <f aca="false">(IH172/GN172)</f>
        <v>0.0841121495327103</v>
      </c>
      <c r="IN172" s="9" t="n">
        <f aca="false">(II172/GO172)</f>
        <v>0.151162790697674</v>
      </c>
      <c r="IO172" s="9" t="n">
        <f aca="false">(IJ172/GP172)</f>
        <v>0.0513833992094862</v>
      </c>
      <c r="IP172" s="9" t="n">
        <f aca="false">(IK172/GQ172)</f>
        <v>0.103047895500726</v>
      </c>
      <c r="IQ172" s="9" t="n">
        <f aca="false">(100*IP172)</f>
        <v>10.3047895500726</v>
      </c>
      <c r="IR172" s="18" t="n">
        <v>2</v>
      </c>
      <c r="IS172" s="9" t="n">
        <v>66.2</v>
      </c>
      <c r="IT172" s="9" t="n">
        <v>47.6</v>
      </c>
      <c r="IU172" s="9" t="n">
        <v>67.3</v>
      </c>
      <c r="IV172" s="9" t="n">
        <v>69.3</v>
      </c>
      <c r="IW172" s="9" t="n">
        <f aca="false">(IS172+IT172+IU172+IV172)/4</f>
        <v>62.6</v>
      </c>
      <c r="IX172" s="16" t="n">
        <v>45209</v>
      </c>
      <c r="IY172" s="10" t="s">
        <v>268</v>
      </c>
    </row>
    <row r="173" customFormat="false" ht="15.75" hidden="false" customHeight="true" outlineLevel="0" collapsed="false">
      <c r="A173" s="9" t="s">
        <v>299</v>
      </c>
      <c r="B173" s="10" t="s">
        <v>657</v>
      </c>
      <c r="C173" s="10" t="s">
        <v>626</v>
      </c>
      <c r="D173" s="9" t="n">
        <v>2</v>
      </c>
      <c r="E173" s="9" t="n">
        <v>58</v>
      </c>
      <c r="F173" s="10" t="s">
        <v>658</v>
      </c>
      <c r="G173" s="10" t="s">
        <v>320</v>
      </c>
      <c r="H173" s="9" t="n">
        <v>21</v>
      </c>
      <c r="I173" s="9" t="n">
        <v>4.5</v>
      </c>
      <c r="J173" s="12" t="s">
        <v>264</v>
      </c>
      <c r="K173" s="13" t="s">
        <v>659</v>
      </c>
      <c r="L173" s="13" t="s">
        <v>660</v>
      </c>
      <c r="M173" s="9" t="n">
        <v>1289</v>
      </c>
      <c r="N173" s="15" t="n">
        <v>45134</v>
      </c>
      <c r="O173" s="10" t="s">
        <v>267</v>
      </c>
      <c r="P173" s="9"/>
      <c r="Q173" s="9" t="n">
        <v>41.42</v>
      </c>
      <c r="R173" s="9" t="n">
        <v>20</v>
      </c>
      <c r="S173" s="9" t="n">
        <v>-10</v>
      </c>
      <c r="T173" s="9" t="n">
        <v>110</v>
      </c>
      <c r="U173" s="9"/>
      <c r="V173" s="9" t="n">
        <v>4.49</v>
      </c>
      <c r="W173" s="9"/>
      <c r="X173" s="9" t="n">
        <v>0</v>
      </c>
      <c r="Y173" s="9" t="n">
        <v>0</v>
      </c>
      <c r="Z173" s="9" t="n">
        <v>0</v>
      </c>
      <c r="AA173" s="9" t="n">
        <v>0</v>
      </c>
      <c r="AB173" s="11" t="n">
        <f aca="false">(X173+Y173+Z173+AA173)/4</f>
        <v>0</v>
      </c>
      <c r="AC173" s="9" t="n">
        <v>1</v>
      </c>
      <c r="AD173" s="9" t="n">
        <v>1</v>
      </c>
      <c r="AE173" s="9" t="n">
        <v>1</v>
      </c>
      <c r="AF173" s="9" t="n">
        <v>1</v>
      </c>
      <c r="AG173" s="11" t="n">
        <f aca="false">(AC173+AD173+AE173+AF173)/4</f>
        <v>1</v>
      </c>
      <c r="AH173" s="9" t="n">
        <v>1</v>
      </c>
      <c r="AI173" s="9" t="n">
        <v>1</v>
      </c>
      <c r="AJ173" s="9" t="n">
        <v>1</v>
      </c>
      <c r="AK173" s="9" t="n">
        <v>1</v>
      </c>
      <c r="AL173" s="11" t="n">
        <f aca="false">(AH173+AI173+AJ173+AK173)/4</f>
        <v>1</v>
      </c>
      <c r="AM173" s="9" t="n">
        <v>58</v>
      </c>
      <c r="AN173" s="9" t="n">
        <v>38</v>
      </c>
      <c r="AO173" s="9" t="n">
        <v>73</v>
      </c>
      <c r="AP173" s="9" t="n">
        <v>56</v>
      </c>
      <c r="AQ173" s="11" t="n">
        <f aca="false">(AM173+AN173+AO173+AP173)/4</f>
        <v>56.25</v>
      </c>
      <c r="AR173" s="9" t="n">
        <v>25</v>
      </c>
      <c r="AS173" s="9" t="n">
        <v>27</v>
      </c>
      <c r="AT173" s="9" t="n">
        <v>29</v>
      </c>
      <c r="AU173" s="9" t="n">
        <v>19</v>
      </c>
      <c r="AV173" s="11" t="n">
        <f aca="false">(AR173+AS173+AT173+AU173)/4</f>
        <v>25</v>
      </c>
      <c r="AW173" s="9" t="n">
        <v>0</v>
      </c>
      <c r="AX173" s="9" t="n">
        <v>0</v>
      </c>
      <c r="AY173" s="9" t="n">
        <v>0</v>
      </c>
      <c r="AZ173" s="9" t="n">
        <v>0</v>
      </c>
      <c r="BA173" s="11" t="n">
        <f aca="false">(AW173+AX173+AY173+AZ173)/4</f>
        <v>0</v>
      </c>
      <c r="BB173" s="11" t="n">
        <f aca="false">(AW173/AR173)</f>
        <v>0</v>
      </c>
      <c r="BC173" s="11" t="n">
        <f aca="false">(AX173/AS173)</f>
        <v>0</v>
      </c>
      <c r="BD173" s="11" t="n">
        <f aca="false">(AY173/AT173)</f>
        <v>0</v>
      </c>
      <c r="BE173" s="11" t="n">
        <f aca="false">(AZ173/AU173)</f>
        <v>0</v>
      </c>
      <c r="BF173" s="11" t="n">
        <f aca="false">(BA173/AV173)</f>
        <v>0</v>
      </c>
      <c r="BG173" s="11" t="n">
        <f aca="false">(BF173*100)</f>
        <v>0</v>
      </c>
      <c r="BH173" s="9" t="n">
        <v>0</v>
      </c>
      <c r="BI173" s="9" t="n">
        <v>4</v>
      </c>
      <c r="BJ173" s="9" t="n">
        <v>6</v>
      </c>
      <c r="BK173" s="9" t="n">
        <v>5</v>
      </c>
      <c r="BL173" s="9" t="n">
        <v>8</v>
      </c>
      <c r="BM173" s="11" t="n">
        <f aca="false">(BI173+BJ173+BK173+BL173)/4</f>
        <v>5.75</v>
      </c>
      <c r="BN173" s="11" t="n">
        <f aca="false">(BI173/AR173)</f>
        <v>0.16</v>
      </c>
      <c r="BO173" s="11" t="n">
        <f aca="false">(BJ173/AS173)</f>
        <v>0.222222222222222</v>
      </c>
      <c r="BP173" s="11" t="n">
        <f aca="false">(BK173/AT173)</f>
        <v>0.172413793103448</v>
      </c>
      <c r="BQ173" s="11" t="n">
        <f aca="false">(BL173/AU173)</f>
        <v>0.421052631578947</v>
      </c>
      <c r="BR173" s="11" t="n">
        <f aca="false">(BM173/AV173)</f>
        <v>0.23</v>
      </c>
      <c r="BS173" s="11" t="n">
        <f aca="false">(100*BR173)</f>
        <v>23</v>
      </c>
      <c r="BT173" s="9" t="n">
        <v>2</v>
      </c>
      <c r="BU173" s="9" t="n">
        <v>0</v>
      </c>
      <c r="BV173" s="9" t="n">
        <v>5</v>
      </c>
      <c r="BW173" s="9" t="n">
        <v>0</v>
      </c>
      <c r="BX173" s="9" t="n">
        <v>0</v>
      </c>
      <c r="BY173" s="11" t="n">
        <f aca="false">(BU173+BV173+BW173+BX173)/4</f>
        <v>1.25</v>
      </c>
      <c r="BZ173" s="11" t="n">
        <f aca="false">(BU173/AR173)</f>
        <v>0</v>
      </c>
      <c r="CA173" s="11" t="n">
        <f aca="false">(BV173/AS173)</f>
        <v>0.185185185185185</v>
      </c>
      <c r="CB173" s="11" t="n">
        <f aca="false">(BW173/AT173)</f>
        <v>0</v>
      </c>
      <c r="CC173" s="11" t="n">
        <f aca="false">(BX173/AU173)</f>
        <v>0</v>
      </c>
      <c r="CD173" s="11" t="n">
        <f aca="false">(BY173/AV173)</f>
        <v>0.05</v>
      </c>
      <c r="CE173" s="11" t="n">
        <f aca="false">(100*CD173)</f>
        <v>5</v>
      </c>
      <c r="CF173" s="9" t="n">
        <v>1</v>
      </c>
      <c r="CG173" s="9" t="n">
        <v>13</v>
      </c>
      <c r="CH173" s="9" t="n">
        <v>6</v>
      </c>
      <c r="CI173" s="9" t="n">
        <v>8</v>
      </c>
      <c r="CJ173" s="9" t="n">
        <v>22</v>
      </c>
      <c r="CK173" s="11" t="n">
        <f aca="false">(CG173+CH173+CI173+CJ173)/4</f>
        <v>12.25</v>
      </c>
      <c r="CL173" s="11" t="n">
        <f aca="false">(CG173/AM173)</f>
        <v>0.224137931034483</v>
      </c>
      <c r="CM173" s="11" t="n">
        <f aca="false">(CH173/AN173)</f>
        <v>0.157894736842105</v>
      </c>
      <c r="CN173" s="11" t="n">
        <f aca="false">(CI173/AO173)</f>
        <v>0.10958904109589</v>
      </c>
      <c r="CO173" s="9" t="n">
        <f aca="false">(CJ173/AP173)</f>
        <v>0.392857142857143</v>
      </c>
      <c r="CP173" s="9" t="n">
        <f aca="false">(CK173/AQ173)</f>
        <v>0.217777777777778</v>
      </c>
      <c r="CQ173" s="9" t="n">
        <f aca="false">(100*CP173)</f>
        <v>21.7777777777778</v>
      </c>
      <c r="CR173" s="18" t="n">
        <v>2</v>
      </c>
      <c r="CS173" s="9" t="n">
        <v>66.1</v>
      </c>
      <c r="CT173" s="9" t="n">
        <v>50.6</v>
      </c>
      <c r="CU173" s="9" t="n">
        <v>60.1</v>
      </c>
      <c r="CV173" s="9" t="n">
        <v>59</v>
      </c>
      <c r="CW173" s="11" t="n">
        <f aca="false">(CS173+CT173+CU173+CV173)/4</f>
        <v>58.95</v>
      </c>
      <c r="CX173" s="9" t="n">
        <v>1</v>
      </c>
      <c r="CY173" s="9" t="n">
        <v>1</v>
      </c>
      <c r="CZ173" s="9" t="n">
        <v>0</v>
      </c>
      <c r="DA173" s="9" t="n">
        <v>0</v>
      </c>
      <c r="DB173" s="11" t="n">
        <f aca="false">(CX173+CY173+CZ173+DA173)/4</f>
        <v>0.5</v>
      </c>
      <c r="DC173" s="9" t="n">
        <v>1</v>
      </c>
      <c r="DD173" s="9" t="n">
        <v>1</v>
      </c>
      <c r="DE173" s="9" t="n">
        <v>1</v>
      </c>
      <c r="DF173" s="9" t="n">
        <v>1</v>
      </c>
      <c r="DG173" s="11" t="n">
        <f aca="false">(DC173+DD173+DE173+DF173)/4</f>
        <v>1</v>
      </c>
      <c r="DH173" s="9" t="n">
        <v>1</v>
      </c>
      <c r="DI173" s="9" t="n">
        <v>1</v>
      </c>
      <c r="DJ173" s="9" t="n">
        <v>1</v>
      </c>
      <c r="DK173" s="9" t="n">
        <v>1</v>
      </c>
      <c r="DL173" s="11" t="n">
        <f aca="false">(DH173+DI173+DJ173+DK173)/4</f>
        <v>1</v>
      </c>
      <c r="DM173" s="9" t="n">
        <v>36</v>
      </c>
      <c r="DN173" s="9" t="n">
        <v>52</v>
      </c>
      <c r="DO173" s="9" t="n">
        <v>117</v>
      </c>
      <c r="DP173" s="9" t="n">
        <v>108</v>
      </c>
      <c r="DQ173" s="11" t="n">
        <f aca="false">(DM173+DN173+DO173+DP173)/4</f>
        <v>78.25</v>
      </c>
      <c r="DR173" s="9" t="n">
        <v>7</v>
      </c>
      <c r="DS173" s="9" t="n">
        <v>10</v>
      </c>
      <c r="DT173" s="9" t="n">
        <v>7</v>
      </c>
      <c r="DU173" s="9" t="n">
        <v>16</v>
      </c>
      <c r="DV173" s="11" t="n">
        <f aca="false">(DR173+DS173+DT173+DU173)/4</f>
        <v>10</v>
      </c>
      <c r="DW173" s="9" t="n">
        <v>1</v>
      </c>
      <c r="DX173" s="9" t="n">
        <v>1</v>
      </c>
      <c r="DY173" s="9" t="n">
        <v>0</v>
      </c>
      <c r="DZ173" s="9" t="n">
        <v>0</v>
      </c>
      <c r="EA173" s="11" t="n">
        <f aca="false">(DW173+DX173+DY173+DZ173)/4</f>
        <v>0.5</v>
      </c>
      <c r="EB173" s="11" t="n">
        <f aca="false">(DW173/DR173)</f>
        <v>0.142857142857143</v>
      </c>
      <c r="EC173" s="11" t="n">
        <f aca="false">(DX173/DS173)</f>
        <v>0.1</v>
      </c>
      <c r="ED173" s="11" t="n">
        <f aca="false">(DY173/DT173)</f>
        <v>0</v>
      </c>
      <c r="EE173" s="11" t="n">
        <f aca="false">(DZ173/DU173)</f>
        <v>0</v>
      </c>
      <c r="EF173" s="11" t="n">
        <f aca="false">(EA173/DV173)</f>
        <v>0.05</v>
      </c>
      <c r="EG173" s="11" t="n">
        <f aca="false">(100*EF173)</f>
        <v>5</v>
      </c>
      <c r="EH173" s="9" t="n">
        <v>1</v>
      </c>
      <c r="EI173" s="9" t="n">
        <v>5</v>
      </c>
      <c r="EJ173" s="9" t="n">
        <v>8</v>
      </c>
      <c r="EK173" s="19" t="n">
        <v>4</v>
      </c>
      <c r="EL173" s="9" t="n">
        <v>4</v>
      </c>
      <c r="EM173" s="9" t="n">
        <f aca="false">(EI173+EJ173+EK173+EL173)/4</f>
        <v>5.25</v>
      </c>
      <c r="EN173" s="9" t="n">
        <f aca="false">(EI173/DR173)</f>
        <v>0.714285714285714</v>
      </c>
      <c r="EO173" s="9" t="n">
        <f aca="false">(EJ173/DS173)</f>
        <v>0.8</v>
      </c>
      <c r="EP173" s="9" t="n">
        <f aca="false">(EK173/DT173)</f>
        <v>0.571428571428571</v>
      </c>
      <c r="EQ173" s="9" t="n">
        <f aca="false">(EL173/DU173)</f>
        <v>0.25</v>
      </c>
      <c r="ER173" s="9" t="n">
        <f aca="false">EM173/DV173</f>
        <v>0.525</v>
      </c>
      <c r="ES173" s="9" t="n">
        <f aca="false">(100*ER173)</f>
        <v>52.5</v>
      </c>
      <c r="ET173" s="9" t="n">
        <v>3</v>
      </c>
      <c r="EU173" s="18" t="n">
        <v>3</v>
      </c>
      <c r="EV173" s="9" t="n">
        <v>1</v>
      </c>
      <c r="EW173" s="9" t="n">
        <v>1</v>
      </c>
      <c r="EX173" s="9" t="n">
        <v>0</v>
      </c>
      <c r="EY173" s="11" t="n">
        <f aca="false">(EU173+EV173+EW173+EX173)/4</f>
        <v>1.25</v>
      </c>
      <c r="EZ173" s="11" t="n">
        <f aca="false">(EU173/DR173)</f>
        <v>0.428571428571429</v>
      </c>
      <c r="FA173" s="11" t="n">
        <f aca="false">(EV173/DS173)</f>
        <v>0.1</v>
      </c>
      <c r="FB173" s="11" t="n">
        <f aca="false">(EW173/DT173)</f>
        <v>0.142857142857143</v>
      </c>
      <c r="FC173" s="11" t="n">
        <f aca="false">(EX173/DU173)</f>
        <v>0</v>
      </c>
      <c r="FD173" s="11" t="n">
        <f aca="false">(EY173/DV173)</f>
        <v>0.125</v>
      </c>
      <c r="FE173" s="11" t="n">
        <f aca="false">(100*FD173)</f>
        <v>12.5</v>
      </c>
      <c r="FF173" s="9" t="n">
        <v>2</v>
      </c>
      <c r="FG173" s="9" t="n">
        <v>13</v>
      </c>
      <c r="FH173" s="9" t="n">
        <v>14</v>
      </c>
      <c r="FI173" s="9" t="n">
        <v>20</v>
      </c>
      <c r="FJ173" s="9" t="n">
        <v>24</v>
      </c>
      <c r="FK173" s="11" t="n">
        <f aca="false">(FG173+FH173+FI173+FJ173)/4</f>
        <v>17.75</v>
      </c>
      <c r="FL173" s="11" t="n">
        <f aca="false">(FG173/DR173)</f>
        <v>1.85714285714286</v>
      </c>
      <c r="FM173" s="11" t="n">
        <f aca="false">(FH173/DS173)</f>
        <v>1.4</v>
      </c>
      <c r="FN173" s="11" t="n">
        <f aca="false">(FI173/DT173)</f>
        <v>2.85714285714286</v>
      </c>
      <c r="FO173" s="11" t="n">
        <f aca="false">(FJ173/DU173)</f>
        <v>1.5</v>
      </c>
      <c r="FP173" s="11" t="n">
        <f aca="false">(FK173/DV173)</f>
        <v>1.775</v>
      </c>
      <c r="FQ173" s="11" t="n">
        <f aca="false">(100*FP173)</f>
        <v>177.5</v>
      </c>
      <c r="FR173" s="9" t="n">
        <v>3</v>
      </c>
      <c r="FS173" s="9" t="n">
        <v>55.9</v>
      </c>
      <c r="FT173" s="9" t="n">
        <v>51.2</v>
      </c>
      <c r="FU173" s="9" t="n">
        <v>48.1</v>
      </c>
      <c r="FV173" s="9" t="n">
        <v>60.8</v>
      </c>
      <c r="FW173" s="11" t="n">
        <f aca="false">(FS173+FT173+FU173+FV173)/4</f>
        <v>54</v>
      </c>
      <c r="FX173" s="9" t="n">
        <v>0</v>
      </c>
      <c r="FY173" s="9" t="n">
        <v>0</v>
      </c>
      <c r="FZ173" s="9" t="n">
        <v>0</v>
      </c>
      <c r="GA173" s="9" t="n">
        <v>0</v>
      </c>
      <c r="GB173" s="11" t="n">
        <f aca="false">(FX173+FY173+FZ173+GA173)/4</f>
        <v>0</v>
      </c>
      <c r="GC173" s="9" t="n">
        <v>1</v>
      </c>
      <c r="GD173" s="9" t="n">
        <v>1</v>
      </c>
      <c r="GE173" s="9" t="n">
        <v>1</v>
      </c>
      <c r="GF173" s="9" t="n">
        <v>1</v>
      </c>
      <c r="GG173" s="11" t="n">
        <f aca="false">(GC173+GD173+GE173+GF173)/4</f>
        <v>1</v>
      </c>
      <c r="GH173" s="9" t="n">
        <v>1</v>
      </c>
      <c r="GI173" s="9" t="n">
        <v>1</v>
      </c>
      <c r="GJ173" s="9" t="n">
        <v>1</v>
      </c>
      <c r="GK173" s="9" t="n">
        <v>1</v>
      </c>
      <c r="GL173" s="11" t="n">
        <f aca="false">(GH173+GI173+GJ173+GK173)/4</f>
        <v>1</v>
      </c>
      <c r="GM173" s="9" t="n">
        <v>164</v>
      </c>
      <c r="GN173" s="9" t="n">
        <v>153</v>
      </c>
      <c r="GO173" s="9" t="n">
        <v>200</v>
      </c>
      <c r="GP173" s="9" t="n">
        <v>143</v>
      </c>
      <c r="GQ173" s="11" t="n">
        <f aca="false">(GM173+GN173+GO173+GP173)/4</f>
        <v>165</v>
      </c>
      <c r="GR173" s="9" t="n">
        <v>12</v>
      </c>
      <c r="GS173" s="9" t="n">
        <v>12</v>
      </c>
      <c r="GT173" s="9" t="n">
        <v>10</v>
      </c>
      <c r="GU173" s="9" t="n">
        <v>3</v>
      </c>
      <c r="GV173" s="11" t="n">
        <f aca="false">(GR173+GS173+GT173+GU173)/4</f>
        <v>9.25</v>
      </c>
      <c r="GW173" s="9" t="n">
        <v>0</v>
      </c>
      <c r="GX173" s="9" t="n">
        <v>0</v>
      </c>
      <c r="GY173" s="9" t="n">
        <v>0</v>
      </c>
      <c r="GZ173" s="9" t="n">
        <v>0</v>
      </c>
      <c r="HA173" s="11" t="n">
        <f aca="false">(GW173+GX173+GY173+GZ173)/4</f>
        <v>0</v>
      </c>
      <c r="HB173" s="9" t="n">
        <f aca="false">(GW173/GR173)</f>
        <v>0</v>
      </c>
      <c r="HC173" s="9" t="n">
        <f aca="false">(GX173/GS173)</f>
        <v>0</v>
      </c>
      <c r="HD173" s="9" t="n">
        <f aca="false">(GY173/GT173)</f>
        <v>0</v>
      </c>
      <c r="HE173" s="9" t="n">
        <f aca="false">(GZ173/GU173)/4</f>
        <v>0</v>
      </c>
      <c r="HF173" s="9" t="n">
        <f aca="false">(HB173+HC173+HD173+HE173)/4</f>
        <v>0</v>
      </c>
      <c r="HG173" s="9" t="n">
        <f aca="false">(100*HF173)</f>
        <v>0</v>
      </c>
      <c r="HH173" s="18" t="n">
        <v>0</v>
      </c>
      <c r="HI173" s="9" t="n">
        <v>3</v>
      </c>
      <c r="HJ173" s="9" t="n">
        <v>2</v>
      </c>
      <c r="HK173" s="9" t="n">
        <v>4</v>
      </c>
      <c r="HL173" s="19" t="n">
        <v>2</v>
      </c>
      <c r="HM173" s="9" t="n">
        <f aca="false">(HI173+HJ173+HK173+HL173)/4</f>
        <v>2.75</v>
      </c>
      <c r="HN173" s="9" t="n">
        <f aca="false">(HI173/GR173)</f>
        <v>0.25</v>
      </c>
      <c r="HO173" s="9" t="n">
        <f aca="false">(HJ173/GS173)</f>
        <v>0.166666666666667</v>
      </c>
      <c r="HP173" s="9" t="n">
        <f aca="false">(HK173/GT173)</f>
        <v>0.4</v>
      </c>
      <c r="HQ173" s="9" t="n">
        <f aca="false">(HL173/GU173)</f>
        <v>0.666666666666667</v>
      </c>
      <c r="HR173" s="9" t="n">
        <f aca="false">(HM173/GV173)</f>
        <v>0.297297297297297</v>
      </c>
      <c r="HS173" s="9" t="n">
        <f aca="false">(100*HR173)</f>
        <v>29.7297297297297</v>
      </c>
      <c r="HT173" s="18" t="n">
        <v>2</v>
      </c>
      <c r="HU173" s="9" t="n">
        <v>0</v>
      </c>
      <c r="HV173" s="9" t="n">
        <v>0</v>
      </c>
      <c r="HW173" s="9" t="n">
        <v>0</v>
      </c>
      <c r="HX173" s="19" t="n">
        <v>0</v>
      </c>
      <c r="HY173" s="9" t="n">
        <f aca="false">(HU173+HV173+HW173+HX173)/4</f>
        <v>0</v>
      </c>
      <c r="HZ173" s="9" t="n">
        <f aca="false">(HU173/GR173)</f>
        <v>0</v>
      </c>
      <c r="IA173" s="9" t="n">
        <f aca="false">HV173/GS173</f>
        <v>0</v>
      </c>
      <c r="IB173" s="9" t="n">
        <f aca="false">(HW173/GT173)</f>
        <v>0</v>
      </c>
      <c r="IC173" s="9" t="n">
        <f aca="false">(HX173/GU173)</f>
        <v>0</v>
      </c>
      <c r="ID173" s="9" t="n">
        <f aca="false">(HY173/GV173)</f>
        <v>0</v>
      </c>
      <c r="IE173" s="9" t="n">
        <f aca="false">(100*ID173)</f>
        <v>0</v>
      </c>
      <c r="IF173" s="18" t="n">
        <v>0</v>
      </c>
      <c r="IG173" s="9" t="n">
        <v>53</v>
      </c>
      <c r="IH173" s="9" t="n">
        <v>25</v>
      </c>
      <c r="II173" s="19" t="n">
        <v>60</v>
      </c>
      <c r="IJ173" s="9" t="n">
        <v>14</v>
      </c>
      <c r="IK173" s="9" t="n">
        <f aca="false">(IG173+IH173+II173+IJ173)/4</f>
        <v>38</v>
      </c>
      <c r="IL173" s="9" t="n">
        <f aca="false">(IG173/GM173)</f>
        <v>0.323170731707317</v>
      </c>
      <c r="IM173" s="9" t="n">
        <f aca="false">(IH173/GN173)</f>
        <v>0.163398692810458</v>
      </c>
      <c r="IN173" s="9" t="n">
        <f aca="false">(II173/GO173)</f>
        <v>0.3</v>
      </c>
      <c r="IO173" s="9" t="n">
        <f aca="false">(IJ173/GP173)</f>
        <v>0.0979020979020979</v>
      </c>
      <c r="IP173" s="9" t="n">
        <f aca="false">(IK173/GQ173)</f>
        <v>0.23030303030303</v>
      </c>
      <c r="IQ173" s="9" t="n">
        <f aca="false">(100*IP173)</f>
        <v>23.030303030303</v>
      </c>
      <c r="IR173" s="18" t="n">
        <v>2</v>
      </c>
      <c r="IS173" s="9" t="n">
        <v>51.3</v>
      </c>
      <c r="IT173" s="9" t="n">
        <v>54.5</v>
      </c>
      <c r="IU173" s="19" t="n">
        <v>53.9</v>
      </c>
      <c r="IV173" s="9" t="n">
        <v>55.4</v>
      </c>
      <c r="IW173" s="9" t="n">
        <f aca="false">(IS173+IT173+IU173+IV173)/4</f>
        <v>53.775</v>
      </c>
      <c r="IX173" s="16" t="n">
        <v>45209</v>
      </c>
      <c r="IY173" s="10" t="s">
        <v>268</v>
      </c>
    </row>
    <row r="174" customFormat="false" ht="15.75" hidden="false" customHeight="true" outlineLevel="0" collapsed="false">
      <c r="A174" s="9" t="s">
        <v>299</v>
      </c>
      <c r="B174" s="10" t="s">
        <v>657</v>
      </c>
      <c r="C174" s="10" t="s">
        <v>626</v>
      </c>
      <c r="D174" s="9" t="n">
        <v>2</v>
      </c>
      <c r="E174" s="9" t="n">
        <v>58</v>
      </c>
      <c r="F174" s="10" t="s">
        <v>661</v>
      </c>
      <c r="G174" s="10" t="s">
        <v>297</v>
      </c>
      <c r="H174" s="9" t="n">
        <v>21</v>
      </c>
      <c r="I174" s="9" t="n">
        <v>12.5</v>
      </c>
      <c r="J174" s="12" t="s">
        <v>270</v>
      </c>
      <c r="K174" s="20"/>
      <c r="L174" s="20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 t="n">
        <v>0</v>
      </c>
      <c r="Y174" s="9" t="n">
        <v>0</v>
      </c>
      <c r="Z174" s="9" t="n">
        <v>0</v>
      </c>
      <c r="AA174" s="9" t="n">
        <v>0</v>
      </c>
      <c r="AB174" s="11" t="n">
        <f aca="false">(X174+Y174+Z174+AA174)/4</f>
        <v>0</v>
      </c>
      <c r="AC174" s="9" t="n">
        <v>1</v>
      </c>
      <c r="AD174" s="9" t="n">
        <v>1</v>
      </c>
      <c r="AE174" s="9" t="n">
        <v>1</v>
      </c>
      <c r="AF174" s="9" t="n">
        <v>1</v>
      </c>
      <c r="AG174" s="11" t="n">
        <f aca="false">(AC174+AD174+AE174+AF174)/4</f>
        <v>1</v>
      </c>
      <c r="AH174" s="9" t="n">
        <v>1</v>
      </c>
      <c r="AI174" s="9" t="n">
        <v>1</v>
      </c>
      <c r="AJ174" s="9" t="n">
        <v>1</v>
      </c>
      <c r="AK174" s="9" t="n">
        <v>1</v>
      </c>
      <c r="AL174" s="11" t="n">
        <f aca="false">(AH174+AI174+AJ174+AK174)/4</f>
        <v>1</v>
      </c>
      <c r="AM174" s="9" t="n">
        <v>34</v>
      </c>
      <c r="AN174" s="9" t="n">
        <v>38</v>
      </c>
      <c r="AO174" s="9" t="n">
        <v>109</v>
      </c>
      <c r="AP174" s="9" t="n">
        <v>74</v>
      </c>
      <c r="AQ174" s="11" t="n">
        <f aca="false">(AM174+AN174+AO174+AP174)/4</f>
        <v>63.75</v>
      </c>
      <c r="AR174" s="9" t="n">
        <v>11</v>
      </c>
      <c r="AS174" s="9" t="n">
        <v>11</v>
      </c>
      <c r="AT174" s="9" t="n">
        <v>9</v>
      </c>
      <c r="AU174" s="9" t="n">
        <v>7</v>
      </c>
      <c r="AV174" s="11" t="n">
        <f aca="false">(AR174+AS174+AT174+AU174)/4</f>
        <v>9.5</v>
      </c>
      <c r="AW174" s="9" t="n">
        <v>0</v>
      </c>
      <c r="AX174" s="9" t="n">
        <v>0</v>
      </c>
      <c r="AY174" s="9" t="n">
        <v>0</v>
      </c>
      <c r="AZ174" s="9" t="n">
        <v>0</v>
      </c>
      <c r="BA174" s="11" t="n">
        <f aca="false">(AW174+AX174+AY174+AZ174)/4</f>
        <v>0</v>
      </c>
      <c r="BB174" s="11" t="n">
        <f aca="false">(AW174/AR174)</f>
        <v>0</v>
      </c>
      <c r="BC174" s="11" t="n">
        <f aca="false">(AX174/AS174)</f>
        <v>0</v>
      </c>
      <c r="BD174" s="11" t="n">
        <f aca="false">(AY174/AT174)</f>
        <v>0</v>
      </c>
      <c r="BE174" s="11" t="n">
        <f aca="false">(AZ174/AU174)</f>
        <v>0</v>
      </c>
      <c r="BF174" s="11" t="n">
        <f aca="false">(BA174/AV174)</f>
        <v>0</v>
      </c>
      <c r="BG174" s="11" t="n">
        <f aca="false">(BF174*100)</f>
        <v>0</v>
      </c>
      <c r="BH174" s="9" t="n">
        <v>0</v>
      </c>
      <c r="BI174" s="9" t="n">
        <v>6</v>
      </c>
      <c r="BJ174" s="9" t="n">
        <v>6</v>
      </c>
      <c r="BK174" s="9" t="n">
        <v>5</v>
      </c>
      <c r="BL174" s="9" t="n">
        <v>4</v>
      </c>
      <c r="BM174" s="11" t="n">
        <f aca="false">(BI174+BJ174+BK174+BL174)/4</f>
        <v>5.25</v>
      </c>
      <c r="BN174" s="11" t="n">
        <f aca="false">(BI174/AR174)</f>
        <v>0.545454545454545</v>
      </c>
      <c r="BO174" s="11" t="n">
        <f aca="false">(BJ174/AS174)</f>
        <v>0.545454545454545</v>
      </c>
      <c r="BP174" s="11" t="n">
        <f aca="false">(BK174/AT174)</f>
        <v>0.555555555555556</v>
      </c>
      <c r="BQ174" s="11" t="n">
        <f aca="false">(BL174/AU174)</f>
        <v>0.571428571428571</v>
      </c>
      <c r="BR174" s="11" t="n">
        <f aca="false">(BM174/AV174)</f>
        <v>0.552631578947369</v>
      </c>
      <c r="BS174" s="11" t="n">
        <f aca="false">(100*BR174)</f>
        <v>55.2631578947369</v>
      </c>
      <c r="BT174" s="9" t="n">
        <v>3</v>
      </c>
      <c r="BU174" s="9" t="n">
        <v>0</v>
      </c>
      <c r="BV174" s="9" t="n">
        <v>0</v>
      </c>
      <c r="BW174" s="9" t="n">
        <v>0</v>
      </c>
      <c r="BX174" s="9" t="n">
        <v>0</v>
      </c>
      <c r="BY174" s="11" t="n">
        <f aca="false">(BU174+BV174+BW174+BX174)/4</f>
        <v>0</v>
      </c>
      <c r="BZ174" s="11" t="n">
        <f aca="false">(BU174/AR174)</f>
        <v>0</v>
      </c>
      <c r="CA174" s="11" t="n">
        <f aca="false">(BV174/AS174)</f>
        <v>0</v>
      </c>
      <c r="CB174" s="11" t="n">
        <f aca="false">(BW174/AT174)</f>
        <v>0</v>
      </c>
      <c r="CC174" s="11" t="n">
        <f aca="false">(BX174/AU174)</f>
        <v>0</v>
      </c>
      <c r="CD174" s="11" t="n">
        <f aca="false">(BY174/AV174)</f>
        <v>0</v>
      </c>
      <c r="CE174" s="11" t="n">
        <f aca="false">(100*CD174)</f>
        <v>0</v>
      </c>
      <c r="CF174" s="9" t="n">
        <v>0</v>
      </c>
      <c r="CG174" s="9" t="n">
        <v>32</v>
      </c>
      <c r="CH174" s="9" t="n">
        <v>8</v>
      </c>
      <c r="CI174" s="9" t="n">
        <v>47</v>
      </c>
      <c r="CJ174" s="9" t="n">
        <v>10</v>
      </c>
      <c r="CK174" s="11" t="n">
        <f aca="false">(CG174+CH174+CI174+CJ174)/4</f>
        <v>24.25</v>
      </c>
      <c r="CL174" s="11" t="n">
        <f aca="false">(CG174/AM174)</f>
        <v>0.941176470588235</v>
      </c>
      <c r="CM174" s="11" t="n">
        <f aca="false">(CH174/AN174)</f>
        <v>0.210526315789474</v>
      </c>
      <c r="CN174" s="11" t="n">
        <f aca="false">(CI174/AO174)</f>
        <v>0.431192660550459</v>
      </c>
      <c r="CO174" s="9" t="n">
        <f aca="false">(CJ174/AP174)</f>
        <v>0.135135135135135</v>
      </c>
      <c r="CP174" s="9" t="n">
        <f aca="false">(CK174/AQ174)</f>
        <v>0.380392156862745</v>
      </c>
      <c r="CQ174" s="9" t="n">
        <f aca="false">(100*CP174)</f>
        <v>38.0392156862745</v>
      </c>
      <c r="CR174" s="18" t="n">
        <v>3</v>
      </c>
      <c r="CS174" s="9" t="n">
        <v>78.3</v>
      </c>
      <c r="CT174" s="9" t="n">
        <v>76.5</v>
      </c>
      <c r="CU174" s="9" t="n">
        <v>69.6</v>
      </c>
      <c r="CV174" s="9" t="n">
        <v>55.8</v>
      </c>
      <c r="CW174" s="11" t="n">
        <f aca="false">(CS174+CT174+CU174+CV174)/4</f>
        <v>70.05</v>
      </c>
      <c r="CX174" s="9" t="n">
        <v>0</v>
      </c>
      <c r="CY174" s="9" t="n">
        <v>0</v>
      </c>
      <c r="CZ174" s="9" t="n">
        <v>0</v>
      </c>
      <c r="DA174" s="9" t="n">
        <v>0</v>
      </c>
      <c r="DB174" s="11" t="n">
        <f aca="false">(CX174+CY174+CZ174+DA174)/4</f>
        <v>0</v>
      </c>
      <c r="DC174" s="9" t="n">
        <v>1</v>
      </c>
      <c r="DD174" s="9" t="n">
        <v>1</v>
      </c>
      <c r="DE174" s="9" t="n">
        <v>1</v>
      </c>
      <c r="DF174" s="9" t="n">
        <v>1</v>
      </c>
      <c r="DG174" s="11" t="n">
        <f aca="false">(DC174+DD174+DE174+DF174)/4</f>
        <v>1</v>
      </c>
      <c r="DH174" s="9" t="n">
        <v>1</v>
      </c>
      <c r="DI174" s="9" t="n">
        <v>1</v>
      </c>
      <c r="DJ174" s="9" t="n">
        <v>1</v>
      </c>
      <c r="DK174" s="9" t="n">
        <v>1</v>
      </c>
      <c r="DL174" s="11" t="n">
        <f aca="false">(DH174+DI174+DJ174+DK174)/4</f>
        <v>1</v>
      </c>
      <c r="DM174" s="9" t="n">
        <v>71</v>
      </c>
      <c r="DN174" s="9" t="n">
        <v>94</v>
      </c>
      <c r="DO174" s="9" t="n">
        <v>40</v>
      </c>
      <c r="DP174" s="9" t="n">
        <v>142</v>
      </c>
      <c r="DQ174" s="11" t="n">
        <f aca="false">(DM174+DN174+DO174+DP174)/4</f>
        <v>86.75</v>
      </c>
      <c r="DR174" s="9" t="n">
        <v>4</v>
      </c>
      <c r="DS174" s="9" t="n">
        <v>24</v>
      </c>
      <c r="DT174" s="9" t="n">
        <v>7</v>
      </c>
      <c r="DU174" s="9" t="n">
        <v>12</v>
      </c>
      <c r="DV174" s="11" t="n">
        <f aca="false">(DR174+DS174+DT174+DU174)/4</f>
        <v>11.75</v>
      </c>
      <c r="DW174" s="9" t="n">
        <v>0</v>
      </c>
      <c r="DX174" s="9" t="n">
        <v>0</v>
      </c>
      <c r="DY174" s="9" t="n">
        <v>0</v>
      </c>
      <c r="DZ174" s="9" t="n">
        <v>0</v>
      </c>
      <c r="EA174" s="11" t="n">
        <f aca="false">(DW174+DX174+DY174+DZ174)/4</f>
        <v>0</v>
      </c>
      <c r="EB174" s="11" t="n">
        <f aca="false">(DW174/DR174)</f>
        <v>0</v>
      </c>
      <c r="EC174" s="11" t="n">
        <f aca="false">(DX174/DS174)</f>
        <v>0</v>
      </c>
      <c r="ED174" s="11" t="n">
        <f aca="false">(DY174/DT174)</f>
        <v>0</v>
      </c>
      <c r="EE174" s="11" t="n">
        <f aca="false">(DZ174/DU174)</f>
        <v>0</v>
      </c>
      <c r="EF174" s="11" t="n">
        <f aca="false">(EA174/DV174)</f>
        <v>0</v>
      </c>
      <c r="EG174" s="11" t="n">
        <f aca="false">(100*EF174)</f>
        <v>0</v>
      </c>
      <c r="EH174" s="9" t="n">
        <v>0</v>
      </c>
      <c r="EI174" s="9" t="n">
        <v>3</v>
      </c>
      <c r="EJ174" s="9" t="n">
        <v>2</v>
      </c>
      <c r="EK174" s="19" t="n">
        <v>3</v>
      </c>
      <c r="EL174" s="9" t="n">
        <v>4</v>
      </c>
      <c r="EM174" s="9" t="n">
        <f aca="false">(EI174+EJ174+EK174+EL174)/4</f>
        <v>3</v>
      </c>
      <c r="EN174" s="9" t="n">
        <f aca="false">(EI174/DR174)</f>
        <v>0.75</v>
      </c>
      <c r="EO174" s="9" t="n">
        <f aca="false">(EJ174/DS174)</f>
        <v>0.0833333333333333</v>
      </c>
      <c r="EP174" s="9" t="n">
        <f aca="false">(EK174/DT174)</f>
        <v>0.428571428571429</v>
      </c>
      <c r="EQ174" s="9" t="n">
        <f aca="false">(EL174/DU174)</f>
        <v>0.333333333333333</v>
      </c>
      <c r="ER174" s="9" t="n">
        <f aca="false">EM174/DV174</f>
        <v>0.25531914893617</v>
      </c>
      <c r="ES174" s="9" t="n">
        <f aca="false">(100*ER174)</f>
        <v>25.531914893617</v>
      </c>
      <c r="ET174" s="9" t="n">
        <v>2</v>
      </c>
      <c r="EU174" s="18" t="n">
        <v>0</v>
      </c>
      <c r="EV174" s="9" t="n">
        <v>0</v>
      </c>
      <c r="EW174" s="9" t="n">
        <v>0</v>
      </c>
      <c r="EX174" s="9" t="n">
        <v>0</v>
      </c>
      <c r="EY174" s="11" t="n">
        <f aca="false">(EU174+EV174+EW174+EX174)/4</f>
        <v>0</v>
      </c>
      <c r="EZ174" s="11" t="n">
        <f aca="false">(EU174/DR174)</f>
        <v>0</v>
      </c>
      <c r="FA174" s="11" t="n">
        <f aca="false">(EV174/DS174)</f>
        <v>0</v>
      </c>
      <c r="FB174" s="11" t="n">
        <f aca="false">(EW174/DT174)</f>
        <v>0</v>
      </c>
      <c r="FC174" s="11" t="n">
        <f aca="false">(EX174/DU174)</f>
        <v>0</v>
      </c>
      <c r="FD174" s="11" t="n">
        <f aca="false">(EY174/DV174)</f>
        <v>0</v>
      </c>
      <c r="FE174" s="11" t="n">
        <f aca="false">(100*FD174)</f>
        <v>0</v>
      </c>
      <c r="FF174" s="9" t="n">
        <v>0</v>
      </c>
      <c r="FG174" s="9" t="n">
        <v>40</v>
      </c>
      <c r="FH174" s="9" t="n">
        <v>20</v>
      </c>
      <c r="FI174" s="9" t="n">
        <v>30</v>
      </c>
      <c r="FJ174" s="9" t="n">
        <v>25</v>
      </c>
      <c r="FK174" s="11" t="n">
        <f aca="false">(FG174+FH174+FI174+FJ174)/4</f>
        <v>28.75</v>
      </c>
      <c r="FL174" s="11" t="n">
        <f aca="false">(FG174/DR174)</f>
        <v>10</v>
      </c>
      <c r="FM174" s="11" t="n">
        <f aca="false">(FH174/DS174)</f>
        <v>0.833333333333333</v>
      </c>
      <c r="FN174" s="11" t="n">
        <f aca="false">(FI174/DT174)</f>
        <v>4.28571428571429</v>
      </c>
      <c r="FO174" s="11" t="n">
        <f aca="false">(FJ174/DU174)</f>
        <v>2.08333333333333</v>
      </c>
      <c r="FP174" s="11" t="n">
        <f aca="false">(FK174/DV174)</f>
        <v>2.4468085106383</v>
      </c>
      <c r="FQ174" s="11" t="n">
        <f aca="false">(100*FP174)</f>
        <v>244.68085106383</v>
      </c>
      <c r="FR174" s="9" t="n">
        <v>3</v>
      </c>
      <c r="FS174" s="9" t="n">
        <v>53.6</v>
      </c>
      <c r="FT174" s="9" t="n">
        <v>54.2</v>
      </c>
      <c r="FU174" s="9" t="n">
        <v>53.5</v>
      </c>
      <c r="FV174" s="9" t="n">
        <v>71.1</v>
      </c>
      <c r="FW174" s="11" t="n">
        <f aca="false">(FS174+FT174+FU174+FV174)/4</f>
        <v>58.1</v>
      </c>
      <c r="FX174" s="9" t="n">
        <v>0</v>
      </c>
      <c r="FY174" s="9" t="n">
        <v>0</v>
      </c>
      <c r="FZ174" s="9" t="n">
        <v>0</v>
      </c>
      <c r="GA174" s="9" t="n">
        <v>0</v>
      </c>
      <c r="GB174" s="11" t="n">
        <f aca="false">(FX174+FY174+FZ174+GA174)/4</f>
        <v>0</v>
      </c>
      <c r="GC174" s="9" t="n">
        <v>1</v>
      </c>
      <c r="GD174" s="9" t="n">
        <v>1</v>
      </c>
      <c r="GE174" s="9" t="n">
        <v>0</v>
      </c>
      <c r="GF174" s="9" t="n">
        <v>0</v>
      </c>
      <c r="GG174" s="11" t="n">
        <f aca="false">(GC174+GD174+GE174+GF174)/4</f>
        <v>0.5</v>
      </c>
      <c r="GH174" s="9" t="n">
        <v>1</v>
      </c>
      <c r="GI174" s="9" t="n">
        <v>1</v>
      </c>
      <c r="GJ174" s="9" t="n">
        <v>1</v>
      </c>
      <c r="GK174" s="9" t="n">
        <v>1</v>
      </c>
      <c r="GL174" s="11" t="n">
        <f aca="false">(GH174+GI174+GJ174+GK174)/4</f>
        <v>1</v>
      </c>
      <c r="GM174" s="9" t="n">
        <v>77</v>
      </c>
      <c r="GN174" s="9" t="n">
        <v>78</v>
      </c>
      <c r="GO174" s="9" t="n">
        <v>74</v>
      </c>
      <c r="GP174" s="9" t="n">
        <v>110</v>
      </c>
      <c r="GQ174" s="11" t="n">
        <f aca="false">(GM174+GN174+GO174+GP174)/4</f>
        <v>84.75</v>
      </c>
      <c r="GR174" s="9" t="n">
        <v>13</v>
      </c>
      <c r="GS174" s="9" t="n">
        <v>17</v>
      </c>
      <c r="GT174" s="9" t="n">
        <v>10</v>
      </c>
      <c r="GU174" s="9" t="n">
        <v>7</v>
      </c>
      <c r="GV174" s="11" t="n">
        <f aca="false">(GR174+GS174+GT174+GU174)/4</f>
        <v>11.75</v>
      </c>
      <c r="GW174" s="9" t="n">
        <v>0</v>
      </c>
      <c r="GX174" s="9" t="n">
        <v>0</v>
      </c>
      <c r="GY174" s="9" t="n">
        <v>0</v>
      </c>
      <c r="GZ174" s="9" t="n">
        <v>0</v>
      </c>
      <c r="HA174" s="11" t="n">
        <f aca="false">(GW174+GX174+GY174+GZ174)/4</f>
        <v>0</v>
      </c>
      <c r="HB174" s="9" t="n">
        <f aca="false">(GW174/GR174)</f>
        <v>0</v>
      </c>
      <c r="HC174" s="9" t="n">
        <f aca="false">(GX174/GS174)</f>
        <v>0</v>
      </c>
      <c r="HD174" s="9" t="n">
        <f aca="false">(GY174/GT174)</f>
        <v>0</v>
      </c>
      <c r="HE174" s="9" t="n">
        <f aca="false">(GZ174/GU174)/4</f>
        <v>0</v>
      </c>
      <c r="HF174" s="9" t="n">
        <f aca="false">(HB174+HC174+HD174+HE174)/4</f>
        <v>0</v>
      </c>
      <c r="HG174" s="9" t="n">
        <f aca="false">(100*HF174)</f>
        <v>0</v>
      </c>
      <c r="HH174" s="18" t="n">
        <v>0</v>
      </c>
      <c r="HI174" s="9" t="n">
        <v>1</v>
      </c>
      <c r="HJ174" s="9" t="n">
        <v>2</v>
      </c>
      <c r="HK174" s="9" t="n">
        <v>0</v>
      </c>
      <c r="HL174" s="19" t="n">
        <v>0</v>
      </c>
      <c r="HM174" s="9" t="n">
        <f aca="false">(HI174+HJ174+HK174+HL174)/4</f>
        <v>0.75</v>
      </c>
      <c r="HN174" s="9" t="n">
        <f aca="false">(HI174/GR174)</f>
        <v>0.0769230769230769</v>
      </c>
      <c r="HO174" s="9" t="n">
        <f aca="false">(HJ174/GS174)</f>
        <v>0.117647058823529</v>
      </c>
      <c r="HP174" s="9" t="n">
        <f aca="false">(HK174/GT174)</f>
        <v>0</v>
      </c>
      <c r="HQ174" s="9" t="n">
        <f aca="false">(HL174/GU174)</f>
        <v>0</v>
      </c>
      <c r="HR174" s="9" t="n">
        <f aca="false">(HM174/GV174)</f>
        <v>0.0638297872340426</v>
      </c>
      <c r="HS174" s="9" t="n">
        <f aca="false">(100*HR174)</f>
        <v>6.38297872340426</v>
      </c>
      <c r="HT174" s="18" t="n">
        <v>1</v>
      </c>
      <c r="HU174" s="9" t="n">
        <v>0</v>
      </c>
      <c r="HV174" s="9" t="n">
        <v>0</v>
      </c>
      <c r="HW174" s="9" t="n">
        <v>0</v>
      </c>
      <c r="HX174" s="19" t="n">
        <v>2</v>
      </c>
      <c r="HY174" s="9" t="n">
        <f aca="false">(HU174+HV174+HW174+HX174)/4</f>
        <v>0.5</v>
      </c>
      <c r="HZ174" s="9" t="n">
        <f aca="false">(HU174/GR174)</f>
        <v>0</v>
      </c>
      <c r="IA174" s="9" t="n">
        <f aca="false">HV174/GS174</f>
        <v>0</v>
      </c>
      <c r="IB174" s="9" t="n">
        <f aca="false">(HW174/GT174)</f>
        <v>0</v>
      </c>
      <c r="IC174" s="9" t="n">
        <f aca="false">(HX174/GU174)</f>
        <v>0.285714285714286</v>
      </c>
      <c r="ID174" s="9" t="n">
        <f aca="false">(HY174/GV174)</f>
        <v>0.0425531914893617</v>
      </c>
      <c r="IE174" s="9" t="n">
        <f aca="false">(100*ID174)</f>
        <v>4.25531914893617</v>
      </c>
      <c r="IF174" s="18" t="n">
        <v>1</v>
      </c>
      <c r="IG174" s="9" t="n">
        <v>10</v>
      </c>
      <c r="IH174" s="9" t="n">
        <v>18</v>
      </c>
      <c r="II174" s="19" t="n">
        <v>8</v>
      </c>
      <c r="IJ174" s="9" t="n">
        <v>12</v>
      </c>
      <c r="IK174" s="9" t="n">
        <f aca="false">(IG174+IH174+II174+IJ174)/4</f>
        <v>12</v>
      </c>
      <c r="IL174" s="9" t="n">
        <f aca="false">(IG174/GM174)</f>
        <v>0.12987012987013</v>
      </c>
      <c r="IM174" s="9" t="n">
        <f aca="false">(IH174/GN174)</f>
        <v>0.230769230769231</v>
      </c>
      <c r="IN174" s="9" t="n">
        <f aca="false">(II174/GO174)</f>
        <v>0.108108108108108</v>
      </c>
      <c r="IO174" s="9" t="n">
        <f aca="false">(IJ174/GP174)</f>
        <v>0.109090909090909</v>
      </c>
      <c r="IP174" s="9" t="n">
        <f aca="false">(IK174/GQ174)</f>
        <v>0.141592920353982</v>
      </c>
      <c r="IQ174" s="9" t="n">
        <f aca="false">(100*IP174)</f>
        <v>14.1592920353982</v>
      </c>
      <c r="IR174" s="18" t="n">
        <v>2</v>
      </c>
      <c r="IS174" s="9" t="n">
        <v>67.7</v>
      </c>
      <c r="IT174" s="9" t="n">
        <v>66.1</v>
      </c>
      <c r="IU174" s="19" t="n">
        <v>74.1</v>
      </c>
      <c r="IV174" s="9" t="n">
        <v>47.5</v>
      </c>
      <c r="IW174" s="9" t="n">
        <f aca="false">(IS174+IT174+IU174+IV174)/4</f>
        <v>63.85</v>
      </c>
      <c r="IX174" s="16" t="n">
        <v>45209</v>
      </c>
      <c r="IY174" s="10" t="s">
        <v>268</v>
      </c>
    </row>
    <row r="175" customFormat="false" ht="15.75" hidden="false" customHeight="true" outlineLevel="0" collapsed="false">
      <c r="A175" s="9" t="s">
        <v>299</v>
      </c>
      <c r="B175" s="10" t="s">
        <v>657</v>
      </c>
      <c r="C175" s="10" t="s">
        <v>626</v>
      </c>
      <c r="D175" s="9" t="n">
        <v>2</v>
      </c>
      <c r="E175" s="9" t="n">
        <v>58</v>
      </c>
      <c r="F175" s="10" t="s">
        <v>662</v>
      </c>
      <c r="G175" s="10" t="s">
        <v>320</v>
      </c>
      <c r="H175" s="9" t="n">
        <v>21</v>
      </c>
      <c r="I175" s="9" t="n">
        <v>20</v>
      </c>
      <c r="J175" s="10" t="s">
        <v>272</v>
      </c>
      <c r="K175" s="20"/>
      <c r="L175" s="20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 t="n">
        <v>0</v>
      </c>
      <c r="Y175" s="9" t="n">
        <v>0</v>
      </c>
      <c r="Z175" s="9" t="n">
        <v>0</v>
      </c>
      <c r="AA175" s="9" t="n">
        <v>0</v>
      </c>
      <c r="AB175" s="11" t="n">
        <f aca="false">(X175+Y175+Z175+AA175)/4</f>
        <v>0</v>
      </c>
      <c r="AC175" s="9" t="n">
        <v>1</v>
      </c>
      <c r="AD175" s="9" t="n">
        <v>1</v>
      </c>
      <c r="AE175" s="9" t="n">
        <v>1</v>
      </c>
      <c r="AF175" s="9" t="n">
        <v>1</v>
      </c>
      <c r="AG175" s="11" t="n">
        <f aca="false">(AC175+AD175+AE175+AF175)/4</f>
        <v>1</v>
      </c>
      <c r="AH175" s="9" t="n">
        <v>1</v>
      </c>
      <c r="AI175" s="9" t="n">
        <v>0</v>
      </c>
      <c r="AJ175" s="9" t="n">
        <v>1</v>
      </c>
      <c r="AK175" s="9" t="n">
        <v>1</v>
      </c>
      <c r="AL175" s="11" t="n">
        <f aca="false">(AH175+AI175+AJ175+AK175)/4</f>
        <v>0.75</v>
      </c>
      <c r="AM175" s="9" t="n">
        <v>52</v>
      </c>
      <c r="AN175" s="9" t="n">
        <v>12</v>
      </c>
      <c r="AO175" s="9" t="n">
        <v>38</v>
      </c>
      <c r="AP175" s="9" t="n">
        <v>32</v>
      </c>
      <c r="AQ175" s="11" t="n">
        <f aca="false">(AM175+AN175+AO175+AP175)/4</f>
        <v>33.5</v>
      </c>
      <c r="AR175" s="9" t="n">
        <v>12</v>
      </c>
      <c r="AS175" s="9" t="n">
        <v>57</v>
      </c>
      <c r="AT175" s="9" t="n">
        <v>25</v>
      </c>
      <c r="AU175" s="9" t="n">
        <v>24</v>
      </c>
      <c r="AV175" s="11" t="n">
        <f aca="false">(AR175+AS175+AT175+AU175)/4</f>
        <v>29.5</v>
      </c>
      <c r="AW175" s="9" t="n">
        <v>0</v>
      </c>
      <c r="AX175" s="9" t="n">
        <v>0</v>
      </c>
      <c r="AY175" s="9" t="n">
        <v>0</v>
      </c>
      <c r="AZ175" s="9" t="n">
        <v>0</v>
      </c>
      <c r="BA175" s="11" t="n">
        <f aca="false">(AW175+AX175+AY175+AZ175)/4</f>
        <v>0</v>
      </c>
      <c r="BB175" s="11" t="n">
        <f aca="false">(AW175/AR175)</f>
        <v>0</v>
      </c>
      <c r="BC175" s="11" t="n">
        <f aca="false">(AX175/AS175)</f>
        <v>0</v>
      </c>
      <c r="BD175" s="11" t="n">
        <f aca="false">(AY175/AT175)</f>
        <v>0</v>
      </c>
      <c r="BE175" s="11" t="n">
        <f aca="false">(AZ175/AU175)</f>
        <v>0</v>
      </c>
      <c r="BF175" s="11" t="n">
        <f aca="false">(BA175/AV175)</f>
        <v>0</v>
      </c>
      <c r="BG175" s="11" t="n">
        <f aca="false">(BF175*100)</f>
        <v>0</v>
      </c>
      <c r="BH175" s="9" t="n">
        <v>0</v>
      </c>
      <c r="BI175" s="9" t="n">
        <v>6</v>
      </c>
      <c r="BJ175" s="9" t="n">
        <v>13</v>
      </c>
      <c r="BK175" s="9" t="n">
        <v>2</v>
      </c>
      <c r="BL175" s="9" t="n">
        <v>3</v>
      </c>
      <c r="BM175" s="11" t="n">
        <f aca="false">(BI175+BJ175+BK175+BL175)/4</f>
        <v>6</v>
      </c>
      <c r="BN175" s="11" t="n">
        <f aca="false">(BI175/AR175)</f>
        <v>0.5</v>
      </c>
      <c r="BO175" s="11" t="n">
        <f aca="false">(BJ175/AS175)</f>
        <v>0.228070175438596</v>
      </c>
      <c r="BP175" s="11" t="n">
        <f aca="false">(BK175/AT175)</f>
        <v>0.08</v>
      </c>
      <c r="BQ175" s="11" t="n">
        <f aca="false">(BL175/AU175)</f>
        <v>0.125</v>
      </c>
      <c r="BR175" s="11" t="n">
        <f aca="false">(BM175/AV175)</f>
        <v>0.203389830508475</v>
      </c>
      <c r="BS175" s="11" t="n">
        <f aca="false">(100*BR175)</f>
        <v>20.3389830508475</v>
      </c>
      <c r="BT175" s="9" t="n">
        <v>2</v>
      </c>
      <c r="BU175" s="9" t="n">
        <v>0</v>
      </c>
      <c r="BV175" s="9" t="n">
        <v>0</v>
      </c>
      <c r="BW175" s="9" t="n">
        <v>0</v>
      </c>
      <c r="BX175" s="9" t="n">
        <v>0</v>
      </c>
      <c r="BY175" s="11" t="n">
        <f aca="false">(BU175+BV175+BW175+BX175)/4</f>
        <v>0</v>
      </c>
      <c r="BZ175" s="11" t="n">
        <f aca="false">(BU175/AR175)</f>
        <v>0</v>
      </c>
      <c r="CA175" s="11" t="n">
        <f aca="false">(BV175/AS175)</f>
        <v>0</v>
      </c>
      <c r="CB175" s="11" t="n">
        <f aca="false">(BW175/AT175)</f>
        <v>0</v>
      </c>
      <c r="CC175" s="11" t="n">
        <f aca="false">(BX175/AU175)</f>
        <v>0</v>
      </c>
      <c r="CD175" s="11" t="n">
        <f aca="false">(BY175/AV175)</f>
        <v>0</v>
      </c>
      <c r="CE175" s="11" t="n">
        <f aca="false">(100*CD175)</f>
        <v>0</v>
      </c>
      <c r="CF175" s="9" t="n">
        <v>0</v>
      </c>
      <c r="CG175" s="9" t="n">
        <v>23</v>
      </c>
      <c r="CH175" s="9" t="n">
        <v>0</v>
      </c>
      <c r="CI175" s="9" t="n">
        <v>18</v>
      </c>
      <c r="CJ175" s="9" t="n">
        <v>19</v>
      </c>
      <c r="CK175" s="11" t="n">
        <f aca="false">(CG175+CH175+CI175+CJ175)/4</f>
        <v>15</v>
      </c>
      <c r="CL175" s="11" t="n">
        <f aca="false">(CG175/AM175)</f>
        <v>0.442307692307692</v>
      </c>
      <c r="CM175" s="11" t="n">
        <f aca="false">(CH175/AN175)</f>
        <v>0</v>
      </c>
      <c r="CN175" s="11" t="n">
        <f aca="false">(CI175/AO175)</f>
        <v>0.473684210526316</v>
      </c>
      <c r="CO175" s="9" t="n">
        <f aca="false">(CJ175/AP175)</f>
        <v>0.59375</v>
      </c>
      <c r="CP175" s="9" t="n">
        <f aca="false">(CK175/AQ175)</f>
        <v>0.447761194029851</v>
      </c>
      <c r="CQ175" s="9" t="n">
        <f aca="false">(100*CP175)</f>
        <v>44.7761194029851</v>
      </c>
      <c r="CR175" s="18" t="n">
        <v>3</v>
      </c>
      <c r="CS175" s="9" t="n">
        <v>51.2</v>
      </c>
      <c r="CT175" s="9" t="n">
        <v>72</v>
      </c>
      <c r="CU175" s="9" t="n">
        <v>48.4</v>
      </c>
      <c r="CV175" s="9" t="n">
        <v>51.6</v>
      </c>
      <c r="CW175" s="11" t="n">
        <f aca="false">(CS175+CT175+CU175+CV175)/4</f>
        <v>55.8</v>
      </c>
      <c r="CX175" s="9" t="n">
        <v>0</v>
      </c>
      <c r="CY175" s="9" t="n">
        <v>0</v>
      </c>
      <c r="CZ175" s="9" t="n">
        <v>0</v>
      </c>
      <c r="DA175" s="9" t="n">
        <v>0</v>
      </c>
      <c r="DB175" s="11" t="n">
        <f aca="false">(CX175+CY175+CZ175+DA175)/4</f>
        <v>0</v>
      </c>
      <c r="DC175" s="9" t="n">
        <v>1</v>
      </c>
      <c r="DD175" s="9" t="n">
        <v>1</v>
      </c>
      <c r="DE175" s="9" t="n">
        <v>1</v>
      </c>
      <c r="DF175" s="9" t="n">
        <v>1</v>
      </c>
      <c r="DG175" s="11" t="n">
        <f aca="false">(DC175+DD175+DE175+DF175)/4</f>
        <v>1</v>
      </c>
      <c r="DH175" s="9" t="n">
        <v>1</v>
      </c>
      <c r="DI175" s="9" t="n">
        <v>1</v>
      </c>
      <c r="DJ175" s="9" t="n">
        <v>1</v>
      </c>
      <c r="DK175" s="9" t="n">
        <v>1</v>
      </c>
      <c r="DL175" s="11" t="n">
        <f aca="false">(DH175+DI175+DJ175+DK175)/4</f>
        <v>1</v>
      </c>
      <c r="DM175" s="9" t="n">
        <v>46</v>
      </c>
      <c r="DN175" s="9" t="n">
        <v>75</v>
      </c>
      <c r="DO175" s="9" t="n">
        <v>28</v>
      </c>
      <c r="DP175" s="9" t="n">
        <v>47</v>
      </c>
      <c r="DQ175" s="11" t="n">
        <f aca="false">(DM175+DN175+DO175+DP175)/4</f>
        <v>49</v>
      </c>
      <c r="DR175" s="9" t="n">
        <v>15</v>
      </c>
      <c r="DS175" s="9" t="n">
        <v>30</v>
      </c>
      <c r="DT175" s="9" t="n">
        <v>9</v>
      </c>
      <c r="DU175" s="9" t="n">
        <v>22</v>
      </c>
      <c r="DV175" s="11" t="n">
        <f aca="false">(DR175+DS175+DT175+DU175)/4</f>
        <v>19</v>
      </c>
      <c r="DW175" s="9" t="n">
        <v>0</v>
      </c>
      <c r="DX175" s="9" t="n">
        <v>0</v>
      </c>
      <c r="DY175" s="9" t="n">
        <v>0</v>
      </c>
      <c r="DZ175" s="9" t="n">
        <v>0</v>
      </c>
      <c r="EA175" s="11" t="n">
        <f aca="false">(DW175+DX175+DY175+DZ175)/4</f>
        <v>0</v>
      </c>
      <c r="EB175" s="11" t="n">
        <f aca="false">(DW175/DR175)</f>
        <v>0</v>
      </c>
      <c r="EC175" s="11" t="n">
        <f aca="false">(DX175/DS175)</f>
        <v>0</v>
      </c>
      <c r="ED175" s="11" t="n">
        <f aca="false">(DY175/DT175)</f>
        <v>0</v>
      </c>
      <c r="EE175" s="11" t="n">
        <f aca="false">(DZ175/DU175)</f>
        <v>0</v>
      </c>
      <c r="EF175" s="11" t="n">
        <f aca="false">(EA175/DV175)</f>
        <v>0</v>
      </c>
      <c r="EG175" s="11" t="n">
        <f aca="false">(100*EF175)</f>
        <v>0</v>
      </c>
      <c r="EH175" s="9" t="n">
        <v>0</v>
      </c>
      <c r="EI175" s="9" t="n">
        <v>6</v>
      </c>
      <c r="EJ175" s="9" t="n">
        <v>8</v>
      </c>
      <c r="EK175" s="19" t="n">
        <v>8</v>
      </c>
      <c r="EL175" s="9" t="n">
        <v>15</v>
      </c>
      <c r="EM175" s="9" t="n">
        <f aca="false">(EI175+EJ175+EK175+EL175)/4</f>
        <v>9.25</v>
      </c>
      <c r="EN175" s="9" t="n">
        <f aca="false">(EI175/DR175)</f>
        <v>0.4</v>
      </c>
      <c r="EO175" s="9" t="n">
        <f aca="false">(EJ175/DS175)</f>
        <v>0.266666666666667</v>
      </c>
      <c r="EP175" s="9" t="n">
        <f aca="false">(EK175/DT175)</f>
        <v>0.888888888888889</v>
      </c>
      <c r="EQ175" s="9" t="n">
        <f aca="false">(EL175/DU175)</f>
        <v>0.681818181818182</v>
      </c>
      <c r="ER175" s="9" t="n">
        <f aca="false">EM175/DV175</f>
        <v>0.486842105263158</v>
      </c>
      <c r="ES175" s="9" t="n">
        <f aca="false">(100*ER175)</f>
        <v>48.6842105263158</v>
      </c>
      <c r="ET175" s="9" t="n">
        <v>3</v>
      </c>
      <c r="EU175" s="18" t="n">
        <v>0</v>
      </c>
      <c r="EV175" s="9" t="n">
        <v>0</v>
      </c>
      <c r="EW175" s="9" t="n">
        <v>0</v>
      </c>
      <c r="EX175" s="9" t="n">
        <v>0</v>
      </c>
      <c r="EY175" s="11" t="n">
        <f aca="false">(EU175+EV175+EW175+EX175)/4</f>
        <v>0</v>
      </c>
      <c r="EZ175" s="11" t="n">
        <f aca="false">(EU175/DR175)</f>
        <v>0</v>
      </c>
      <c r="FA175" s="11" t="n">
        <f aca="false">(EV175/DS175)</f>
        <v>0</v>
      </c>
      <c r="FB175" s="11" t="n">
        <f aca="false">(EW175/DT175)</f>
        <v>0</v>
      </c>
      <c r="FC175" s="11" t="n">
        <f aca="false">(EX175/DU175)</f>
        <v>0</v>
      </c>
      <c r="FD175" s="11" t="n">
        <f aca="false">(EY175/DV175)</f>
        <v>0</v>
      </c>
      <c r="FE175" s="11" t="n">
        <f aca="false">(100*FD175)</f>
        <v>0</v>
      </c>
      <c r="FF175" s="9" t="n">
        <v>0</v>
      </c>
      <c r="FG175" s="9" t="n">
        <v>6</v>
      </c>
      <c r="FH175" s="9" t="n">
        <v>24</v>
      </c>
      <c r="FI175" s="9" t="n">
        <v>16</v>
      </c>
      <c r="FJ175" s="9" t="n">
        <v>29</v>
      </c>
      <c r="FK175" s="11" t="n">
        <f aca="false">(FG175+FH175+FI175+FJ175)/4</f>
        <v>18.75</v>
      </c>
      <c r="FL175" s="11" t="n">
        <f aca="false">(FG175/DR175)</f>
        <v>0.4</v>
      </c>
      <c r="FM175" s="11" t="n">
        <f aca="false">(FH175/DS175)</f>
        <v>0.8</v>
      </c>
      <c r="FN175" s="11" t="n">
        <f aca="false">(FI175/DT175)</f>
        <v>1.77777777777778</v>
      </c>
      <c r="FO175" s="11" t="n">
        <f aca="false">(FJ175/DU175)</f>
        <v>1.31818181818182</v>
      </c>
      <c r="FP175" s="11" t="n">
        <f aca="false">(FK175/DV175)</f>
        <v>0.986842105263158</v>
      </c>
      <c r="FQ175" s="11" t="n">
        <f aca="false">(100*FP175)</f>
        <v>98.6842105263158</v>
      </c>
      <c r="FR175" s="9" t="n">
        <v>3</v>
      </c>
      <c r="FS175" s="9" t="n">
        <v>52.4</v>
      </c>
      <c r="FT175" s="9" t="n">
        <v>52.7</v>
      </c>
      <c r="FU175" s="9" t="n">
        <v>48.3</v>
      </c>
      <c r="FV175" s="9" t="n">
        <v>41.1</v>
      </c>
      <c r="FW175" s="11" t="n">
        <f aca="false">(FS175+FT175+FU175+FV175)/4</f>
        <v>48.625</v>
      </c>
      <c r="FX175" s="9" t="n">
        <v>0</v>
      </c>
      <c r="FY175" s="9" t="n">
        <v>0</v>
      </c>
      <c r="FZ175" s="9" t="n">
        <v>0</v>
      </c>
      <c r="GA175" s="9" t="n">
        <v>0</v>
      </c>
      <c r="GB175" s="11" t="n">
        <f aca="false">(FX175+FY175+FZ175+GA175)/4</f>
        <v>0</v>
      </c>
      <c r="GC175" s="9" t="n">
        <v>1</v>
      </c>
      <c r="GD175" s="9" t="n">
        <v>1</v>
      </c>
      <c r="GE175" s="9" t="n">
        <v>1</v>
      </c>
      <c r="GF175" s="9" t="n">
        <v>0</v>
      </c>
      <c r="GG175" s="11" t="n">
        <f aca="false">(GC175+GD175+GE175+GF175)/4</f>
        <v>0.75</v>
      </c>
      <c r="GH175" s="9" t="n">
        <v>1</v>
      </c>
      <c r="GI175" s="9" t="n">
        <v>1</v>
      </c>
      <c r="GJ175" s="9" t="n">
        <v>1</v>
      </c>
      <c r="GK175" s="9" t="n">
        <v>1</v>
      </c>
      <c r="GL175" s="11" t="n">
        <f aca="false">(GH175+GI175+GJ175+GK175)/4</f>
        <v>1</v>
      </c>
      <c r="GM175" s="9" t="n">
        <v>40</v>
      </c>
      <c r="GN175" s="9" t="n">
        <v>63</v>
      </c>
      <c r="GO175" s="9" t="n">
        <v>61</v>
      </c>
      <c r="GP175" s="9" t="n">
        <v>78</v>
      </c>
      <c r="GQ175" s="11" t="n">
        <f aca="false">(GM175+GN175+GO175+GP175)/4</f>
        <v>60.5</v>
      </c>
      <c r="GR175" s="9" t="n">
        <v>30</v>
      </c>
      <c r="GS175" s="9" t="n">
        <v>11</v>
      </c>
      <c r="GT175" s="9" t="n">
        <v>14</v>
      </c>
      <c r="GU175" s="9" t="n">
        <v>9</v>
      </c>
      <c r="GV175" s="11" t="n">
        <f aca="false">(GR175+GS175+GT175+GU175)/4</f>
        <v>16</v>
      </c>
      <c r="GW175" s="9" t="n">
        <v>0</v>
      </c>
      <c r="GX175" s="9" t="n">
        <v>0</v>
      </c>
      <c r="GY175" s="9" t="n">
        <v>0</v>
      </c>
      <c r="GZ175" s="9" t="n">
        <v>0</v>
      </c>
      <c r="HA175" s="11" t="n">
        <f aca="false">(GW175+GX175+GY175+GZ175)/4</f>
        <v>0</v>
      </c>
      <c r="HB175" s="9" t="n">
        <f aca="false">(GW175/GR175)</f>
        <v>0</v>
      </c>
      <c r="HC175" s="9" t="n">
        <f aca="false">(GX175/GS175)</f>
        <v>0</v>
      </c>
      <c r="HD175" s="9" t="n">
        <f aca="false">(GY175/GT175)</f>
        <v>0</v>
      </c>
      <c r="HE175" s="9" t="n">
        <f aca="false">(GZ175/GU175)/4</f>
        <v>0</v>
      </c>
      <c r="HF175" s="9" t="n">
        <f aca="false">(HB175+HC175+HD175+HE175)/4</f>
        <v>0</v>
      </c>
      <c r="HG175" s="9" t="n">
        <f aca="false">(100*HF175)</f>
        <v>0</v>
      </c>
      <c r="HH175" s="18" t="n">
        <v>0</v>
      </c>
      <c r="HI175" s="9" t="n">
        <v>8</v>
      </c>
      <c r="HJ175" s="9" t="n">
        <v>3</v>
      </c>
      <c r="HK175" s="9" t="n">
        <v>2</v>
      </c>
      <c r="HL175" s="19" t="n">
        <v>0</v>
      </c>
      <c r="HM175" s="9" t="n">
        <f aca="false">(HI175+HJ175+HK175+HL175)/4</f>
        <v>3.25</v>
      </c>
      <c r="HN175" s="9" t="n">
        <f aca="false">(HI175/GR175)</f>
        <v>0.266666666666667</v>
      </c>
      <c r="HO175" s="9" t="n">
        <f aca="false">(HJ175/GS175)</f>
        <v>0.272727272727273</v>
      </c>
      <c r="HP175" s="9" t="n">
        <f aca="false">(HK175/GT175)</f>
        <v>0.142857142857143</v>
      </c>
      <c r="HQ175" s="9" t="n">
        <f aca="false">(HL175/GU175)</f>
        <v>0</v>
      </c>
      <c r="HR175" s="9" t="n">
        <f aca="false">(HM175/GV175)</f>
        <v>0.203125</v>
      </c>
      <c r="HS175" s="9" t="n">
        <f aca="false">(100*HR175)</f>
        <v>20.3125</v>
      </c>
      <c r="HT175" s="18" t="n">
        <v>2</v>
      </c>
      <c r="HU175" s="9" t="n">
        <v>0</v>
      </c>
      <c r="HV175" s="9" t="n">
        <v>0</v>
      </c>
      <c r="HW175" s="9" t="n">
        <v>0</v>
      </c>
      <c r="HX175" s="19" t="n">
        <v>0</v>
      </c>
      <c r="HY175" s="9" t="n">
        <f aca="false">(HU175+HV175+HW175+HX175)/4</f>
        <v>0</v>
      </c>
      <c r="HZ175" s="9" t="n">
        <f aca="false">(HU175/GR175)</f>
        <v>0</v>
      </c>
      <c r="IA175" s="9" t="n">
        <f aca="false">HV175/GS175</f>
        <v>0</v>
      </c>
      <c r="IB175" s="9" t="n">
        <f aca="false">(HW175/GT175)</f>
        <v>0</v>
      </c>
      <c r="IC175" s="9" t="n">
        <f aca="false">(HX175/GU175)</f>
        <v>0</v>
      </c>
      <c r="ID175" s="9" t="n">
        <f aca="false">(HY175/GV175)</f>
        <v>0</v>
      </c>
      <c r="IE175" s="9" t="n">
        <f aca="false">(100*ID175)</f>
        <v>0</v>
      </c>
      <c r="IF175" s="18" t="n">
        <v>0</v>
      </c>
      <c r="IG175" s="9" t="n">
        <v>32</v>
      </c>
      <c r="IH175" s="9" t="n">
        <v>19</v>
      </c>
      <c r="II175" s="19" t="n">
        <v>8</v>
      </c>
      <c r="IJ175" s="9" t="n">
        <v>19</v>
      </c>
      <c r="IK175" s="9" t="n">
        <f aca="false">(IG175+IH175+II175+IJ175)/4</f>
        <v>19.5</v>
      </c>
      <c r="IL175" s="9" t="n">
        <f aca="false">(IG175/GM175)</f>
        <v>0.8</v>
      </c>
      <c r="IM175" s="9" t="n">
        <f aca="false">(IH175/GN175)</f>
        <v>0.301587301587302</v>
      </c>
      <c r="IN175" s="9" t="n">
        <f aca="false">(II175/GO175)</f>
        <v>0.131147540983607</v>
      </c>
      <c r="IO175" s="9" t="n">
        <f aca="false">(IJ175/GP175)</f>
        <v>0.243589743589744</v>
      </c>
      <c r="IP175" s="9" t="n">
        <f aca="false">(IK175/GQ175)</f>
        <v>0.322314049586777</v>
      </c>
      <c r="IQ175" s="9" t="n">
        <f aca="false">(100*IP175)</f>
        <v>32.2314049586777</v>
      </c>
      <c r="IR175" s="18" t="n">
        <v>3</v>
      </c>
      <c r="IS175" s="9" t="n">
        <v>55.2</v>
      </c>
      <c r="IT175" s="9" t="n">
        <v>51.8</v>
      </c>
      <c r="IU175" s="19" t="n">
        <v>72.7</v>
      </c>
      <c r="IV175" s="9" t="n">
        <v>52.8</v>
      </c>
      <c r="IW175" s="9" t="n">
        <f aca="false">(IS175+IT175+IU175+IV175)/4</f>
        <v>58.125</v>
      </c>
      <c r="IX175" s="16" t="n">
        <v>45209</v>
      </c>
      <c r="IY175" s="10" t="s">
        <v>268</v>
      </c>
    </row>
    <row r="176" customFormat="false" ht="15.75" hidden="false" customHeight="true" outlineLevel="0" collapsed="false">
      <c r="A176" s="9" t="s">
        <v>299</v>
      </c>
      <c r="B176" s="10" t="s">
        <v>663</v>
      </c>
      <c r="C176" s="10" t="s">
        <v>626</v>
      </c>
      <c r="D176" s="9" t="n">
        <v>3</v>
      </c>
      <c r="E176" s="9" t="n">
        <v>59</v>
      </c>
      <c r="F176" s="10" t="s">
        <v>664</v>
      </c>
      <c r="G176" s="10" t="s">
        <v>291</v>
      </c>
      <c r="H176" s="9" t="n">
        <v>21</v>
      </c>
      <c r="I176" s="9" t="n">
        <v>5</v>
      </c>
      <c r="J176" s="12" t="s">
        <v>264</v>
      </c>
      <c r="K176" s="13" t="s">
        <v>665</v>
      </c>
      <c r="L176" s="13" t="s">
        <v>666</v>
      </c>
      <c r="M176" s="9" t="n">
        <v>1285</v>
      </c>
      <c r="N176" s="15" t="n">
        <v>45134</v>
      </c>
      <c r="O176" s="10" t="s">
        <v>267</v>
      </c>
      <c r="P176" s="9"/>
      <c r="Q176" s="9" t="n">
        <v>3.25</v>
      </c>
      <c r="R176" s="9" t="n">
        <v>15</v>
      </c>
      <c r="S176" s="9" t="n">
        <v>-12</v>
      </c>
      <c r="T176" s="9" t="n">
        <v>120</v>
      </c>
      <c r="U176" s="9"/>
      <c r="V176" s="9" t="n">
        <v>2</v>
      </c>
      <c r="W176" s="9" t="s">
        <v>667</v>
      </c>
      <c r="X176" s="9" t="n">
        <v>0</v>
      </c>
      <c r="Y176" s="9" t="n">
        <v>0</v>
      </c>
      <c r="Z176" s="9" t="n">
        <v>0</v>
      </c>
      <c r="AA176" s="9" t="n">
        <v>0</v>
      </c>
      <c r="AB176" s="11" t="n">
        <f aca="false">(X176+Y176+Z176+AA176)/4</f>
        <v>0</v>
      </c>
      <c r="AC176" s="9" t="n">
        <v>1</v>
      </c>
      <c r="AD176" s="9" t="n">
        <v>1</v>
      </c>
      <c r="AE176" s="9" t="n">
        <v>1</v>
      </c>
      <c r="AF176" s="9" t="n">
        <v>0</v>
      </c>
      <c r="AG176" s="11" t="n">
        <f aca="false">(AC176+AD176+AE176+AF176)/4</f>
        <v>0.75</v>
      </c>
      <c r="AH176" s="9" t="n">
        <v>0</v>
      </c>
      <c r="AI176" s="9" t="n">
        <v>1</v>
      </c>
      <c r="AJ176" s="9" t="n">
        <v>1</v>
      </c>
      <c r="AK176" s="9" t="n">
        <v>1</v>
      </c>
      <c r="AL176" s="11" t="n">
        <f aca="false">(AH176+AI176+AJ176+AK176)/4</f>
        <v>0.75</v>
      </c>
      <c r="AM176" s="9" t="n">
        <v>25</v>
      </c>
      <c r="AN176" s="9" t="n">
        <v>12</v>
      </c>
      <c r="AO176" s="9" t="n">
        <v>22</v>
      </c>
      <c r="AP176" s="9" t="n">
        <v>42</v>
      </c>
      <c r="AQ176" s="11" t="n">
        <f aca="false">(AM176+AN176+AO176+AP176)/4</f>
        <v>25.25</v>
      </c>
      <c r="AR176" s="9" t="n">
        <v>30</v>
      </c>
      <c r="AS176" s="9" t="n">
        <v>5</v>
      </c>
      <c r="AT176" s="9" t="n">
        <v>20</v>
      </c>
      <c r="AU176" s="9" t="n">
        <v>6</v>
      </c>
      <c r="AV176" s="11" t="n">
        <f aca="false">(AR176+AS176+AT176+AU176)/4</f>
        <v>15.25</v>
      </c>
      <c r="AW176" s="9" t="n">
        <v>0</v>
      </c>
      <c r="AX176" s="9" t="n">
        <v>0</v>
      </c>
      <c r="AY176" s="9" t="n">
        <v>0</v>
      </c>
      <c r="AZ176" s="9" t="n">
        <v>0</v>
      </c>
      <c r="BA176" s="11" t="n">
        <f aca="false">(AW176+AX176+AY176+AZ176)/4</f>
        <v>0</v>
      </c>
      <c r="BB176" s="11" t="n">
        <f aca="false">(AW176/AR176)</f>
        <v>0</v>
      </c>
      <c r="BC176" s="11" t="n">
        <f aca="false">(AX176/AS176)</f>
        <v>0</v>
      </c>
      <c r="BD176" s="11" t="n">
        <f aca="false">(AY176/AT176)</f>
        <v>0</v>
      </c>
      <c r="BE176" s="11" t="n">
        <f aca="false">(AZ176/AU176)</f>
        <v>0</v>
      </c>
      <c r="BF176" s="11" t="n">
        <f aca="false">(BA176/AV176)</f>
        <v>0</v>
      </c>
      <c r="BG176" s="11" t="n">
        <f aca="false">(BF176*100)</f>
        <v>0</v>
      </c>
      <c r="BH176" s="9" t="n">
        <v>0</v>
      </c>
      <c r="BI176" s="9" t="n">
        <v>8</v>
      </c>
      <c r="BJ176" s="9" t="n">
        <v>4</v>
      </c>
      <c r="BK176" s="9" t="n">
        <v>7</v>
      </c>
      <c r="BL176" s="9" t="n">
        <v>0</v>
      </c>
      <c r="BM176" s="11" t="n">
        <f aca="false">(BI176+BJ176+BK176+BL176)/4</f>
        <v>4.75</v>
      </c>
      <c r="BN176" s="11" t="n">
        <f aca="false">(BI176/AR176)</f>
        <v>0.266666666666667</v>
      </c>
      <c r="BO176" s="11" t="n">
        <f aca="false">(BJ176/AS176)</f>
        <v>0.8</v>
      </c>
      <c r="BP176" s="11" t="n">
        <f aca="false">(BK176/AT176)</f>
        <v>0.35</v>
      </c>
      <c r="BQ176" s="11" t="n">
        <f aca="false">(BL176/AU176)</f>
        <v>0</v>
      </c>
      <c r="BR176" s="11" t="n">
        <f aca="false">(BM176/AV176)</f>
        <v>0.311475409836066</v>
      </c>
      <c r="BS176" s="11" t="n">
        <f aca="false">(100*BR176)</f>
        <v>31.1475409836066</v>
      </c>
      <c r="BT176" s="9" t="n">
        <v>3</v>
      </c>
      <c r="BU176" s="9" t="n">
        <v>0</v>
      </c>
      <c r="BV176" s="9" t="n">
        <v>0</v>
      </c>
      <c r="BW176" s="9" t="n">
        <v>0</v>
      </c>
      <c r="BX176" s="9" t="n">
        <v>0</v>
      </c>
      <c r="BY176" s="11" t="n">
        <f aca="false">(BU176+BV176+BW176+BX176)/4</f>
        <v>0</v>
      </c>
      <c r="BZ176" s="11" t="n">
        <f aca="false">(BU176/AR176)</f>
        <v>0</v>
      </c>
      <c r="CA176" s="11" t="n">
        <f aca="false">(BV176/AS176)</f>
        <v>0</v>
      </c>
      <c r="CB176" s="11" t="n">
        <f aca="false">(BW176/AT176)</f>
        <v>0</v>
      </c>
      <c r="CC176" s="11" t="n">
        <f aca="false">(BX176/AU176)</f>
        <v>0</v>
      </c>
      <c r="CD176" s="11" t="n">
        <f aca="false">(BY176/AV176)</f>
        <v>0</v>
      </c>
      <c r="CE176" s="11" t="n">
        <f aca="false">(100*CD176)</f>
        <v>0</v>
      </c>
      <c r="CF176" s="9" t="n">
        <v>0</v>
      </c>
      <c r="CG176" s="9" t="n">
        <v>0</v>
      </c>
      <c r="CH176" s="9" t="n">
        <v>8</v>
      </c>
      <c r="CI176" s="9" t="n">
        <v>2</v>
      </c>
      <c r="CJ176" s="9" t="n">
        <v>9</v>
      </c>
      <c r="CK176" s="11" t="n">
        <f aca="false">(CG176+CH176+CI176+CJ176)/4</f>
        <v>4.75</v>
      </c>
      <c r="CL176" s="11" t="n">
        <f aca="false">(CG176/AM176)</f>
        <v>0</v>
      </c>
      <c r="CM176" s="11" t="n">
        <f aca="false">(CH176/AN176)</f>
        <v>0.666666666666667</v>
      </c>
      <c r="CN176" s="11" t="n">
        <f aca="false">(CI176/AO176)</f>
        <v>0.0909090909090909</v>
      </c>
      <c r="CO176" s="9" t="n">
        <f aca="false">(CJ176/AP176)</f>
        <v>0.214285714285714</v>
      </c>
      <c r="CP176" s="9" t="n">
        <f aca="false">(CK176/AQ176)</f>
        <v>0.188118811881188</v>
      </c>
      <c r="CQ176" s="9" t="n">
        <f aca="false">(100*CP176)</f>
        <v>18.8118811881188</v>
      </c>
      <c r="CR176" s="18" t="n">
        <v>2</v>
      </c>
      <c r="CS176" s="9" t="n">
        <v>51.6</v>
      </c>
      <c r="CT176" s="9" t="n">
        <v>44.1</v>
      </c>
      <c r="CU176" s="9" t="n">
        <v>57.5</v>
      </c>
      <c r="CV176" s="9" t="n">
        <v>60.4</v>
      </c>
      <c r="CW176" s="11" t="n">
        <f aca="false">(CS176+CT176+CU176+CV176)/4</f>
        <v>53.4</v>
      </c>
      <c r="CX176" s="9" t="n">
        <v>0</v>
      </c>
      <c r="CY176" s="9" t="n">
        <v>0</v>
      </c>
      <c r="CZ176" s="9" t="n">
        <v>0</v>
      </c>
      <c r="DA176" s="9" t="n">
        <v>0</v>
      </c>
      <c r="DB176" s="11" t="n">
        <f aca="false">(CX176+CY176+CZ176+DA176)/4</f>
        <v>0</v>
      </c>
      <c r="DC176" s="9" t="n">
        <v>1</v>
      </c>
      <c r="DD176" s="9" t="n">
        <v>1</v>
      </c>
      <c r="DE176" s="9" t="n">
        <v>1</v>
      </c>
      <c r="DF176" s="9" t="n">
        <v>1</v>
      </c>
      <c r="DG176" s="11" t="n">
        <f aca="false">(DC176+DD176+DE176+DF176)/4</f>
        <v>1</v>
      </c>
      <c r="DH176" s="9" t="n">
        <v>1</v>
      </c>
      <c r="DI176" s="9" t="n">
        <v>1</v>
      </c>
      <c r="DJ176" s="9" t="n">
        <v>1</v>
      </c>
      <c r="DK176" s="9" t="n">
        <v>1</v>
      </c>
      <c r="DL176" s="11" t="n">
        <f aca="false">(DH176+DI176+DJ176+DK176)/4</f>
        <v>1</v>
      </c>
      <c r="DM176" s="9" t="n">
        <v>42</v>
      </c>
      <c r="DN176" s="9" t="n">
        <v>72</v>
      </c>
      <c r="DO176" s="9" t="n">
        <v>62</v>
      </c>
      <c r="DP176" s="9" t="n">
        <v>35</v>
      </c>
      <c r="DQ176" s="11" t="n">
        <f aca="false">(DM176+DN176+DO176+DP176)/4</f>
        <v>52.75</v>
      </c>
      <c r="DR176" s="9" t="n">
        <v>24</v>
      </c>
      <c r="DS176" s="9" t="n">
        <v>14</v>
      </c>
      <c r="DT176" s="9" t="n">
        <v>10</v>
      </c>
      <c r="DU176" s="9" t="n">
        <v>9</v>
      </c>
      <c r="DV176" s="11" t="n">
        <f aca="false">(DR176+DS176+DT176+DU176)/4</f>
        <v>14.25</v>
      </c>
      <c r="DW176" s="9" t="n">
        <v>0</v>
      </c>
      <c r="DX176" s="9" t="n">
        <v>0</v>
      </c>
      <c r="DY176" s="9" t="n">
        <v>0</v>
      </c>
      <c r="DZ176" s="9" t="n">
        <v>0</v>
      </c>
      <c r="EA176" s="11" t="n">
        <f aca="false">(DW176+DX176+DY176+DZ176)/4</f>
        <v>0</v>
      </c>
      <c r="EB176" s="11" t="n">
        <f aca="false">(DW176/DR176)</f>
        <v>0</v>
      </c>
      <c r="EC176" s="11" t="n">
        <f aca="false">(DX176/DS176)</f>
        <v>0</v>
      </c>
      <c r="ED176" s="11" t="n">
        <f aca="false">(DY176/DT176)</f>
        <v>0</v>
      </c>
      <c r="EE176" s="11" t="n">
        <f aca="false">(DZ176/DU176)</f>
        <v>0</v>
      </c>
      <c r="EF176" s="11" t="n">
        <f aca="false">(EA176/DV176)</f>
        <v>0</v>
      </c>
      <c r="EG176" s="11" t="n">
        <f aca="false">(100*EF176)</f>
        <v>0</v>
      </c>
      <c r="EH176" s="9" t="n">
        <v>0</v>
      </c>
      <c r="EI176" s="9" t="n">
        <v>5</v>
      </c>
      <c r="EJ176" s="9" t="n">
        <v>5</v>
      </c>
      <c r="EK176" s="19" t="n">
        <v>4</v>
      </c>
      <c r="EL176" s="9" t="n">
        <v>5</v>
      </c>
      <c r="EM176" s="9" t="n">
        <f aca="false">(EI176+EJ176+EK176+EL176)/4</f>
        <v>4.75</v>
      </c>
      <c r="EN176" s="9" t="n">
        <f aca="false">(EI176/DR176)</f>
        <v>0.208333333333333</v>
      </c>
      <c r="EO176" s="9" t="n">
        <f aca="false">(EJ176/DS176)</f>
        <v>0.357142857142857</v>
      </c>
      <c r="EP176" s="9" t="n">
        <f aca="false">(EK176/DT176)</f>
        <v>0.4</v>
      </c>
      <c r="EQ176" s="9" t="n">
        <f aca="false">(EL176/DU176)</f>
        <v>0.555555555555556</v>
      </c>
      <c r="ER176" s="9" t="n">
        <f aca="false">EM176/DV176</f>
        <v>0.333333333333333</v>
      </c>
      <c r="ES176" s="9" t="n">
        <f aca="false">(100*ER176)</f>
        <v>33.3333333333333</v>
      </c>
      <c r="ET176" s="9" t="n">
        <v>3</v>
      </c>
      <c r="EU176" s="18" t="n">
        <v>0</v>
      </c>
      <c r="EV176" s="9" t="n">
        <v>0</v>
      </c>
      <c r="EW176" s="9" t="n">
        <v>0</v>
      </c>
      <c r="EX176" s="9" t="n">
        <v>0</v>
      </c>
      <c r="EY176" s="11" t="n">
        <f aca="false">(EU176+EV176+EW176+EX176)/4</f>
        <v>0</v>
      </c>
      <c r="EZ176" s="11" t="n">
        <f aca="false">(EU176/DR176)</f>
        <v>0</v>
      </c>
      <c r="FA176" s="11" t="n">
        <f aca="false">(EV176/DS176)</f>
        <v>0</v>
      </c>
      <c r="FB176" s="11" t="n">
        <f aca="false">(EW176/DT176)</f>
        <v>0</v>
      </c>
      <c r="FC176" s="11" t="n">
        <f aca="false">(EX176/DU176)</f>
        <v>0</v>
      </c>
      <c r="FD176" s="11" t="n">
        <f aca="false">(EY176/DV176)</f>
        <v>0</v>
      </c>
      <c r="FE176" s="11" t="n">
        <f aca="false">(100*FD176)</f>
        <v>0</v>
      </c>
      <c r="FF176" s="9" t="n">
        <v>0</v>
      </c>
      <c r="FG176" s="9" t="n">
        <v>3</v>
      </c>
      <c r="FH176" s="9" t="n">
        <v>14</v>
      </c>
      <c r="FI176" s="9" t="n">
        <v>22</v>
      </c>
      <c r="FJ176" s="9" t="n">
        <v>6</v>
      </c>
      <c r="FK176" s="11" t="n">
        <f aca="false">(FG176+FH176+FI176+FJ176)/4</f>
        <v>11.25</v>
      </c>
      <c r="FL176" s="11" t="n">
        <f aca="false">(FG176/DR176)</f>
        <v>0.125</v>
      </c>
      <c r="FM176" s="11" t="n">
        <f aca="false">(FH176/DS176)</f>
        <v>1</v>
      </c>
      <c r="FN176" s="11" t="n">
        <f aca="false">(FI176/DT176)</f>
        <v>2.2</v>
      </c>
      <c r="FO176" s="11" t="n">
        <f aca="false">(FJ176/DU176)</f>
        <v>0.666666666666667</v>
      </c>
      <c r="FP176" s="11" t="n">
        <f aca="false">(FK176/DV176)</f>
        <v>0.789473684210526</v>
      </c>
      <c r="FQ176" s="11" t="n">
        <f aca="false">(100*FP176)</f>
        <v>78.9473684210526</v>
      </c>
      <c r="FR176" s="9" t="n">
        <v>3</v>
      </c>
      <c r="FS176" s="9" t="n">
        <v>41.8</v>
      </c>
      <c r="FT176" s="9" t="n">
        <v>55.4</v>
      </c>
      <c r="FU176" s="9" t="n">
        <v>58.3</v>
      </c>
      <c r="FV176" s="9" t="n">
        <v>65.4</v>
      </c>
      <c r="FW176" s="11" t="n">
        <f aca="false">(FS176+FT176+FU176+FV176)/4</f>
        <v>55.225</v>
      </c>
      <c r="FX176" s="9" t="n">
        <v>0</v>
      </c>
      <c r="FY176" s="9" t="n">
        <v>0</v>
      </c>
      <c r="FZ176" s="9" t="n">
        <v>0</v>
      </c>
      <c r="GA176" s="9" t="n">
        <v>0</v>
      </c>
      <c r="GB176" s="11" t="n">
        <f aca="false">(FX176+FY176+FZ176+GA176)/4</f>
        <v>0</v>
      </c>
      <c r="GC176" s="9" t="n">
        <v>1</v>
      </c>
      <c r="GD176" s="9" t="n">
        <v>1</v>
      </c>
      <c r="GE176" s="9" t="n">
        <v>1</v>
      </c>
      <c r="GF176" s="9" t="n">
        <v>1</v>
      </c>
      <c r="GG176" s="11" t="n">
        <f aca="false">(GC176+GD176+GE176+GF176)/4</f>
        <v>1</v>
      </c>
      <c r="GH176" s="9" t="n">
        <v>1</v>
      </c>
      <c r="GI176" s="9" t="n">
        <v>1</v>
      </c>
      <c r="GJ176" s="9" t="n">
        <v>1</v>
      </c>
      <c r="GK176" s="9" t="n">
        <v>1</v>
      </c>
      <c r="GL176" s="11" t="n">
        <f aca="false">(GH176+GI176+GJ176+GK176)/4</f>
        <v>1</v>
      </c>
      <c r="GM176" s="9" t="n">
        <v>35</v>
      </c>
      <c r="GN176" s="9" t="n">
        <v>72</v>
      </c>
      <c r="GO176" s="9" t="n">
        <v>96</v>
      </c>
      <c r="GP176" s="9" t="n">
        <v>74</v>
      </c>
      <c r="GQ176" s="11" t="n">
        <f aca="false">(GM176+GN176+GO176+GP176)/4</f>
        <v>69.25</v>
      </c>
      <c r="GR176" s="9" t="n">
        <v>15</v>
      </c>
      <c r="GS176" s="9" t="n">
        <v>7</v>
      </c>
      <c r="GT176" s="9" t="n">
        <v>17</v>
      </c>
      <c r="GU176" s="9" t="n">
        <v>9</v>
      </c>
      <c r="GV176" s="11" t="n">
        <f aca="false">(GR176+GS176+GT176+GU176)/4</f>
        <v>12</v>
      </c>
      <c r="GW176" s="9" t="n">
        <v>0</v>
      </c>
      <c r="GX176" s="9" t="n">
        <v>0</v>
      </c>
      <c r="GY176" s="9" t="n">
        <v>0</v>
      </c>
      <c r="GZ176" s="9" t="n">
        <v>0</v>
      </c>
      <c r="HA176" s="11" t="n">
        <f aca="false">(GW176+GX176+GY176+GZ176)/4</f>
        <v>0</v>
      </c>
      <c r="HB176" s="9" t="n">
        <f aca="false">(GW176/GR176)</f>
        <v>0</v>
      </c>
      <c r="HC176" s="9" t="n">
        <f aca="false">(GX176/GS176)</f>
        <v>0</v>
      </c>
      <c r="HD176" s="9" t="n">
        <f aca="false">(GY176/GT176)</f>
        <v>0</v>
      </c>
      <c r="HE176" s="9" t="n">
        <f aca="false">(GZ176/GU176)/4</f>
        <v>0</v>
      </c>
      <c r="HF176" s="9" t="n">
        <f aca="false">(HB176+HC176+HD176+HE176)/4</f>
        <v>0</v>
      </c>
      <c r="HG176" s="9" t="n">
        <f aca="false">(100*HF176)</f>
        <v>0</v>
      </c>
      <c r="HH176" s="18" t="n">
        <v>0</v>
      </c>
      <c r="HI176" s="9" t="n">
        <v>8</v>
      </c>
      <c r="HJ176" s="9" t="n">
        <v>1</v>
      </c>
      <c r="HK176" s="9" t="n">
        <v>6</v>
      </c>
      <c r="HL176" s="19" t="n">
        <v>3</v>
      </c>
      <c r="HM176" s="9" t="n">
        <f aca="false">(HI176+HJ176+HK176+HL176)/4</f>
        <v>4.5</v>
      </c>
      <c r="HN176" s="9" t="n">
        <f aca="false">(HI176/GR176)</f>
        <v>0.533333333333333</v>
      </c>
      <c r="HO176" s="9" t="n">
        <f aca="false">(HJ176/GS176)</f>
        <v>0.142857142857143</v>
      </c>
      <c r="HP176" s="9" t="n">
        <f aca="false">(HK176/GT176)</f>
        <v>0.352941176470588</v>
      </c>
      <c r="HQ176" s="9" t="n">
        <f aca="false">(HL176/GU176)</f>
        <v>0.333333333333333</v>
      </c>
      <c r="HR176" s="9" t="n">
        <f aca="false">(HM176/GV176)</f>
        <v>0.375</v>
      </c>
      <c r="HS176" s="9" t="n">
        <f aca="false">(100*HR176)</f>
        <v>37.5</v>
      </c>
      <c r="HT176" s="18" t="n">
        <v>3</v>
      </c>
      <c r="HU176" s="9" t="n">
        <v>2</v>
      </c>
      <c r="HV176" s="9" t="n">
        <v>0</v>
      </c>
      <c r="HW176" s="9" t="n">
        <v>0</v>
      </c>
      <c r="HX176" s="19" t="n">
        <v>0</v>
      </c>
      <c r="HY176" s="9" t="n">
        <f aca="false">(HU176+HV176+HW176+HX176)/4</f>
        <v>0.5</v>
      </c>
      <c r="HZ176" s="9" t="n">
        <f aca="false">(HU176/GR176)</f>
        <v>0.133333333333333</v>
      </c>
      <c r="IA176" s="9" t="n">
        <f aca="false">HV176/GS176</f>
        <v>0</v>
      </c>
      <c r="IB176" s="9" t="n">
        <f aca="false">(HW176/GT176)</f>
        <v>0</v>
      </c>
      <c r="IC176" s="9" t="n">
        <f aca="false">(HX176/GU176)</f>
        <v>0</v>
      </c>
      <c r="ID176" s="9" t="n">
        <f aca="false">(HY176/GV176)</f>
        <v>0.0416666666666667</v>
      </c>
      <c r="IE176" s="9" t="n">
        <f aca="false">(100*ID176)</f>
        <v>4.16666666666667</v>
      </c>
      <c r="IF176" s="18" t="n">
        <v>1</v>
      </c>
      <c r="IG176" s="9" t="n">
        <v>4</v>
      </c>
      <c r="IH176" s="9" t="n">
        <v>10</v>
      </c>
      <c r="II176" s="19" t="n">
        <v>11</v>
      </c>
      <c r="IJ176" s="9" t="n">
        <v>10</v>
      </c>
      <c r="IK176" s="9" t="n">
        <f aca="false">(IG176+IH176+II176+IJ176)/4</f>
        <v>8.75</v>
      </c>
      <c r="IL176" s="9" t="n">
        <f aca="false">(IG176/GM176)</f>
        <v>0.114285714285714</v>
      </c>
      <c r="IM176" s="9" t="n">
        <f aca="false">(IH176/GN176)</f>
        <v>0.138888888888889</v>
      </c>
      <c r="IN176" s="9" t="n">
        <f aca="false">(II176/GO176)</f>
        <v>0.114583333333333</v>
      </c>
      <c r="IO176" s="9" t="n">
        <f aca="false">(IJ176/GP176)</f>
        <v>0.135135135135135</v>
      </c>
      <c r="IP176" s="9" t="n">
        <f aca="false">(IK176/GQ176)</f>
        <v>0.126353790613718</v>
      </c>
      <c r="IQ176" s="9" t="n">
        <f aca="false">(100*IP176)</f>
        <v>12.6353790613718</v>
      </c>
      <c r="IR176" s="18" t="n">
        <v>2</v>
      </c>
      <c r="IS176" s="9" t="n">
        <v>43.7</v>
      </c>
      <c r="IT176" s="9" t="n">
        <v>43.7</v>
      </c>
      <c r="IU176" s="19" t="n">
        <v>60.1</v>
      </c>
      <c r="IV176" s="9" t="n">
        <v>55</v>
      </c>
      <c r="IW176" s="9" t="n">
        <f aca="false">(IS176+IT176+IU176+IV176)/4</f>
        <v>50.625</v>
      </c>
      <c r="IX176" s="16" t="n">
        <v>45209</v>
      </c>
      <c r="IY176" s="10" t="s">
        <v>268</v>
      </c>
    </row>
    <row r="177" customFormat="false" ht="15.75" hidden="false" customHeight="true" outlineLevel="0" collapsed="false">
      <c r="A177" s="9" t="s">
        <v>299</v>
      </c>
      <c r="B177" s="10" t="s">
        <v>663</v>
      </c>
      <c r="C177" s="10" t="s">
        <v>626</v>
      </c>
      <c r="D177" s="9" t="n">
        <v>3</v>
      </c>
      <c r="E177" s="9" t="n">
        <v>59</v>
      </c>
      <c r="F177" s="10" t="s">
        <v>668</v>
      </c>
      <c r="G177" s="10" t="s">
        <v>297</v>
      </c>
      <c r="H177" s="9" t="n">
        <v>21</v>
      </c>
      <c r="I177" s="9" t="n">
        <v>13</v>
      </c>
      <c r="J177" s="12" t="s">
        <v>270</v>
      </c>
      <c r="K177" s="20"/>
      <c r="L177" s="20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 t="n">
        <v>0</v>
      </c>
      <c r="Y177" s="9" t="n">
        <v>0</v>
      </c>
      <c r="Z177" s="9" t="n">
        <v>0</v>
      </c>
      <c r="AA177" s="9" t="n">
        <v>1</v>
      </c>
      <c r="AB177" s="11" t="n">
        <f aca="false">(X177+Y177+Z177+AA177)/4</f>
        <v>0.25</v>
      </c>
      <c r="AC177" s="9" t="n">
        <v>1</v>
      </c>
      <c r="AD177" s="9" t="n">
        <v>1</v>
      </c>
      <c r="AE177" s="9" t="n">
        <v>1</v>
      </c>
      <c r="AF177" s="9" t="n">
        <v>1</v>
      </c>
      <c r="AG177" s="11" t="n">
        <f aca="false">(AC177+AD177+AE177+AF177)/4</f>
        <v>1</v>
      </c>
      <c r="AH177" s="9" t="n">
        <v>1</v>
      </c>
      <c r="AI177" s="9" t="n">
        <v>1</v>
      </c>
      <c r="AJ177" s="9" t="n">
        <v>0</v>
      </c>
      <c r="AK177" s="9" t="n">
        <v>0</v>
      </c>
      <c r="AL177" s="11" t="n">
        <f aca="false">(AH177+AI177+AJ177+AK177)/4</f>
        <v>0.5</v>
      </c>
      <c r="AM177" s="9" t="n">
        <v>51</v>
      </c>
      <c r="AN177" s="9" t="n">
        <v>68</v>
      </c>
      <c r="AO177" s="9" t="n">
        <v>13</v>
      </c>
      <c r="AP177" s="9" t="n">
        <v>21</v>
      </c>
      <c r="AQ177" s="11" t="n">
        <f aca="false">(AM177+AN177+AO177+AP177)/4</f>
        <v>38.25</v>
      </c>
      <c r="AR177" s="9" t="n">
        <v>25</v>
      </c>
      <c r="AS177" s="9" t="n">
        <v>10</v>
      </c>
      <c r="AT177" s="9" t="n">
        <v>12</v>
      </c>
      <c r="AU177" s="9" t="n">
        <v>12</v>
      </c>
      <c r="AV177" s="11" t="n">
        <f aca="false">(AR177+AS177+AT177+AU177)/4</f>
        <v>14.75</v>
      </c>
      <c r="AW177" s="9" t="n">
        <v>0</v>
      </c>
      <c r="AX177" s="9" t="n">
        <v>0</v>
      </c>
      <c r="AY177" s="9" t="n">
        <v>0</v>
      </c>
      <c r="AZ177" s="9" t="n">
        <v>2</v>
      </c>
      <c r="BA177" s="11" t="n">
        <f aca="false">(AW177+AX177+AY177+AZ177)/4</f>
        <v>0.5</v>
      </c>
      <c r="BB177" s="11" t="n">
        <f aca="false">(AW177/AR177)</f>
        <v>0</v>
      </c>
      <c r="BC177" s="11" t="n">
        <f aca="false">(AX177/AS177)</f>
        <v>0</v>
      </c>
      <c r="BD177" s="11" t="n">
        <f aca="false">(AY177/AT177)</f>
        <v>0</v>
      </c>
      <c r="BE177" s="11" t="n">
        <f aca="false">(AZ177/AU177)</f>
        <v>0.166666666666667</v>
      </c>
      <c r="BF177" s="11" t="n">
        <f aca="false">(BA177/AV177)</f>
        <v>0.0338983050847458</v>
      </c>
      <c r="BG177" s="11" t="n">
        <f aca="false">(BF177*100)</f>
        <v>3.38983050847458</v>
      </c>
      <c r="BH177" s="9" t="n">
        <v>1</v>
      </c>
      <c r="BI177" s="9" t="n">
        <v>3</v>
      </c>
      <c r="BJ177" s="9" t="n">
        <v>2</v>
      </c>
      <c r="BK177" s="9" t="n">
        <v>2</v>
      </c>
      <c r="BL177" s="9" t="n">
        <v>2</v>
      </c>
      <c r="BM177" s="11" t="n">
        <f aca="false">(BI177+BJ177+BK177+BL177)/4</f>
        <v>2.25</v>
      </c>
      <c r="BN177" s="11" t="n">
        <f aca="false">(BI177/AR177)</f>
        <v>0.12</v>
      </c>
      <c r="BO177" s="11" t="n">
        <f aca="false">(BJ177/AS177)</f>
        <v>0.2</v>
      </c>
      <c r="BP177" s="11" t="n">
        <f aca="false">(BK177/AT177)</f>
        <v>0.166666666666667</v>
      </c>
      <c r="BQ177" s="11" t="n">
        <f aca="false">(BL177/AU177)</f>
        <v>0.166666666666667</v>
      </c>
      <c r="BR177" s="11" t="n">
        <f aca="false">(BM177/AV177)</f>
        <v>0.152542372881356</v>
      </c>
      <c r="BS177" s="11" t="n">
        <f aca="false">(100*BR177)</f>
        <v>15.2542372881356</v>
      </c>
      <c r="BT177" s="9" t="n">
        <v>2</v>
      </c>
      <c r="BU177" s="9" t="n">
        <v>0</v>
      </c>
      <c r="BV177" s="9" t="n">
        <v>0</v>
      </c>
      <c r="BW177" s="9" t="n">
        <v>0</v>
      </c>
      <c r="BX177" s="9" t="n">
        <v>0</v>
      </c>
      <c r="BY177" s="11" t="n">
        <f aca="false">(BU177+BV177+BW177+BX177)/4</f>
        <v>0</v>
      </c>
      <c r="BZ177" s="11" t="n">
        <f aca="false">(BU177/AR177)</f>
        <v>0</v>
      </c>
      <c r="CA177" s="11" t="n">
        <f aca="false">(BV177/AS177)</f>
        <v>0</v>
      </c>
      <c r="CB177" s="11" t="n">
        <f aca="false">(BW177/AT177)</f>
        <v>0</v>
      </c>
      <c r="CC177" s="11" t="n">
        <f aca="false">(BX177/AU177)</f>
        <v>0</v>
      </c>
      <c r="CD177" s="11" t="n">
        <f aca="false">(BY177/AV177)</f>
        <v>0</v>
      </c>
      <c r="CE177" s="11" t="n">
        <f aca="false">(100*CD177)</f>
        <v>0</v>
      </c>
      <c r="CF177" s="9" t="n">
        <v>0</v>
      </c>
      <c r="CG177" s="9" t="n">
        <v>5</v>
      </c>
      <c r="CH177" s="9" t="n">
        <v>11</v>
      </c>
      <c r="CI177" s="9" t="n">
        <v>0</v>
      </c>
      <c r="CJ177" s="9" t="n">
        <v>0</v>
      </c>
      <c r="CK177" s="11" t="n">
        <f aca="false">(CG177+CH177+CI177+CJ177)/4</f>
        <v>4</v>
      </c>
      <c r="CL177" s="11" t="n">
        <f aca="false">(CG177/AM177)</f>
        <v>0.0980392156862745</v>
      </c>
      <c r="CM177" s="11" t="n">
        <f aca="false">(CH177/AN177)</f>
        <v>0.161764705882353</v>
      </c>
      <c r="CN177" s="11" t="n">
        <f aca="false">(CI177/AO177)</f>
        <v>0</v>
      </c>
      <c r="CO177" s="9" t="n">
        <f aca="false">(CJ177/AP177)</f>
        <v>0</v>
      </c>
      <c r="CP177" s="9" t="n">
        <f aca="false">(CK177/AQ177)</f>
        <v>0.104575163398693</v>
      </c>
      <c r="CQ177" s="9" t="n">
        <f aca="false">(100*CP177)</f>
        <v>10.4575163398693</v>
      </c>
      <c r="CR177" s="18" t="n">
        <v>2</v>
      </c>
      <c r="CS177" s="9" t="n">
        <v>71.3</v>
      </c>
      <c r="CT177" s="9" t="n">
        <v>65.4</v>
      </c>
      <c r="CU177" s="9" t="n">
        <v>70</v>
      </c>
      <c r="CV177" s="9" t="n">
        <v>49.8</v>
      </c>
      <c r="CW177" s="11" t="n">
        <f aca="false">(CS177+CT177+CU177+CV177)/4</f>
        <v>64.125</v>
      </c>
      <c r="CX177" s="9" t="n">
        <v>0</v>
      </c>
      <c r="CY177" s="9" t="n">
        <v>1</v>
      </c>
      <c r="CZ177" s="9" t="n">
        <v>0</v>
      </c>
      <c r="DA177" s="9" t="n">
        <v>1</v>
      </c>
      <c r="DB177" s="11" t="n">
        <f aca="false">(CX177+CY177+CZ177+DA177)/4</f>
        <v>0.5</v>
      </c>
      <c r="DC177" s="9" t="n">
        <v>0</v>
      </c>
      <c r="DD177" s="9" t="n">
        <v>1</v>
      </c>
      <c r="DE177" s="9" t="n">
        <v>1</v>
      </c>
      <c r="DF177" s="9" t="n">
        <v>1</v>
      </c>
      <c r="DG177" s="11" t="n">
        <f aca="false">(DC177+DD177+DE177+DF177)/4</f>
        <v>0.75</v>
      </c>
      <c r="DH177" s="9" t="n">
        <v>1</v>
      </c>
      <c r="DI177" s="9" t="n">
        <v>0</v>
      </c>
      <c r="DJ177" s="9" t="n">
        <v>1</v>
      </c>
      <c r="DK177" s="9" t="n">
        <v>0</v>
      </c>
      <c r="DL177" s="11" t="n">
        <f aca="false">(DH177+DI177+DJ177+DK177)/4</f>
        <v>0.5</v>
      </c>
      <c r="DM177" s="9" t="n">
        <v>63</v>
      </c>
      <c r="DN177" s="9" t="n">
        <v>113</v>
      </c>
      <c r="DO177" s="9" t="n">
        <v>36</v>
      </c>
      <c r="DP177" s="9" t="n">
        <v>67</v>
      </c>
      <c r="DQ177" s="11" t="n">
        <f aca="false">(DM177+DN177+DO177+DP177)/4</f>
        <v>69.75</v>
      </c>
      <c r="DR177" s="9" t="n">
        <v>21</v>
      </c>
      <c r="DS177" s="9" t="n">
        <v>44</v>
      </c>
      <c r="DT177" s="9" t="n">
        <v>20</v>
      </c>
      <c r="DU177" s="9" t="n">
        <v>27</v>
      </c>
      <c r="DV177" s="11" t="n">
        <f aca="false">(DR177+DS177+DT177+DU177)/4</f>
        <v>28</v>
      </c>
      <c r="DW177" s="9" t="n">
        <v>0</v>
      </c>
      <c r="DX177" s="9" t="n">
        <v>1</v>
      </c>
      <c r="DY177" s="9" t="n">
        <v>0</v>
      </c>
      <c r="DZ177" s="9" t="n">
        <v>1</v>
      </c>
      <c r="EA177" s="11" t="n">
        <f aca="false">(DW177+DX177+DY177+DZ177)/4</f>
        <v>0.5</v>
      </c>
      <c r="EB177" s="11" t="n">
        <f aca="false">(DW177/DR177)</f>
        <v>0</v>
      </c>
      <c r="EC177" s="11" t="n">
        <f aca="false">(DX177/DS177)</f>
        <v>0.0227272727272727</v>
      </c>
      <c r="ED177" s="11" t="n">
        <f aca="false">(DY177/DT177)</f>
        <v>0</v>
      </c>
      <c r="EE177" s="11" t="n">
        <f aca="false">(DZ177/DU177)</f>
        <v>0.037037037037037</v>
      </c>
      <c r="EF177" s="11" t="n">
        <f aca="false">(EA177/DV177)</f>
        <v>0.0178571428571429</v>
      </c>
      <c r="EG177" s="11" t="n">
        <f aca="false">(100*EF177)</f>
        <v>1.78571428571429</v>
      </c>
      <c r="EH177" s="9" t="n">
        <v>1</v>
      </c>
      <c r="EI177" s="9" t="n">
        <v>0</v>
      </c>
      <c r="EJ177" s="9" t="n">
        <v>3</v>
      </c>
      <c r="EK177" s="19" t="n">
        <v>4</v>
      </c>
      <c r="EL177" s="9" t="n">
        <v>12</v>
      </c>
      <c r="EM177" s="9" t="n">
        <f aca="false">(EI177+EJ177+EK177+EL177)/4</f>
        <v>4.75</v>
      </c>
      <c r="EN177" s="9" t="n">
        <f aca="false">(EI177/DR177)</f>
        <v>0</v>
      </c>
      <c r="EO177" s="9" t="n">
        <f aca="false">(EJ177/DS177)</f>
        <v>0.0681818181818182</v>
      </c>
      <c r="EP177" s="9" t="n">
        <f aca="false">(EK177/DT177)</f>
        <v>0.2</v>
      </c>
      <c r="EQ177" s="9" t="n">
        <f aca="false">(EL177/DU177)</f>
        <v>0.444444444444444</v>
      </c>
      <c r="ER177" s="9" t="n">
        <f aca="false">EM177/DV177</f>
        <v>0.169642857142857</v>
      </c>
      <c r="ES177" s="9" t="n">
        <f aca="false">(100*ER177)</f>
        <v>16.9642857142857</v>
      </c>
      <c r="ET177" s="9" t="n">
        <v>2</v>
      </c>
      <c r="EU177" s="18" t="n">
        <v>0</v>
      </c>
      <c r="EV177" s="9" t="n">
        <v>0</v>
      </c>
      <c r="EW177" s="9" t="n">
        <v>0</v>
      </c>
      <c r="EX177" s="9" t="n">
        <v>0</v>
      </c>
      <c r="EY177" s="11" t="n">
        <f aca="false">(EU177+EV177+EW177+EX177)/4</f>
        <v>0</v>
      </c>
      <c r="EZ177" s="11" t="n">
        <f aca="false">(EU177/DR177)</f>
        <v>0</v>
      </c>
      <c r="FA177" s="11" t="n">
        <f aca="false">(EV177/DS177)</f>
        <v>0</v>
      </c>
      <c r="FB177" s="11" t="n">
        <f aca="false">(EW177/DT177)</f>
        <v>0</v>
      </c>
      <c r="FC177" s="11" t="n">
        <f aca="false">(EX177/DU177)</f>
        <v>0</v>
      </c>
      <c r="FD177" s="11" t="n">
        <f aca="false">(EY177/DV177)</f>
        <v>0</v>
      </c>
      <c r="FE177" s="11" t="n">
        <f aca="false">(100*FD177)</f>
        <v>0</v>
      </c>
      <c r="FF177" s="9" t="n">
        <v>0</v>
      </c>
      <c r="FG177" s="9" t="n">
        <v>3</v>
      </c>
      <c r="FH177" s="9" t="n">
        <v>0</v>
      </c>
      <c r="FI177" s="9" t="n">
        <v>2</v>
      </c>
      <c r="FJ177" s="9" t="n">
        <v>0</v>
      </c>
      <c r="FK177" s="11" t="n">
        <f aca="false">(FG177+FH177+FI177+FJ177)/4</f>
        <v>1.25</v>
      </c>
      <c r="FL177" s="11" t="n">
        <f aca="false">(FG177/DR177)</f>
        <v>0.142857142857143</v>
      </c>
      <c r="FM177" s="11" t="n">
        <f aca="false">(FH177/DS177)</f>
        <v>0</v>
      </c>
      <c r="FN177" s="11" t="n">
        <f aca="false">(FI177/DT177)</f>
        <v>0.1</v>
      </c>
      <c r="FO177" s="11" t="n">
        <f aca="false">(FJ177/DU177)</f>
        <v>0</v>
      </c>
      <c r="FP177" s="11" t="n">
        <f aca="false">(FK177/DV177)</f>
        <v>0.0446428571428571</v>
      </c>
      <c r="FQ177" s="11" t="n">
        <f aca="false">(100*FP177)</f>
        <v>4.46428571428571</v>
      </c>
      <c r="FR177" s="9" t="n">
        <v>1</v>
      </c>
      <c r="FS177" s="9" t="n">
        <v>65.9</v>
      </c>
      <c r="FT177" s="9" t="n">
        <v>64.5</v>
      </c>
      <c r="FU177" s="9" t="n">
        <v>36.9</v>
      </c>
      <c r="FV177" s="9" t="n">
        <v>68</v>
      </c>
      <c r="FW177" s="11" t="n">
        <f aca="false">(FS177+FT177+FU177+FV177)/4</f>
        <v>58.825</v>
      </c>
      <c r="FX177" s="9" t="n">
        <v>0</v>
      </c>
      <c r="FY177" s="9" t="n">
        <v>0</v>
      </c>
      <c r="FZ177" s="9" t="n">
        <v>0</v>
      </c>
      <c r="GA177" s="9" t="n">
        <v>0</v>
      </c>
      <c r="GB177" s="11" t="n">
        <f aca="false">(FX177+FY177+FZ177+GA177)/4</f>
        <v>0</v>
      </c>
      <c r="GC177" s="9" t="n">
        <v>1</v>
      </c>
      <c r="GD177" s="9" t="n">
        <v>1</v>
      </c>
      <c r="GE177" s="9" t="n">
        <v>1</v>
      </c>
      <c r="GF177" s="9" t="n">
        <v>1</v>
      </c>
      <c r="GG177" s="11" t="n">
        <f aca="false">(GC177+GD177+GE177+GF177)/4</f>
        <v>1</v>
      </c>
      <c r="GH177" s="9" t="n">
        <v>1</v>
      </c>
      <c r="GI177" s="9" t="n">
        <v>1</v>
      </c>
      <c r="GJ177" s="9" t="n">
        <v>1</v>
      </c>
      <c r="GK177" s="9" t="n">
        <v>1</v>
      </c>
      <c r="GL177" s="11" t="n">
        <f aca="false">(GH177+GI177+GJ177+GK177)/4</f>
        <v>1</v>
      </c>
      <c r="GM177" s="9" t="n">
        <v>35</v>
      </c>
      <c r="GN177" s="9" t="n">
        <v>80</v>
      </c>
      <c r="GO177" s="9" t="n">
        <v>38</v>
      </c>
      <c r="GP177" s="9" t="n">
        <v>30</v>
      </c>
      <c r="GQ177" s="11" t="n">
        <f aca="false">(GM177+GN177+GO177+GP177)/4</f>
        <v>45.75</v>
      </c>
      <c r="GR177" s="9" t="n">
        <v>11</v>
      </c>
      <c r="GS177" s="9" t="n">
        <v>10</v>
      </c>
      <c r="GT177" s="9" t="n">
        <v>16</v>
      </c>
      <c r="GU177" s="9" t="n">
        <v>8</v>
      </c>
      <c r="GV177" s="11" t="n">
        <f aca="false">(GR177+GS177+GT177+GU177)/4</f>
        <v>11.25</v>
      </c>
      <c r="GW177" s="9" t="n">
        <v>0</v>
      </c>
      <c r="GX177" s="9" t="n">
        <v>0</v>
      </c>
      <c r="GY177" s="9" t="n">
        <v>0</v>
      </c>
      <c r="GZ177" s="9" t="n">
        <v>0</v>
      </c>
      <c r="HA177" s="11" t="n">
        <f aca="false">(GW177+GX177+GY177+GZ177)/4</f>
        <v>0</v>
      </c>
      <c r="HB177" s="9" t="n">
        <f aca="false">(GW177/GR177)</f>
        <v>0</v>
      </c>
      <c r="HC177" s="9" t="n">
        <f aca="false">(GX177/GS177)</f>
        <v>0</v>
      </c>
      <c r="HD177" s="9" t="n">
        <f aca="false">(GY177/GT177)</f>
        <v>0</v>
      </c>
      <c r="HE177" s="9" t="n">
        <f aca="false">(GZ177/GU177)/4</f>
        <v>0</v>
      </c>
      <c r="HF177" s="9" t="n">
        <f aca="false">(HB177+HC177+HD177+HE177)/4</f>
        <v>0</v>
      </c>
      <c r="HG177" s="9" t="n">
        <f aca="false">(100*HF177)</f>
        <v>0</v>
      </c>
      <c r="HH177" s="18" t="n">
        <v>0</v>
      </c>
      <c r="HI177" s="9" t="n">
        <v>2</v>
      </c>
      <c r="HJ177" s="9" t="n">
        <v>1</v>
      </c>
      <c r="HK177" s="9" t="n">
        <v>1</v>
      </c>
      <c r="HL177" s="19" t="n">
        <v>2</v>
      </c>
      <c r="HM177" s="9" t="n">
        <f aca="false">(HI177+HJ177+HK177+HL177)/4</f>
        <v>1.5</v>
      </c>
      <c r="HN177" s="9" t="n">
        <f aca="false">(HI177/GR177)</f>
        <v>0.181818181818182</v>
      </c>
      <c r="HO177" s="9" t="n">
        <f aca="false">(HJ177/GS177)</f>
        <v>0.1</v>
      </c>
      <c r="HP177" s="9" t="n">
        <f aca="false">(HK177/GT177)</f>
        <v>0.0625</v>
      </c>
      <c r="HQ177" s="9" t="n">
        <f aca="false">(HL177/GU177)</f>
        <v>0.25</v>
      </c>
      <c r="HR177" s="9" t="n">
        <f aca="false">(HM177/GV177)</f>
        <v>0.133333333333333</v>
      </c>
      <c r="HS177" s="9" t="n">
        <f aca="false">(100*HR177)</f>
        <v>13.3333333333333</v>
      </c>
      <c r="HT177" s="18" t="n">
        <v>2</v>
      </c>
      <c r="HU177" s="9" t="n">
        <v>0</v>
      </c>
      <c r="HV177" s="9" t="n">
        <v>0</v>
      </c>
      <c r="HW177" s="9" t="n">
        <v>0</v>
      </c>
      <c r="HX177" s="19" t="n">
        <v>0</v>
      </c>
      <c r="HY177" s="9" t="n">
        <f aca="false">(HU177+HV177+HW177+HX177)/4</f>
        <v>0</v>
      </c>
      <c r="HZ177" s="9" t="n">
        <f aca="false">(HU177/GR177)</f>
        <v>0</v>
      </c>
      <c r="IA177" s="9" t="n">
        <f aca="false">HV177/GS177</f>
        <v>0</v>
      </c>
      <c r="IB177" s="9" t="n">
        <f aca="false">(HW177/GT177)</f>
        <v>0</v>
      </c>
      <c r="IC177" s="9" t="n">
        <f aca="false">(HX177/GU177)</f>
        <v>0</v>
      </c>
      <c r="ID177" s="9" t="n">
        <f aca="false">(HY177/GV177)</f>
        <v>0</v>
      </c>
      <c r="IE177" s="9" t="n">
        <f aca="false">(100*ID177)</f>
        <v>0</v>
      </c>
      <c r="IF177" s="18" t="n">
        <v>0</v>
      </c>
      <c r="IG177" s="9" t="n">
        <v>4</v>
      </c>
      <c r="IH177" s="9" t="n">
        <v>10</v>
      </c>
      <c r="II177" s="19" t="n">
        <v>3</v>
      </c>
      <c r="IJ177" s="9" t="n">
        <v>2</v>
      </c>
      <c r="IK177" s="9" t="n">
        <f aca="false">(IG177+IH177+II177+IJ177)/4</f>
        <v>4.75</v>
      </c>
      <c r="IL177" s="9" t="n">
        <f aca="false">(IG177/GM177)</f>
        <v>0.114285714285714</v>
      </c>
      <c r="IM177" s="9" t="n">
        <f aca="false">(IH177/GN177)</f>
        <v>0.125</v>
      </c>
      <c r="IN177" s="9" t="n">
        <f aca="false">(II177/GO177)</f>
        <v>0.0789473684210526</v>
      </c>
      <c r="IO177" s="9" t="n">
        <f aca="false">(IJ177/GP177)</f>
        <v>0.0666666666666667</v>
      </c>
      <c r="IP177" s="9" t="n">
        <f aca="false">(IK177/GQ177)</f>
        <v>0.103825136612022</v>
      </c>
      <c r="IQ177" s="9" t="n">
        <f aca="false">(100*IP177)</f>
        <v>10.3825136612022</v>
      </c>
      <c r="IR177" s="18" t="n">
        <v>2</v>
      </c>
      <c r="IS177" s="9" t="n">
        <v>55.7</v>
      </c>
      <c r="IT177" s="9" t="n">
        <v>70.8</v>
      </c>
      <c r="IU177" s="19" t="n">
        <v>65.1</v>
      </c>
      <c r="IV177" s="9" t="n">
        <v>63.3</v>
      </c>
      <c r="IW177" s="9" t="n">
        <f aca="false">(IS177+IT177+IU177+IV177)/4</f>
        <v>63.725</v>
      </c>
      <c r="IX177" s="16" t="n">
        <v>45209</v>
      </c>
      <c r="IY177" s="10" t="s">
        <v>268</v>
      </c>
    </row>
    <row r="178" customFormat="false" ht="15.75" hidden="false" customHeight="true" outlineLevel="0" collapsed="false">
      <c r="A178" s="9" t="s">
        <v>299</v>
      </c>
      <c r="B178" s="10" t="s">
        <v>663</v>
      </c>
      <c r="C178" s="10" t="s">
        <v>626</v>
      </c>
      <c r="D178" s="9" t="n">
        <v>3</v>
      </c>
      <c r="E178" s="9" t="n">
        <v>59</v>
      </c>
      <c r="F178" s="10" t="s">
        <v>669</v>
      </c>
      <c r="G178" s="10" t="s">
        <v>297</v>
      </c>
      <c r="H178" s="9" t="n">
        <v>21</v>
      </c>
      <c r="I178" s="9" t="n">
        <v>20</v>
      </c>
      <c r="J178" s="10" t="s">
        <v>272</v>
      </c>
      <c r="K178" s="20"/>
      <c r="L178" s="20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 t="n">
        <v>1</v>
      </c>
      <c r="Y178" s="9" t="n">
        <v>0</v>
      </c>
      <c r="Z178" s="9" t="n">
        <v>1</v>
      </c>
      <c r="AA178" s="9" t="n">
        <v>0</v>
      </c>
      <c r="AB178" s="11" t="n">
        <f aca="false">(X178+Y178+Z178+AA178)/4</f>
        <v>0.5</v>
      </c>
      <c r="AC178" s="9" t="n">
        <v>1</v>
      </c>
      <c r="AD178" s="9" t="n">
        <v>1</v>
      </c>
      <c r="AE178" s="9" t="n">
        <v>1</v>
      </c>
      <c r="AF178" s="9" t="n">
        <v>1</v>
      </c>
      <c r="AG178" s="11" t="n">
        <f aca="false">(AC178+AD178+AE178+AF178)/4</f>
        <v>1</v>
      </c>
      <c r="AH178" s="9" t="n">
        <v>1</v>
      </c>
      <c r="AI178" s="9" t="n">
        <v>1</v>
      </c>
      <c r="AJ178" s="9" t="n">
        <v>1</v>
      </c>
      <c r="AK178" s="9" t="n">
        <v>1</v>
      </c>
      <c r="AL178" s="11" t="n">
        <f aca="false">(AH178+AI178+AJ178+AK178)/4</f>
        <v>1</v>
      </c>
      <c r="AM178" s="9" t="n">
        <v>33</v>
      </c>
      <c r="AN178" s="9" t="n">
        <v>40</v>
      </c>
      <c r="AO178" s="9" t="n">
        <v>88</v>
      </c>
      <c r="AP178" s="9" t="n">
        <v>16</v>
      </c>
      <c r="AQ178" s="11" t="n">
        <f aca="false">(AM178+AN178+AO178+AP178)/4</f>
        <v>44.25</v>
      </c>
      <c r="AR178" s="9" t="n">
        <v>43</v>
      </c>
      <c r="AS178" s="9" t="n">
        <v>45</v>
      </c>
      <c r="AT178" s="9" t="n">
        <v>27</v>
      </c>
      <c r="AU178" s="9" t="n">
        <v>13</v>
      </c>
      <c r="AV178" s="11" t="n">
        <f aca="false">(AR178+AS178+AT178+AU178)/4</f>
        <v>32</v>
      </c>
      <c r="AW178" s="9" t="n">
        <v>1</v>
      </c>
      <c r="AX178" s="9" t="n">
        <v>0</v>
      </c>
      <c r="AY178" s="9" t="n">
        <v>1</v>
      </c>
      <c r="AZ178" s="9" t="n">
        <v>0</v>
      </c>
      <c r="BA178" s="11" t="n">
        <f aca="false">(AW178+AX178+AY178+AZ178)/4</f>
        <v>0.5</v>
      </c>
      <c r="BB178" s="11" t="n">
        <f aca="false">(AW178/AR178)</f>
        <v>0.0232558139534884</v>
      </c>
      <c r="BC178" s="11" t="n">
        <f aca="false">(AX178/AS178)</f>
        <v>0</v>
      </c>
      <c r="BD178" s="11" t="n">
        <f aca="false">(AY178/AT178)</f>
        <v>0.037037037037037</v>
      </c>
      <c r="BE178" s="11" t="n">
        <f aca="false">(AZ178/AU178)</f>
        <v>0</v>
      </c>
      <c r="BF178" s="11" t="n">
        <f aca="false">(BA178/AV178)</f>
        <v>0.015625</v>
      </c>
      <c r="BG178" s="11" t="n">
        <f aca="false">(BF178*100)</f>
        <v>1.5625</v>
      </c>
      <c r="BH178" s="9" t="n">
        <v>1</v>
      </c>
      <c r="BI178" s="9" t="n">
        <v>4</v>
      </c>
      <c r="BJ178" s="9" t="n">
        <v>4</v>
      </c>
      <c r="BK178" s="9" t="n">
        <v>2</v>
      </c>
      <c r="BL178" s="9" t="n">
        <v>1</v>
      </c>
      <c r="BM178" s="11" t="n">
        <f aca="false">(BI178+BJ178+BK178+BL178)/4</f>
        <v>2.75</v>
      </c>
      <c r="BN178" s="11" t="n">
        <f aca="false">(BI178/AR178)</f>
        <v>0.0930232558139535</v>
      </c>
      <c r="BO178" s="11" t="n">
        <f aca="false">(BJ178/AS178)</f>
        <v>0.0888888888888889</v>
      </c>
      <c r="BP178" s="11" t="n">
        <f aca="false">(BK178/AT178)</f>
        <v>0.0740740740740741</v>
      </c>
      <c r="BQ178" s="11" t="n">
        <f aca="false">(BL178/AU178)</f>
        <v>0.0769230769230769</v>
      </c>
      <c r="BR178" s="11" t="n">
        <f aca="false">(BM178/AV178)</f>
        <v>0.0859375</v>
      </c>
      <c r="BS178" s="11" t="n">
        <f aca="false">(100*BR178)</f>
        <v>8.59375</v>
      </c>
      <c r="BT178" s="9" t="n">
        <v>1</v>
      </c>
      <c r="BU178" s="9" t="n">
        <v>0</v>
      </c>
      <c r="BV178" s="9" t="n">
        <v>0</v>
      </c>
      <c r="BW178" s="9" t="n">
        <v>0</v>
      </c>
      <c r="BX178" s="9" t="n">
        <v>0</v>
      </c>
      <c r="BY178" s="11" t="n">
        <f aca="false">(BU178+BV178+BW178+BX178)/4</f>
        <v>0</v>
      </c>
      <c r="BZ178" s="11" t="n">
        <f aca="false">(BU178/AR178)</f>
        <v>0</v>
      </c>
      <c r="CA178" s="11" t="n">
        <f aca="false">(BV178/AS178)</f>
        <v>0</v>
      </c>
      <c r="CB178" s="11" t="n">
        <f aca="false">(BW178/AT178)</f>
        <v>0</v>
      </c>
      <c r="CC178" s="11" t="n">
        <f aca="false">(BX178/AU178)</f>
        <v>0</v>
      </c>
      <c r="CD178" s="11" t="n">
        <f aca="false">(BY178/AV178)</f>
        <v>0</v>
      </c>
      <c r="CE178" s="11" t="n">
        <f aca="false">(100*CD178)</f>
        <v>0</v>
      </c>
      <c r="CF178" s="9" t="n">
        <v>0</v>
      </c>
      <c r="CG178" s="9" t="n">
        <v>4</v>
      </c>
      <c r="CH178" s="9" t="n">
        <v>12</v>
      </c>
      <c r="CI178" s="9" t="n">
        <v>16</v>
      </c>
      <c r="CJ178" s="9" t="n">
        <v>10</v>
      </c>
      <c r="CK178" s="11" t="n">
        <f aca="false">(CG178+CH178+CI178+CJ178)/4</f>
        <v>10.5</v>
      </c>
      <c r="CL178" s="11" t="n">
        <f aca="false">(CG178/AM178)</f>
        <v>0.121212121212121</v>
      </c>
      <c r="CM178" s="11" t="n">
        <f aca="false">(CH178/AN178)</f>
        <v>0.3</v>
      </c>
      <c r="CN178" s="11" t="n">
        <f aca="false">(CI178/AO178)</f>
        <v>0.181818181818182</v>
      </c>
      <c r="CO178" s="9" t="n">
        <f aca="false">(CJ178/AP178)</f>
        <v>0.625</v>
      </c>
      <c r="CP178" s="9" t="n">
        <f aca="false">(CK178/AQ178)</f>
        <v>0.23728813559322</v>
      </c>
      <c r="CQ178" s="9" t="n">
        <f aca="false">(100*CP178)</f>
        <v>23.728813559322</v>
      </c>
      <c r="CR178" s="18" t="n">
        <v>2</v>
      </c>
      <c r="CS178" s="9" t="n">
        <v>64.1</v>
      </c>
      <c r="CT178" s="9" t="n">
        <v>64.1</v>
      </c>
      <c r="CU178" s="9" t="n">
        <v>66.8</v>
      </c>
      <c r="CV178" s="9" t="n">
        <v>64.5</v>
      </c>
      <c r="CW178" s="11" t="n">
        <f aca="false">(CS178+CT178+CU178+CV178)/4</f>
        <v>64.875</v>
      </c>
      <c r="CX178" s="9" t="n">
        <v>0</v>
      </c>
      <c r="CY178" s="9" t="n">
        <v>0</v>
      </c>
      <c r="CZ178" s="9" t="n">
        <v>0</v>
      </c>
      <c r="DA178" s="9" t="n">
        <v>0</v>
      </c>
      <c r="DB178" s="11" t="n">
        <f aca="false">(CX178+CY178+CZ178+DA178)/4</f>
        <v>0</v>
      </c>
      <c r="DC178" s="9" t="n">
        <v>1</v>
      </c>
      <c r="DD178" s="9" t="n">
        <v>1</v>
      </c>
      <c r="DE178" s="9" t="n">
        <v>1</v>
      </c>
      <c r="DF178" s="9" t="n">
        <v>1</v>
      </c>
      <c r="DG178" s="11" t="n">
        <f aca="false">(DC178+DD178+DE178+DF178)/4</f>
        <v>1</v>
      </c>
      <c r="DH178" s="9" t="n">
        <v>1</v>
      </c>
      <c r="DI178" s="9" t="n">
        <v>1</v>
      </c>
      <c r="DJ178" s="9" t="n">
        <v>1</v>
      </c>
      <c r="DK178" s="9" t="n">
        <v>1</v>
      </c>
      <c r="DL178" s="11" t="n">
        <f aca="false">(DH178+DI178+DJ178+DK178)/4</f>
        <v>1</v>
      </c>
      <c r="DM178" s="9" t="n">
        <v>20</v>
      </c>
      <c r="DN178" s="9" t="n">
        <v>42</v>
      </c>
      <c r="DO178" s="9" t="n">
        <v>13</v>
      </c>
      <c r="DP178" s="9" t="n">
        <v>40</v>
      </c>
      <c r="DQ178" s="11" t="n">
        <f aca="false">(DM178+DN178+DO178+DP178)/4</f>
        <v>28.75</v>
      </c>
      <c r="DR178" s="9" t="n">
        <v>9</v>
      </c>
      <c r="DS178" s="9" t="n">
        <v>22</v>
      </c>
      <c r="DT178" s="9" t="n">
        <v>15</v>
      </c>
      <c r="DU178" s="9" t="n">
        <v>11</v>
      </c>
      <c r="DV178" s="11" t="n">
        <f aca="false">(DR178+DS178+DT178+DU178)/4</f>
        <v>14.25</v>
      </c>
      <c r="DW178" s="9" t="n">
        <v>0</v>
      </c>
      <c r="DX178" s="9" t="n">
        <v>0</v>
      </c>
      <c r="DY178" s="9" t="n">
        <v>0</v>
      </c>
      <c r="DZ178" s="9" t="n">
        <v>0</v>
      </c>
      <c r="EA178" s="11" t="n">
        <f aca="false">(DW178+DX178+DY178+DZ178)/4</f>
        <v>0</v>
      </c>
      <c r="EB178" s="11" t="n">
        <f aca="false">(DW178/DR178)</f>
        <v>0</v>
      </c>
      <c r="EC178" s="11" t="n">
        <f aca="false">(DX178/DS178)</f>
        <v>0</v>
      </c>
      <c r="ED178" s="11" t="n">
        <f aca="false">(DY178/DT178)</f>
        <v>0</v>
      </c>
      <c r="EE178" s="11" t="n">
        <f aca="false">(DZ178/DU178)</f>
        <v>0</v>
      </c>
      <c r="EF178" s="11" t="n">
        <f aca="false">(EA178/DV178)</f>
        <v>0</v>
      </c>
      <c r="EG178" s="11" t="n">
        <f aca="false">(100*EF178)</f>
        <v>0</v>
      </c>
      <c r="EH178" s="9" t="n">
        <v>0</v>
      </c>
      <c r="EI178" s="9" t="n">
        <v>1</v>
      </c>
      <c r="EJ178" s="9" t="n">
        <v>3</v>
      </c>
      <c r="EK178" s="19" t="n">
        <v>0</v>
      </c>
      <c r="EL178" s="9" t="n">
        <v>4</v>
      </c>
      <c r="EM178" s="9" t="n">
        <f aca="false">(EI178+EJ178+EK178+EL178)/4</f>
        <v>2</v>
      </c>
      <c r="EN178" s="9" t="n">
        <f aca="false">(EI178/DR178)</f>
        <v>0.111111111111111</v>
      </c>
      <c r="EO178" s="9" t="n">
        <f aca="false">(EJ178/DS178)</f>
        <v>0.136363636363636</v>
      </c>
      <c r="EP178" s="9" t="n">
        <f aca="false">(EK178/DT178)</f>
        <v>0</v>
      </c>
      <c r="EQ178" s="9" t="n">
        <f aca="false">(EL178/DU178)</f>
        <v>0.363636363636364</v>
      </c>
      <c r="ER178" s="9" t="n">
        <f aca="false">EM178/DV178</f>
        <v>0.140350877192982</v>
      </c>
      <c r="ES178" s="9" t="n">
        <f aca="false">(100*ER178)</f>
        <v>14.0350877192982</v>
      </c>
      <c r="ET178" s="9" t="n">
        <v>2</v>
      </c>
      <c r="EU178" s="18" t="n">
        <v>0</v>
      </c>
      <c r="EV178" s="9" t="n">
        <v>0</v>
      </c>
      <c r="EW178" s="9" t="n">
        <v>0</v>
      </c>
      <c r="EX178" s="9" t="n">
        <v>0</v>
      </c>
      <c r="EY178" s="11" t="n">
        <f aca="false">(EU178+EV178+EW178+EX178)/4</f>
        <v>0</v>
      </c>
      <c r="EZ178" s="11" t="n">
        <f aca="false">(EU178/DR178)</f>
        <v>0</v>
      </c>
      <c r="FA178" s="11" t="n">
        <f aca="false">(EV178/DS178)</f>
        <v>0</v>
      </c>
      <c r="FB178" s="11" t="n">
        <f aca="false">(EW178/DT178)</f>
        <v>0</v>
      </c>
      <c r="FC178" s="11" t="n">
        <f aca="false">(EX178/DU178)</f>
        <v>0</v>
      </c>
      <c r="FD178" s="11" t="n">
        <f aca="false">(EY178/DV178)</f>
        <v>0</v>
      </c>
      <c r="FE178" s="11" t="n">
        <f aca="false">(100*FD178)</f>
        <v>0</v>
      </c>
      <c r="FF178" s="9" t="n">
        <v>0</v>
      </c>
      <c r="FG178" s="9" t="n">
        <v>5</v>
      </c>
      <c r="FH178" s="9" t="n">
        <v>14</v>
      </c>
      <c r="FI178" s="9" t="n">
        <v>5</v>
      </c>
      <c r="FJ178" s="9" t="n">
        <v>6</v>
      </c>
      <c r="FK178" s="11" t="n">
        <f aca="false">(FG178+FH178+FI178+FJ178)/4</f>
        <v>7.5</v>
      </c>
      <c r="FL178" s="11" t="n">
        <f aca="false">(FG178/DR178)</f>
        <v>0.555555555555556</v>
      </c>
      <c r="FM178" s="11" t="n">
        <f aca="false">(FH178/DS178)</f>
        <v>0.636363636363636</v>
      </c>
      <c r="FN178" s="11" t="n">
        <f aca="false">(FI178/DT178)</f>
        <v>0.333333333333333</v>
      </c>
      <c r="FO178" s="11" t="n">
        <f aca="false">(FJ178/DU178)</f>
        <v>0.545454545454545</v>
      </c>
      <c r="FP178" s="11" t="n">
        <f aca="false">(FK178/DV178)</f>
        <v>0.526315789473684</v>
      </c>
      <c r="FQ178" s="11" t="n">
        <f aca="false">(100*FP178)</f>
        <v>52.6315789473684</v>
      </c>
      <c r="FR178" s="9" t="n">
        <v>3</v>
      </c>
      <c r="FS178" s="9" t="n">
        <v>69.9</v>
      </c>
      <c r="FT178" s="9" t="n">
        <v>58.7</v>
      </c>
      <c r="FU178" s="9" t="n">
        <v>39.9</v>
      </c>
      <c r="FV178" s="9" t="n">
        <v>66.8</v>
      </c>
      <c r="FW178" s="11" t="n">
        <f aca="false">(FS178+FT178+FU178+FV178)/4</f>
        <v>58.825</v>
      </c>
      <c r="FX178" s="9" t="n">
        <v>0</v>
      </c>
      <c r="FY178" s="9" t="n">
        <v>0</v>
      </c>
      <c r="FZ178" s="9" t="n">
        <v>0</v>
      </c>
      <c r="GA178" s="9" t="n">
        <v>0</v>
      </c>
      <c r="GB178" s="11" t="n">
        <f aca="false">(FX178+FY178+FZ178+GA178)/4</f>
        <v>0</v>
      </c>
      <c r="GC178" s="9" t="n">
        <v>1</v>
      </c>
      <c r="GD178" s="9" t="n">
        <v>1</v>
      </c>
      <c r="GE178" s="9" t="n">
        <v>0</v>
      </c>
      <c r="GF178" s="9" t="n">
        <v>1</v>
      </c>
      <c r="GG178" s="11" t="n">
        <f aca="false">(GC178+GD178+GE178+GF178)/4</f>
        <v>0.75</v>
      </c>
      <c r="GH178" s="9" t="n">
        <v>1</v>
      </c>
      <c r="GI178" s="9" t="n">
        <v>1</v>
      </c>
      <c r="GJ178" s="9" t="n">
        <v>0</v>
      </c>
      <c r="GK178" s="9" t="n">
        <v>1</v>
      </c>
      <c r="GL178" s="11" t="n">
        <f aca="false">(GH178+GI178+GJ178+GK178)/4</f>
        <v>0.75</v>
      </c>
      <c r="GM178" s="9" t="n">
        <v>13</v>
      </c>
      <c r="GN178" s="9" t="n">
        <v>40</v>
      </c>
      <c r="GO178" s="9" t="n">
        <v>20</v>
      </c>
      <c r="GP178" s="9" t="n">
        <v>16</v>
      </c>
      <c r="GQ178" s="11" t="n">
        <f aca="false">(GM178+GN178+GO178+GP178)/4</f>
        <v>22.25</v>
      </c>
      <c r="GR178" s="9" t="n">
        <v>10</v>
      </c>
      <c r="GS178" s="9" t="n">
        <v>12</v>
      </c>
      <c r="GT178" s="9" t="n">
        <v>9</v>
      </c>
      <c r="GU178" s="9" t="n">
        <v>13</v>
      </c>
      <c r="GV178" s="11" t="n">
        <f aca="false">(GR178+GS178+GT178+GU178)/4</f>
        <v>11</v>
      </c>
      <c r="GW178" s="9" t="n">
        <v>0</v>
      </c>
      <c r="GX178" s="9" t="n">
        <v>0</v>
      </c>
      <c r="GY178" s="9" t="n">
        <v>0</v>
      </c>
      <c r="GZ178" s="9" t="n">
        <v>0</v>
      </c>
      <c r="HA178" s="11" t="n">
        <f aca="false">(GW178+GX178+GY178+GZ178)/4</f>
        <v>0</v>
      </c>
      <c r="HB178" s="9" t="n">
        <f aca="false">(GW178/GR178)</f>
        <v>0</v>
      </c>
      <c r="HC178" s="9" t="n">
        <f aca="false">(GX178/GS178)</f>
        <v>0</v>
      </c>
      <c r="HD178" s="9" t="n">
        <f aca="false">(GY178/GT178)</f>
        <v>0</v>
      </c>
      <c r="HE178" s="9" t="n">
        <f aca="false">(GZ178/GU178)/4</f>
        <v>0</v>
      </c>
      <c r="HF178" s="9" t="n">
        <f aca="false">(HB178+HC178+HD178+HE178)/4</f>
        <v>0</v>
      </c>
      <c r="HG178" s="9" t="n">
        <f aca="false">(100*HF178)</f>
        <v>0</v>
      </c>
      <c r="HH178" s="18" t="n">
        <v>0</v>
      </c>
      <c r="HI178" s="9" t="n">
        <v>2</v>
      </c>
      <c r="HJ178" s="9" t="n">
        <v>6</v>
      </c>
      <c r="HK178" s="9" t="n">
        <v>0</v>
      </c>
      <c r="HL178" s="19" t="n">
        <v>1</v>
      </c>
      <c r="HM178" s="9" t="n">
        <f aca="false">(HI178+HJ178+HK178+HL178)/4</f>
        <v>2.25</v>
      </c>
      <c r="HN178" s="9" t="n">
        <f aca="false">(HI178/GR178)</f>
        <v>0.2</v>
      </c>
      <c r="HO178" s="9" t="n">
        <f aca="false">(HJ178/GS178)</f>
        <v>0.5</v>
      </c>
      <c r="HP178" s="9" t="n">
        <f aca="false">(HK178/GT178)</f>
        <v>0</v>
      </c>
      <c r="HQ178" s="9" t="n">
        <f aca="false">(HL178/GU178)</f>
        <v>0.0769230769230769</v>
      </c>
      <c r="HR178" s="9" t="n">
        <f aca="false">(HM178/GV178)</f>
        <v>0.204545454545455</v>
      </c>
      <c r="HS178" s="9" t="n">
        <f aca="false">(100*HR178)</f>
        <v>20.4545454545455</v>
      </c>
      <c r="HT178" s="18" t="n">
        <v>2</v>
      </c>
      <c r="HU178" s="9" t="n">
        <v>0</v>
      </c>
      <c r="HV178" s="9" t="n">
        <v>0</v>
      </c>
      <c r="HW178" s="9" t="n">
        <v>0</v>
      </c>
      <c r="HX178" s="19" t="n">
        <v>0</v>
      </c>
      <c r="HY178" s="9" t="n">
        <f aca="false">(HU178+HV178+HW178+HX178)/4</f>
        <v>0</v>
      </c>
      <c r="HZ178" s="9" t="n">
        <f aca="false">(HU178/GR178)</f>
        <v>0</v>
      </c>
      <c r="IA178" s="9" t="n">
        <f aca="false">HV178/GS178</f>
        <v>0</v>
      </c>
      <c r="IB178" s="9" t="n">
        <f aca="false">(HW178/GT178)</f>
        <v>0</v>
      </c>
      <c r="IC178" s="9" t="n">
        <f aca="false">(HX178/GU178)</f>
        <v>0</v>
      </c>
      <c r="ID178" s="9" t="n">
        <f aca="false">(HY178/GV178)</f>
        <v>0</v>
      </c>
      <c r="IE178" s="9" t="n">
        <f aca="false">(100*ID178)</f>
        <v>0</v>
      </c>
      <c r="IF178" s="18" t="n">
        <v>0</v>
      </c>
      <c r="IG178" s="9" t="n">
        <v>3</v>
      </c>
      <c r="IH178" s="9" t="n">
        <v>2</v>
      </c>
      <c r="II178" s="19" t="n">
        <v>0</v>
      </c>
      <c r="IJ178" s="9" t="n">
        <v>3</v>
      </c>
      <c r="IK178" s="9" t="n">
        <f aca="false">(IG178+IH178+II178+IJ178)/4</f>
        <v>2</v>
      </c>
      <c r="IL178" s="9" t="n">
        <f aca="false">(IG178/GM178)</f>
        <v>0.230769230769231</v>
      </c>
      <c r="IM178" s="9" t="n">
        <f aca="false">(IH178/GN178)</f>
        <v>0.05</v>
      </c>
      <c r="IN178" s="9" t="n">
        <f aca="false">(II178/GO178)</f>
        <v>0</v>
      </c>
      <c r="IO178" s="9" t="n">
        <f aca="false">(IJ178/GP178)</f>
        <v>0.1875</v>
      </c>
      <c r="IP178" s="9" t="n">
        <f aca="false">(IK178/GQ178)</f>
        <v>0.0898876404494382</v>
      </c>
      <c r="IQ178" s="9" t="n">
        <f aca="false">(100*IP178)</f>
        <v>8.98876404494382</v>
      </c>
      <c r="IR178" s="18" t="n">
        <v>1</v>
      </c>
      <c r="IS178" s="9" t="n">
        <v>58.6</v>
      </c>
      <c r="IT178" s="9" t="n">
        <v>55.5</v>
      </c>
      <c r="IU178" s="19" t="n">
        <v>62.7</v>
      </c>
      <c r="IV178" s="9" t="n">
        <v>69.3</v>
      </c>
      <c r="IW178" s="9" t="n">
        <f aca="false">(IS178+IT178+IU178+IV178)/4</f>
        <v>61.525</v>
      </c>
      <c r="IX178" s="16" t="n">
        <v>45209</v>
      </c>
      <c r="IY178" s="10" t="s">
        <v>268</v>
      </c>
    </row>
    <row r="179" customFormat="false" ht="15.75" hidden="false" customHeight="true" outlineLevel="0" collapsed="false">
      <c r="A179" s="9" t="s">
        <v>299</v>
      </c>
      <c r="B179" s="10" t="s">
        <v>670</v>
      </c>
      <c r="C179" s="10" t="s">
        <v>626</v>
      </c>
      <c r="D179" s="9" t="n">
        <v>4</v>
      </c>
      <c r="E179" s="9" t="n">
        <v>60</v>
      </c>
      <c r="F179" s="10" t="s">
        <v>671</v>
      </c>
      <c r="G179" s="10" t="s">
        <v>275</v>
      </c>
      <c r="H179" s="9" t="n">
        <v>21</v>
      </c>
      <c r="I179" s="9" t="n">
        <v>5</v>
      </c>
      <c r="J179" s="12" t="s">
        <v>264</v>
      </c>
      <c r="K179" s="17" t="s">
        <v>672</v>
      </c>
      <c r="L179" s="13" t="s">
        <v>673</v>
      </c>
      <c r="M179" s="14" t="n">
        <v>1284</v>
      </c>
      <c r="N179" s="15" t="n">
        <v>45155</v>
      </c>
      <c r="O179" s="10" t="s">
        <v>294</v>
      </c>
      <c r="P179" s="9"/>
      <c r="Q179" s="9" t="n">
        <v>0.01</v>
      </c>
      <c r="R179" s="9" t="n">
        <v>12</v>
      </c>
      <c r="S179" s="9" t="n">
        <v>-15</v>
      </c>
      <c r="T179" s="9" t="n">
        <v>110</v>
      </c>
      <c r="U179" s="9"/>
      <c r="V179" s="9" t="n">
        <f aca="false">(34.6/100)</f>
        <v>0.346</v>
      </c>
      <c r="W179" s="22" t="s">
        <v>674</v>
      </c>
      <c r="X179" s="9" t="n">
        <v>0</v>
      </c>
      <c r="Y179" s="9" t="n">
        <v>0</v>
      </c>
      <c r="Z179" s="9" t="n">
        <v>0</v>
      </c>
      <c r="AA179" s="9" t="n">
        <v>0</v>
      </c>
      <c r="AB179" s="11" t="n">
        <f aca="false">(X179+Y179+Z179+AA179)/4</f>
        <v>0</v>
      </c>
      <c r="AC179" s="9" t="n">
        <v>1</v>
      </c>
      <c r="AD179" s="9" t="n">
        <v>1</v>
      </c>
      <c r="AE179" s="9" t="n">
        <v>1</v>
      </c>
      <c r="AF179" s="9" t="n">
        <v>1</v>
      </c>
      <c r="AG179" s="11" t="n">
        <f aca="false">(AC179+AD179+AE179+AF179)/4</f>
        <v>1</v>
      </c>
      <c r="AH179" s="9" t="n">
        <v>1</v>
      </c>
      <c r="AI179" s="9" t="n">
        <v>1</v>
      </c>
      <c r="AJ179" s="9" t="n">
        <v>1</v>
      </c>
      <c r="AK179" s="9" t="n">
        <v>1</v>
      </c>
      <c r="AL179" s="11" t="n">
        <f aca="false">(AH179+AI179+AJ179+AK179)/4</f>
        <v>1</v>
      </c>
      <c r="AM179" s="9" t="n">
        <v>32</v>
      </c>
      <c r="AN179" s="9" t="n">
        <v>50</v>
      </c>
      <c r="AO179" s="9" t="n">
        <v>7</v>
      </c>
      <c r="AP179" s="9" t="n">
        <v>36</v>
      </c>
      <c r="AQ179" s="11" t="n">
        <f aca="false">(AM179+AN179+AO179+AP179)/4</f>
        <v>31.25</v>
      </c>
      <c r="AR179" s="9" t="n">
        <v>30</v>
      </c>
      <c r="AS179" s="9" t="n">
        <v>64</v>
      </c>
      <c r="AT179" s="9" t="n">
        <v>7</v>
      </c>
      <c r="AU179" s="9" t="n">
        <v>11</v>
      </c>
      <c r="AV179" s="11" t="n">
        <f aca="false">(AR179+AS179+AT179+AU179)/4</f>
        <v>28</v>
      </c>
      <c r="AW179" s="9" t="n">
        <v>0</v>
      </c>
      <c r="AX179" s="9" t="n">
        <v>0</v>
      </c>
      <c r="AY179" s="9" t="n">
        <v>0</v>
      </c>
      <c r="AZ179" s="9" t="n">
        <v>0</v>
      </c>
      <c r="BA179" s="11" t="n">
        <f aca="false">(AW179+AX179+AY179+AZ179)/4</f>
        <v>0</v>
      </c>
      <c r="BB179" s="11" t="n">
        <f aca="false">(AW179/AR179)</f>
        <v>0</v>
      </c>
      <c r="BC179" s="11" t="n">
        <f aca="false">(AX179/AS179)</f>
        <v>0</v>
      </c>
      <c r="BD179" s="11" t="n">
        <f aca="false">(AY179/AT179)</f>
        <v>0</v>
      </c>
      <c r="BE179" s="11" t="n">
        <f aca="false">(AZ179/AU179)</f>
        <v>0</v>
      </c>
      <c r="BF179" s="11" t="n">
        <f aca="false">(BA179/AV179)</f>
        <v>0</v>
      </c>
      <c r="BG179" s="11" t="n">
        <f aca="false">(BF179*100)</f>
        <v>0</v>
      </c>
      <c r="BH179" s="9" t="n">
        <v>0</v>
      </c>
      <c r="BI179" s="9" t="n">
        <v>4</v>
      </c>
      <c r="BJ179" s="9" t="n">
        <v>6</v>
      </c>
      <c r="BK179" s="9" t="n">
        <v>3</v>
      </c>
      <c r="BL179" s="9" t="n">
        <v>1</v>
      </c>
      <c r="BM179" s="11" t="n">
        <f aca="false">(BI179+BJ179+BK179+BL179)/4</f>
        <v>3.5</v>
      </c>
      <c r="BN179" s="11" t="n">
        <f aca="false">(BI179/AR179)</f>
        <v>0.133333333333333</v>
      </c>
      <c r="BO179" s="11" t="n">
        <f aca="false">(BJ179/AS179)</f>
        <v>0.09375</v>
      </c>
      <c r="BP179" s="11" t="n">
        <f aca="false">(BK179/AT179)</f>
        <v>0.428571428571429</v>
      </c>
      <c r="BQ179" s="11" t="n">
        <f aca="false">(BL179/AU179)</f>
        <v>0.0909090909090909</v>
      </c>
      <c r="BR179" s="11" t="n">
        <f aca="false">(BM179/AV179)</f>
        <v>0.125</v>
      </c>
      <c r="BS179" s="11" t="n">
        <f aca="false">(100*BR179)</f>
        <v>12.5</v>
      </c>
      <c r="BT179" s="9" t="n">
        <v>2</v>
      </c>
      <c r="BU179" s="9" t="n">
        <v>0</v>
      </c>
      <c r="BV179" s="9" t="n">
        <v>5</v>
      </c>
      <c r="BW179" s="9" t="n">
        <v>0</v>
      </c>
      <c r="BX179" s="9" t="n">
        <v>0</v>
      </c>
      <c r="BY179" s="11" t="n">
        <f aca="false">(BU179+BV179+BW179+BX179)/4</f>
        <v>1.25</v>
      </c>
      <c r="BZ179" s="11" t="n">
        <f aca="false">(BU179/AR179)</f>
        <v>0</v>
      </c>
      <c r="CA179" s="11" t="n">
        <f aca="false">(BV179/AS179)</f>
        <v>0.078125</v>
      </c>
      <c r="CB179" s="11" t="n">
        <f aca="false">(BW179/AT179)</f>
        <v>0</v>
      </c>
      <c r="CC179" s="11" t="n">
        <f aca="false">(BX179/AU179)</f>
        <v>0</v>
      </c>
      <c r="CD179" s="11" t="n">
        <f aca="false">(BY179/AV179)</f>
        <v>0.0446428571428571</v>
      </c>
      <c r="CE179" s="11" t="n">
        <f aca="false">(100*CD179)</f>
        <v>4.46428571428571</v>
      </c>
      <c r="CF179" s="9" t="n">
        <v>1</v>
      </c>
      <c r="CG179" s="9" t="n">
        <v>5</v>
      </c>
      <c r="CH179" s="9" t="n">
        <v>5</v>
      </c>
      <c r="CI179" s="9" t="n">
        <v>5</v>
      </c>
      <c r="CJ179" s="9" t="n">
        <v>14</v>
      </c>
      <c r="CK179" s="11" t="n">
        <f aca="false">(CG179+CH179+CI179+CJ179)/4</f>
        <v>7.25</v>
      </c>
      <c r="CL179" s="11" t="n">
        <f aca="false">(CG179/AM179)</f>
        <v>0.15625</v>
      </c>
      <c r="CM179" s="11" t="n">
        <f aca="false">(CH179/AN179)</f>
        <v>0.1</v>
      </c>
      <c r="CN179" s="11" t="n">
        <f aca="false">(CI179/AO179)</f>
        <v>0.714285714285714</v>
      </c>
      <c r="CO179" s="9" t="n">
        <f aca="false">(CJ179/AP179)</f>
        <v>0.388888888888889</v>
      </c>
      <c r="CP179" s="9" t="n">
        <f aca="false">(CK179/AQ179)</f>
        <v>0.232</v>
      </c>
      <c r="CQ179" s="9" t="n">
        <f aca="false">(100*CP179)</f>
        <v>23.2</v>
      </c>
      <c r="CR179" s="18" t="n">
        <v>2</v>
      </c>
      <c r="CS179" s="9" t="n">
        <v>59.9</v>
      </c>
      <c r="CT179" s="9" t="n">
        <v>57.5</v>
      </c>
      <c r="CU179" s="9" t="n">
        <v>50.1</v>
      </c>
      <c r="CV179" s="9" t="n">
        <v>65.5</v>
      </c>
      <c r="CW179" s="11" t="n">
        <f aca="false">(CS179+CT179+CU179+CV179)/4</f>
        <v>58.25</v>
      </c>
      <c r="CX179" s="9" t="n">
        <v>0</v>
      </c>
      <c r="CY179" s="9" t="n">
        <v>0</v>
      </c>
      <c r="CZ179" s="9" t="n">
        <v>0</v>
      </c>
      <c r="DA179" s="9" t="n">
        <v>0</v>
      </c>
      <c r="DB179" s="11" t="n">
        <f aca="false">(CX179+CY179+CZ179+DA179)/4</f>
        <v>0</v>
      </c>
      <c r="DC179" s="9" t="n">
        <v>1</v>
      </c>
      <c r="DD179" s="9" t="n">
        <v>1</v>
      </c>
      <c r="DE179" s="9" t="n">
        <v>1</v>
      </c>
      <c r="DF179" s="9" t="n">
        <v>1</v>
      </c>
      <c r="DG179" s="11" t="n">
        <f aca="false">(DC179+DD179+DE179+DF179)/4</f>
        <v>1</v>
      </c>
      <c r="DH179" s="9" t="n">
        <v>1</v>
      </c>
      <c r="DI179" s="9" t="n">
        <v>1</v>
      </c>
      <c r="DJ179" s="9" t="n">
        <v>1</v>
      </c>
      <c r="DK179" s="9" t="n">
        <v>1</v>
      </c>
      <c r="DL179" s="11" t="n">
        <f aca="false">(DH179+DI179+DJ179+DK179)/4</f>
        <v>1</v>
      </c>
      <c r="DM179" s="9" t="n">
        <v>50</v>
      </c>
      <c r="DN179" s="9" t="n">
        <v>28</v>
      </c>
      <c r="DO179" s="9" t="n">
        <v>54</v>
      </c>
      <c r="DP179" s="9" t="n">
        <v>115</v>
      </c>
      <c r="DQ179" s="11" t="n">
        <f aca="false">(DM179+DN179+DO179+DP179)/4</f>
        <v>61.75</v>
      </c>
      <c r="DR179" s="9" t="n">
        <v>9</v>
      </c>
      <c r="DS179" s="9" t="n">
        <v>11</v>
      </c>
      <c r="DT179" s="9" t="n">
        <v>7</v>
      </c>
      <c r="DU179" s="9" t="n">
        <v>19</v>
      </c>
      <c r="DV179" s="11" t="n">
        <f aca="false">(DR179+DS179+DT179+DU179)/4</f>
        <v>11.5</v>
      </c>
      <c r="DW179" s="9" t="n">
        <v>0</v>
      </c>
      <c r="DX179" s="9" t="n">
        <v>0</v>
      </c>
      <c r="DY179" s="9" t="n">
        <v>0</v>
      </c>
      <c r="DZ179" s="9" t="n">
        <v>0</v>
      </c>
      <c r="EA179" s="11" t="n">
        <f aca="false">(DW179+DX179+DY179+DZ179)/4</f>
        <v>0</v>
      </c>
      <c r="EB179" s="11" t="n">
        <f aca="false">(DW179/DR179)</f>
        <v>0</v>
      </c>
      <c r="EC179" s="11" t="n">
        <f aca="false">(DX179/DS179)</f>
        <v>0</v>
      </c>
      <c r="ED179" s="11" t="n">
        <f aca="false">(DY179/DT179)</f>
        <v>0</v>
      </c>
      <c r="EE179" s="11" t="n">
        <f aca="false">(DZ179/DU179)</f>
        <v>0</v>
      </c>
      <c r="EF179" s="11" t="n">
        <f aca="false">(EA179/DV179)</f>
        <v>0</v>
      </c>
      <c r="EG179" s="11" t="n">
        <f aca="false">(100*EF179)</f>
        <v>0</v>
      </c>
      <c r="EH179" s="9" t="n">
        <v>0</v>
      </c>
      <c r="EI179" s="9" t="n">
        <v>2</v>
      </c>
      <c r="EJ179" s="9" t="n">
        <v>4</v>
      </c>
      <c r="EK179" s="19" t="n">
        <v>3</v>
      </c>
      <c r="EL179" s="9" t="n">
        <v>3</v>
      </c>
      <c r="EM179" s="9" t="n">
        <f aca="false">(EI179+EJ179+EK179+EL179)/4</f>
        <v>3</v>
      </c>
      <c r="EN179" s="9" t="n">
        <f aca="false">(EI179/DR179)</f>
        <v>0.222222222222222</v>
      </c>
      <c r="EO179" s="9" t="n">
        <f aca="false">(EJ179/DS179)</f>
        <v>0.363636363636364</v>
      </c>
      <c r="EP179" s="9" t="n">
        <f aca="false">(EK179/DT179)</f>
        <v>0.428571428571429</v>
      </c>
      <c r="EQ179" s="9" t="n">
        <f aca="false">(EL179/DU179)</f>
        <v>0.157894736842105</v>
      </c>
      <c r="ER179" s="9" t="n">
        <f aca="false">EM179/DV179</f>
        <v>0.260869565217391</v>
      </c>
      <c r="ES179" s="9" t="n">
        <f aca="false">(100*ER179)</f>
        <v>26.0869565217391</v>
      </c>
      <c r="ET179" s="9" t="n">
        <v>2</v>
      </c>
      <c r="EU179" s="18" t="n">
        <v>0</v>
      </c>
      <c r="EV179" s="9" t="n">
        <v>0</v>
      </c>
      <c r="EW179" s="9" t="n">
        <v>0</v>
      </c>
      <c r="EX179" s="9" t="n">
        <v>0</v>
      </c>
      <c r="EY179" s="11" t="n">
        <f aca="false">(EU179+EV179+EW179+EX179)/4</f>
        <v>0</v>
      </c>
      <c r="EZ179" s="11" t="n">
        <f aca="false">(EU179/DR179)</f>
        <v>0</v>
      </c>
      <c r="FA179" s="11" t="n">
        <f aca="false">(EV179/DS179)</f>
        <v>0</v>
      </c>
      <c r="FB179" s="11" t="n">
        <f aca="false">(EW179/DT179)</f>
        <v>0</v>
      </c>
      <c r="FC179" s="11" t="n">
        <f aca="false">(EX179/DU179)</f>
        <v>0</v>
      </c>
      <c r="FD179" s="11" t="n">
        <f aca="false">(EY179/DV179)</f>
        <v>0</v>
      </c>
      <c r="FE179" s="11" t="n">
        <f aca="false">(100*FD179)</f>
        <v>0</v>
      </c>
      <c r="FF179" s="9" t="n">
        <v>0</v>
      </c>
      <c r="FG179" s="9" t="n">
        <v>8</v>
      </c>
      <c r="FH179" s="9" t="n">
        <v>9</v>
      </c>
      <c r="FI179" s="9" t="n">
        <v>34</v>
      </c>
      <c r="FJ179" s="9" t="n">
        <v>43</v>
      </c>
      <c r="FK179" s="11" t="n">
        <f aca="false">(FG179+FH179+FI179+FJ179)/4</f>
        <v>23.5</v>
      </c>
      <c r="FL179" s="11" t="n">
        <f aca="false">(FG179/DR179)</f>
        <v>0.888888888888889</v>
      </c>
      <c r="FM179" s="11" t="n">
        <f aca="false">(FH179/DS179)</f>
        <v>0.818181818181818</v>
      </c>
      <c r="FN179" s="11" t="n">
        <f aca="false">(FI179/DT179)</f>
        <v>4.85714285714286</v>
      </c>
      <c r="FO179" s="11" t="n">
        <f aca="false">(FJ179/DU179)</f>
        <v>2.26315789473684</v>
      </c>
      <c r="FP179" s="11" t="n">
        <f aca="false">(FK179/DV179)</f>
        <v>2.04347826086957</v>
      </c>
      <c r="FQ179" s="11" t="n">
        <f aca="false">(100*FP179)</f>
        <v>204.347826086957</v>
      </c>
      <c r="FR179" s="9" t="n">
        <v>3</v>
      </c>
      <c r="FS179" s="9" t="n">
        <v>60.5</v>
      </c>
      <c r="FT179" s="9" t="n">
        <v>69.6</v>
      </c>
      <c r="FU179" s="9" t="n">
        <v>65.5</v>
      </c>
      <c r="FV179" s="9" t="n">
        <v>62.9</v>
      </c>
      <c r="FW179" s="11" t="n">
        <f aca="false">(FS179+FT179+FU179+FV179)/4</f>
        <v>64.625</v>
      </c>
      <c r="FX179" s="9" t="n">
        <v>0</v>
      </c>
      <c r="FY179" s="9" t="n">
        <v>0</v>
      </c>
      <c r="FZ179" s="9" t="n">
        <v>0</v>
      </c>
      <c r="GA179" s="9" t="n">
        <v>0</v>
      </c>
      <c r="GB179" s="11" t="n">
        <f aca="false">(FX179+FY179+FZ179+GA179)/4</f>
        <v>0</v>
      </c>
      <c r="GC179" s="9" t="n">
        <v>1</v>
      </c>
      <c r="GD179" s="9" t="n">
        <v>1</v>
      </c>
      <c r="GE179" s="9" t="n">
        <v>1</v>
      </c>
      <c r="GF179" s="9" t="n">
        <v>1</v>
      </c>
      <c r="GG179" s="11" t="n">
        <f aca="false">(GC179+GD179+GE179+GF179)/4</f>
        <v>1</v>
      </c>
      <c r="GH179" s="9" t="n">
        <v>1</v>
      </c>
      <c r="GI179" s="9" t="n">
        <v>1</v>
      </c>
      <c r="GJ179" s="9" t="n">
        <v>1</v>
      </c>
      <c r="GK179" s="9" t="n">
        <v>1</v>
      </c>
      <c r="GL179" s="11" t="n">
        <f aca="false">(GH179+GI179+GJ179+GK179)/4</f>
        <v>1</v>
      </c>
      <c r="GM179" s="9" t="n">
        <v>13</v>
      </c>
      <c r="GN179" s="9" t="n">
        <v>215</v>
      </c>
      <c r="GO179" s="9" t="n">
        <v>144</v>
      </c>
      <c r="GP179" s="9" t="n">
        <v>88</v>
      </c>
      <c r="GQ179" s="11" t="n">
        <f aca="false">(GM179+GN179+GO179+GP179)/4</f>
        <v>115</v>
      </c>
      <c r="GR179" s="9" t="n">
        <v>21</v>
      </c>
      <c r="GS179" s="9" t="n">
        <v>17</v>
      </c>
      <c r="GT179" s="9" t="n">
        <v>16</v>
      </c>
      <c r="GU179" s="9" t="n">
        <v>25</v>
      </c>
      <c r="GV179" s="11" t="n">
        <f aca="false">(GR179+GS179+GT179+GU179)/4</f>
        <v>19.75</v>
      </c>
      <c r="GW179" s="9" t="n">
        <v>0</v>
      </c>
      <c r="GX179" s="9" t="n">
        <v>0</v>
      </c>
      <c r="GY179" s="9" t="n">
        <v>0</v>
      </c>
      <c r="GZ179" s="9" t="n">
        <v>0</v>
      </c>
      <c r="HA179" s="11" t="n">
        <f aca="false">(GW179+GX179+GY179+GZ179)/4</f>
        <v>0</v>
      </c>
      <c r="HB179" s="9" t="n">
        <f aca="false">(GW179/GR179)</f>
        <v>0</v>
      </c>
      <c r="HC179" s="9" t="n">
        <f aca="false">(GX179/GS179)</f>
        <v>0</v>
      </c>
      <c r="HD179" s="9" t="n">
        <f aca="false">(GY179/GT179)</f>
        <v>0</v>
      </c>
      <c r="HE179" s="9" t="n">
        <f aca="false">(GZ179/GU179)/4</f>
        <v>0</v>
      </c>
      <c r="HF179" s="9" t="n">
        <f aca="false">(HB179+HC179+HD179+HE179)/4</f>
        <v>0</v>
      </c>
      <c r="HG179" s="9" t="n">
        <f aca="false">(100*HF179)</f>
        <v>0</v>
      </c>
      <c r="HH179" s="18" t="n">
        <v>0</v>
      </c>
      <c r="HI179" s="9" t="n">
        <v>3</v>
      </c>
      <c r="HJ179" s="9" t="n">
        <v>8</v>
      </c>
      <c r="HK179" s="9" t="n">
        <v>4</v>
      </c>
      <c r="HL179" s="19" t="n">
        <v>3</v>
      </c>
      <c r="HM179" s="9" t="n">
        <f aca="false">(HI179+HJ179+HK179+HL179)/4</f>
        <v>4.5</v>
      </c>
      <c r="HN179" s="9" t="n">
        <f aca="false">(HI179/GR179)</f>
        <v>0.142857142857143</v>
      </c>
      <c r="HO179" s="9" t="n">
        <f aca="false">(HJ179/GS179)</f>
        <v>0.470588235294118</v>
      </c>
      <c r="HP179" s="9" t="n">
        <f aca="false">(HK179/GT179)</f>
        <v>0.25</v>
      </c>
      <c r="HQ179" s="9" t="n">
        <f aca="false">(HL179/GU179)</f>
        <v>0.12</v>
      </c>
      <c r="HR179" s="9" t="n">
        <f aca="false">(HM179/GV179)</f>
        <v>0.227848101265823</v>
      </c>
      <c r="HS179" s="9" t="n">
        <f aca="false">(100*HR179)</f>
        <v>22.7848101265823</v>
      </c>
      <c r="HT179" s="18" t="n">
        <v>2</v>
      </c>
      <c r="HU179" s="9" t="n">
        <v>0</v>
      </c>
      <c r="HV179" s="9" t="n">
        <v>0</v>
      </c>
      <c r="HW179" s="9" t="n">
        <v>0</v>
      </c>
      <c r="HX179" s="19" t="n">
        <v>0</v>
      </c>
      <c r="HY179" s="9" t="n">
        <f aca="false">(HU179+HV179+HW179+HX179)/4</f>
        <v>0</v>
      </c>
      <c r="HZ179" s="9" t="n">
        <f aca="false">(HU179/GR179)</f>
        <v>0</v>
      </c>
      <c r="IA179" s="9" t="n">
        <f aca="false">HV179/GS179</f>
        <v>0</v>
      </c>
      <c r="IB179" s="9" t="n">
        <f aca="false">(HW179/GT179)</f>
        <v>0</v>
      </c>
      <c r="IC179" s="9" t="n">
        <f aca="false">(HX179/GU179)</f>
        <v>0</v>
      </c>
      <c r="ID179" s="9" t="n">
        <f aca="false">(HY179/GV179)</f>
        <v>0</v>
      </c>
      <c r="IE179" s="9" t="n">
        <f aca="false">(100*ID179)</f>
        <v>0</v>
      </c>
      <c r="IF179" s="18" t="n">
        <v>0</v>
      </c>
      <c r="IG179" s="9" t="n">
        <v>12</v>
      </c>
      <c r="IH179" s="9" t="n">
        <v>17</v>
      </c>
      <c r="II179" s="19" t="n">
        <v>8</v>
      </c>
      <c r="IJ179" s="9" t="n">
        <v>2</v>
      </c>
      <c r="IK179" s="9" t="n">
        <f aca="false">(IG179+IH179+II179+IJ179)/4</f>
        <v>9.75</v>
      </c>
      <c r="IL179" s="9" t="n">
        <f aca="false">(IG179/GM179)</f>
        <v>0.923076923076923</v>
      </c>
      <c r="IM179" s="9" t="n">
        <f aca="false">(IH179/GN179)</f>
        <v>0.0790697674418605</v>
      </c>
      <c r="IN179" s="9" t="n">
        <f aca="false">(II179/GO179)</f>
        <v>0.0555555555555556</v>
      </c>
      <c r="IO179" s="9" t="n">
        <f aca="false">(IJ179/GP179)</f>
        <v>0.0227272727272727</v>
      </c>
      <c r="IP179" s="9" t="n">
        <f aca="false">(IK179/GQ179)</f>
        <v>0.0847826086956522</v>
      </c>
      <c r="IQ179" s="9" t="n">
        <f aca="false">(100*IP179)</f>
        <v>8.47826086956522</v>
      </c>
      <c r="IR179" s="18" t="n">
        <v>1</v>
      </c>
      <c r="IS179" s="9" t="n">
        <v>67.7</v>
      </c>
      <c r="IT179" s="9" t="n">
        <v>82.5</v>
      </c>
      <c r="IU179" s="19" t="n">
        <v>55.7</v>
      </c>
      <c r="IV179" s="9" t="n">
        <v>52.8</v>
      </c>
      <c r="IW179" s="9" t="n">
        <f aca="false">(IS179+IT179+IU179+IV179)/4</f>
        <v>64.675</v>
      </c>
      <c r="IX179" s="16" t="n">
        <v>45208</v>
      </c>
      <c r="IY179" s="10" t="s">
        <v>268</v>
      </c>
    </row>
    <row r="180" customFormat="false" ht="15.75" hidden="false" customHeight="true" outlineLevel="0" collapsed="false">
      <c r="A180" s="9" t="s">
        <v>299</v>
      </c>
      <c r="B180" s="10" t="s">
        <v>670</v>
      </c>
      <c r="C180" s="10" t="s">
        <v>626</v>
      </c>
      <c r="D180" s="9" t="n">
        <v>4</v>
      </c>
      <c r="E180" s="9" t="n">
        <v>60</v>
      </c>
      <c r="F180" s="10" t="s">
        <v>675</v>
      </c>
      <c r="G180" s="10" t="s">
        <v>291</v>
      </c>
      <c r="H180" s="9" t="n">
        <v>21</v>
      </c>
      <c r="I180" s="9" t="n">
        <v>11</v>
      </c>
      <c r="J180" s="12" t="s">
        <v>270</v>
      </c>
      <c r="K180" s="20"/>
      <c r="L180" s="20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 t="n">
        <v>0</v>
      </c>
      <c r="Y180" s="9" t="n">
        <v>0</v>
      </c>
      <c r="Z180" s="9" t="n">
        <v>0</v>
      </c>
      <c r="AA180" s="9" t="n">
        <v>0</v>
      </c>
      <c r="AB180" s="11" t="n">
        <f aca="false">(X180+Y180+Z180+AA180)/4</f>
        <v>0</v>
      </c>
      <c r="AC180" s="9" t="n">
        <v>1</v>
      </c>
      <c r="AD180" s="9" t="n">
        <v>1</v>
      </c>
      <c r="AE180" s="9" t="n">
        <v>1</v>
      </c>
      <c r="AF180" s="9" t="n">
        <v>1</v>
      </c>
      <c r="AG180" s="11" t="n">
        <f aca="false">(AC180+AD180+AE180+AF180)/4</f>
        <v>1</v>
      </c>
      <c r="AH180" s="9" t="n">
        <v>1</v>
      </c>
      <c r="AI180" s="9" t="n">
        <v>0</v>
      </c>
      <c r="AJ180" s="9" t="n">
        <v>1</v>
      </c>
      <c r="AK180" s="9" t="n">
        <v>1</v>
      </c>
      <c r="AL180" s="11" t="n">
        <f aca="false">(AH180+AI180+AJ180+AK180)/4</f>
        <v>0.75</v>
      </c>
      <c r="AM180" s="9" t="n">
        <v>27</v>
      </c>
      <c r="AN180" s="9" t="n">
        <v>34</v>
      </c>
      <c r="AO180" s="9" t="n">
        <v>123</v>
      </c>
      <c r="AP180" s="9" t="n">
        <v>70</v>
      </c>
      <c r="AQ180" s="11" t="n">
        <f aca="false">(AM180+AN180+AO180+AP180)/4</f>
        <v>63.5</v>
      </c>
      <c r="AR180" s="9" t="n">
        <v>9</v>
      </c>
      <c r="AS180" s="9" t="n">
        <v>8</v>
      </c>
      <c r="AT180" s="9" t="n">
        <v>19</v>
      </c>
      <c r="AU180" s="9" t="n">
        <v>17</v>
      </c>
      <c r="AV180" s="11" t="n">
        <f aca="false">(AR180+AS180+AT180+AU180)/4</f>
        <v>13.25</v>
      </c>
      <c r="AW180" s="9" t="n">
        <v>0</v>
      </c>
      <c r="AX180" s="9" t="n">
        <v>0</v>
      </c>
      <c r="AY180" s="9" t="n">
        <v>0</v>
      </c>
      <c r="AZ180" s="9" t="n">
        <v>0</v>
      </c>
      <c r="BA180" s="11" t="n">
        <f aca="false">(AW180+AX180+AY180+AZ180)/4</f>
        <v>0</v>
      </c>
      <c r="BB180" s="11" t="n">
        <f aca="false">(AW180/AR180)</f>
        <v>0</v>
      </c>
      <c r="BC180" s="11" t="n">
        <f aca="false">(AX180/AS180)</f>
        <v>0</v>
      </c>
      <c r="BD180" s="11" t="n">
        <f aca="false">(AY180/AT180)</f>
        <v>0</v>
      </c>
      <c r="BE180" s="11" t="n">
        <f aca="false">(AZ180/AU180)</f>
        <v>0</v>
      </c>
      <c r="BF180" s="11" t="n">
        <f aca="false">(BA180/AV180)</f>
        <v>0</v>
      </c>
      <c r="BG180" s="11" t="n">
        <f aca="false">(BF180*100)</f>
        <v>0</v>
      </c>
      <c r="BH180" s="9" t="n">
        <v>0</v>
      </c>
      <c r="BI180" s="9" t="n">
        <v>3</v>
      </c>
      <c r="BJ180" s="9" t="n">
        <v>5</v>
      </c>
      <c r="BK180" s="9" t="n">
        <v>2</v>
      </c>
      <c r="BL180" s="9" t="n">
        <v>1</v>
      </c>
      <c r="BM180" s="11" t="n">
        <f aca="false">(BI180+BJ180+BK180+BL180)/4</f>
        <v>2.75</v>
      </c>
      <c r="BN180" s="11" t="n">
        <f aca="false">(BI180/AR180)</f>
        <v>0.333333333333333</v>
      </c>
      <c r="BO180" s="11" t="n">
        <f aca="false">(BJ180/AS180)</f>
        <v>0.625</v>
      </c>
      <c r="BP180" s="11" t="n">
        <f aca="false">(BK180/AT180)</f>
        <v>0.105263157894737</v>
      </c>
      <c r="BQ180" s="11" t="n">
        <f aca="false">(BL180/AU180)</f>
        <v>0.0588235294117647</v>
      </c>
      <c r="BR180" s="11" t="n">
        <f aca="false">(BM180/AV180)</f>
        <v>0.207547169811321</v>
      </c>
      <c r="BS180" s="11" t="n">
        <f aca="false">(100*BR180)</f>
        <v>20.7547169811321</v>
      </c>
      <c r="BT180" s="9" t="n">
        <v>2</v>
      </c>
      <c r="BU180" s="9" t="n">
        <v>0</v>
      </c>
      <c r="BV180" s="9" t="n">
        <v>0</v>
      </c>
      <c r="BW180" s="9" t="n">
        <v>0</v>
      </c>
      <c r="BX180" s="9" t="n">
        <v>0</v>
      </c>
      <c r="BY180" s="11" t="n">
        <f aca="false">(BU180+BV180+BW180+BX180)/4</f>
        <v>0</v>
      </c>
      <c r="BZ180" s="11" t="n">
        <f aca="false">(BU180/AR180)</f>
        <v>0</v>
      </c>
      <c r="CA180" s="11" t="n">
        <f aca="false">(BV180/AS180)</f>
        <v>0</v>
      </c>
      <c r="CB180" s="11" t="n">
        <f aca="false">(BW180/AT180)</f>
        <v>0</v>
      </c>
      <c r="CC180" s="11" t="n">
        <f aca="false">(BX180/AU180)</f>
        <v>0</v>
      </c>
      <c r="CD180" s="11" t="n">
        <f aca="false">(BY180/AV180)</f>
        <v>0</v>
      </c>
      <c r="CE180" s="11" t="n">
        <f aca="false">(100*CD180)</f>
        <v>0</v>
      </c>
      <c r="CF180" s="9" t="n">
        <v>0</v>
      </c>
      <c r="CG180" s="9" t="n">
        <v>19</v>
      </c>
      <c r="CH180" s="9" t="n">
        <v>0</v>
      </c>
      <c r="CI180" s="9" t="n">
        <v>24</v>
      </c>
      <c r="CJ180" s="9" t="n">
        <v>13</v>
      </c>
      <c r="CK180" s="11" t="n">
        <f aca="false">(CG180+CH180+CI180+CJ180)/4</f>
        <v>14</v>
      </c>
      <c r="CL180" s="11" t="n">
        <f aca="false">(CG180/AM180)</f>
        <v>0.703703703703704</v>
      </c>
      <c r="CM180" s="11" t="n">
        <f aca="false">(CH180/AN180)</f>
        <v>0</v>
      </c>
      <c r="CN180" s="11" t="n">
        <f aca="false">(CI180/AO180)</f>
        <v>0.195121951219512</v>
      </c>
      <c r="CO180" s="9" t="n">
        <f aca="false">(CJ180/AP180)</f>
        <v>0.185714285714286</v>
      </c>
      <c r="CP180" s="9" t="n">
        <f aca="false">(CK180/AQ180)</f>
        <v>0.220472440944882</v>
      </c>
      <c r="CQ180" s="9" t="n">
        <f aca="false">(100*CP180)</f>
        <v>22.0472440944882</v>
      </c>
      <c r="CR180" s="18" t="n">
        <v>2</v>
      </c>
      <c r="CS180" s="9" t="n">
        <v>72.8</v>
      </c>
      <c r="CT180" s="9" t="n">
        <v>76.8</v>
      </c>
      <c r="CU180" s="9" t="n">
        <v>76</v>
      </c>
      <c r="CV180" s="9" t="n">
        <v>60.6</v>
      </c>
      <c r="CW180" s="11" t="n">
        <f aca="false">(CS180+CT180+CU180+CV180)/4</f>
        <v>71.55</v>
      </c>
      <c r="CX180" s="9" t="n">
        <v>1</v>
      </c>
      <c r="CY180" s="9" t="n">
        <v>0</v>
      </c>
      <c r="CZ180" s="9" t="n">
        <v>0</v>
      </c>
      <c r="DA180" s="9" t="n">
        <v>1</v>
      </c>
      <c r="DB180" s="11" t="n">
        <f aca="false">(CX180+CY180+CZ180+DA180)/4</f>
        <v>0.5</v>
      </c>
      <c r="DC180" s="9" t="n">
        <v>1</v>
      </c>
      <c r="DD180" s="9" t="n">
        <v>1</v>
      </c>
      <c r="DE180" s="9" t="n">
        <v>1</v>
      </c>
      <c r="DF180" s="9" t="n">
        <v>1</v>
      </c>
      <c r="DG180" s="11" t="n">
        <f aca="false">(DC180+DD180+DE180+DF180)/4</f>
        <v>1</v>
      </c>
      <c r="DH180" s="9" t="n">
        <v>1</v>
      </c>
      <c r="DI180" s="9" t="n">
        <v>1</v>
      </c>
      <c r="DJ180" s="9" t="n">
        <v>1</v>
      </c>
      <c r="DK180" s="9" t="n">
        <v>1</v>
      </c>
      <c r="DL180" s="11" t="n">
        <f aca="false">(DH180+DI180+DJ180+DK180)/4</f>
        <v>1</v>
      </c>
      <c r="DM180" s="11" t="n">
        <v>56</v>
      </c>
      <c r="DN180" s="11" t="n">
        <v>66</v>
      </c>
      <c r="DO180" s="11" t="n">
        <v>70</v>
      </c>
      <c r="DP180" s="11" t="n">
        <v>87</v>
      </c>
      <c r="DQ180" s="11" t="n">
        <f aca="false">(DM180+DN180+DO180+DP180)/4</f>
        <v>69.75</v>
      </c>
      <c r="DR180" s="11" t="n">
        <v>13</v>
      </c>
      <c r="DS180" s="11" t="n">
        <v>16</v>
      </c>
      <c r="DT180" s="11" t="n">
        <v>29</v>
      </c>
      <c r="DU180" s="11" t="n">
        <v>28</v>
      </c>
      <c r="DV180" s="11" t="n">
        <f aca="false">(DR180+DS180+DT180+DU180)/4</f>
        <v>21.5</v>
      </c>
      <c r="DW180" s="11" t="n">
        <v>1</v>
      </c>
      <c r="DX180" s="11" t="n">
        <v>0</v>
      </c>
      <c r="DY180" s="11" t="n">
        <v>0</v>
      </c>
      <c r="DZ180" s="11" t="n">
        <v>3</v>
      </c>
      <c r="EA180" s="11" t="n">
        <f aca="false">(DW180+DX180+DY180+DZ180)/4</f>
        <v>1</v>
      </c>
      <c r="EB180" s="11" t="n">
        <f aca="false">(DW180/DR180)</f>
        <v>0.0769230769230769</v>
      </c>
      <c r="EC180" s="11" t="n">
        <f aca="false">(DX180/DS180)</f>
        <v>0</v>
      </c>
      <c r="ED180" s="11" t="n">
        <f aca="false">(DY180/DT180)</f>
        <v>0</v>
      </c>
      <c r="EE180" s="11" t="n">
        <f aca="false">(DZ180/DU180)</f>
        <v>0.107142857142857</v>
      </c>
      <c r="EF180" s="11" t="n">
        <f aca="false">(EA180/DV180)</f>
        <v>0.0465116279069767</v>
      </c>
      <c r="EG180" s="11" t="n">
        <f aca="false">(100*EF180)</f>
        <v>4.65116279069768</v>
      </c>
      <c r="EH180" s="11" t="n">
        <v>1</v>
      </c>
      <c r="EI180" s="11" t="n">
        <v>3</v>
      </c>
      <c r="EJ180" s="11" t="n">
        <v>2</v>
      </c>
      <c r="EK180" s="11" t="n">
        <v>6</v>
      </c>
      <c r="EL180" s="9" t="n">
        <v>1</v>
      </c>
      <c r="EM180" s="9" t="n">
        <f aca="false">(EI180+EJ180+EK180+EL180)/4</f>
        <v>3</v>
      </c>
      <c r="EN180" s="9" t="n">
        <f aca="false">(EI180/DR180)</f>
        <v>0.230769230769231</v>
      </c>
      <c r="EO180" s="9" t="n">
        <f aca="false">(EJ180/DS180)</f>
        <v>0.125</v>
      </c>
      <c r="EP180" s="9" t="n">
        <f aca="false">(EK180/DT180)</f>
        <v>0.206896551724138</v>
      </c>
      <c r="EQ180" s="9" t="n">
        <f aca="false">(EL180/DU180)</f>
        <v>0.0357142857142857</v>
      </c>
      <c r="ER180" s="9" t="n">
        <f aca="false">EM180/DV180</f>
        <v>0.13953488372093</v>
      </c>
      <c r="ES180" s="9" t="n">
        <f aca="false">(100*ER180)</f>
        <v>13.953488372093</v>
      </c>
      <c r="ET180" s="9" t="n">
        <v>2</v>
      </c>
      <c r="EU180" s="11" t="n">
        <v>0</v>
      </c>
      <c r="EV180" s="11" t="n">
        <v>0</v>
      </c>
      <c r="EW180" s="11" t="n">
        <v>0</v>
      </c>
      <c r="EX180" s="11" t="n">
        <v>4</v>
      </c>
      <c r="EY180" s="11" t="n">
        <f aca="false">(EU180+EV180+EW180+EX180)/4</f>
        <v>1</v>
      </c>
      <c r="EZ180" s="11" t="n">
        <f aca="false">(EU180/DR180)</f>
        <v>0</v>
      </c>
      <c r="FA180" s="11" t="n">
        <f aca="false">(EV180/DS180)</f>
        <v>0</v>
      </c>
      <c r="FB180" s="11" t="n">
        <f aca="false">(EW180/DT180)</f>
        <v>0</v>
      </c>
      <c r="FC180" s="11" t="n">
        <f aca="false">(EX180/DU180)</f>
        <v>0.142857142857143</v>
      </c>
      <c r="FD180" s="11" t="n">
        <f aca="false">(EY180/DV180)</f>
        <v>0.0465116279069767</v>
      </c>
      <c r="FE180" s="11" t="n">
        <f aca="false">(100*FD180)</f>
        <v>4.65116279069768</v>
      </c>
      <c r="FF180" s="11" t="n">
        <v>1</v>
      </c>
      <c r="FG180" s="11" t="n">
        <v>6</v>
      </c>
      <c r="FH180" s="11" t="n">
        <v>28</v>
      </c>
      <c r="FI180" s="11" t="n">
        <v>8</v>
      </c>
      <c r="FJ180" s="11" t="n">
        <v>7</v>
      </c>
      <c r="FK180" s="11" t="n">
        <f aca="false">(FG180+FH180+FI180+FJ180)/4</f>
        <v>12.25</v>
      </c>
      <c r="FL180" s="11" t="n">
        <f aca="false">(FG180/DR180)</f>
        <v>0.461538461538462</v>
      </c>
      <c r="FM180" s="11" t="n">
        <f aca="false">(FH180/DS180)</f>
        <v>1.75</v>
      </c>
      <c r="FN180" s="11" t="n">
        <f aca="false">(FI180/DT180)</f>
        <v>0.275862068965517</v>
      </c>
      <c r="FO180" s="11" t="n">
        <f aca="false">(FJ180/DU180)</f>
        <v>0.25</v>
      </c>
      <c r="FP180" s="11" t="n">
        <f aca="false">(FK180/DV180)</f>
        <v>0.569767441860465</v>
      </c>
      <c r="FQ180" s="11" t="n">
        <f aca="false">(100*FP180)</f>
        <v>56.9767441860465</v>
      </c>
      <c r="FR180" s="11" t="n">
        <v>3</v>
      </c>
      <c r="FS180" s="11" t="n">
        <v>73.8</v>
      </c>
      <c r="FT180" s="11" t="n">
        <v>53.9</v>
      </c>
      <c r="FU180" s="11" t="n">
        <v>69.2</v>
      </c>
      <c r="FV180" s="11" t="n">
        <v>42.5</v>
      </c>
      <c r="FW180" s="11" t="n">
        <f aca="false">(FS180+FT180+FU180+FV180)/4</f>
        <v>59.85</v>
      </c>
      <c r="FX180" s="11" t="n">
        <v>0</v>
      </c>
      <c r="FY180" s="11" t="n">
        <v>0</v>
      </c>
      <c r="FZ180" s="11" t="n">
        <v>0</v>
      </c>
      <c r="GA180" s="11" t="n">
        <v>0</v>
      </c>
      <c r="GB180" s="11" t="n">
        <f aca="false">(FX180+FY180+FZ180+GA180)/4</f>
        <v>0</v>
      </c>
      <c r="GC180" s="11" t="n">
        <v>1</v>
      </c>
      <c r="GD180" s="11" t="n">
        <v>1</v>
      </c>
      <c r="GE180" s="11" t="n">
        <v>0</v>
      </c>
      <c r="GF180" s="11" t="n">
        <v>1</v>
      </c>
      <c r="GG180" s="11" t="n">
        <f aca="false">(GC180+GD180+GE180+GF180)/4</f>
        <v>0.75</v>
      </c>
      <c r="GH180" s="11" t="n">
        <v>1</v>
      </c>
      <c r="GI180" s="11" t="n">
        <v>1</v>
      </c>
      <c r="GJ180" s="11" t="n">
        <v>1</v>
      </c>
      <c r="GK180" s="11" t="n">
        <v>1</v>
      </c>
      <c r="GL180" s="11" t="n">
        <f aca="false">(GH180+GI180+GJ180+GK180)/4</f>
        <v>1</v>
      </c>
      <c r="GM180" s="11" t="n">
        <v>56</v>
      </c>
      <c r="GN180" s="11" t="n">
        <v>115</v>
      </c>
      <c r="GO180" s="11" t="n">
        <v>37</v>
      </c>
      <c r="GP180" s="11" t="n">
        <v>110</v>
      </c>
      <c r="GQ180" s="11" t="n">
        <f aca="false">(GM180+GN180+GO180+GP180)/4</f>
        <v>79.5</v>
      </c>
      <c r="GR180" s="11" t="n">
        <v>16</v>
      </c>
      <c r="GS180" s="11" t="n">
        <v>32</v>
      </c>
      <c r="GT180" s="11" t="n">
        <v>22</v>
      </c>
      <c r="GU180" s="11" t="n">
        <v>26</v>
      </c>
      <c r="GV180" s="11" t="n">
        <f aca="false">(GR180+GS180+GT180+GU180)/4</f>
        <v>24</v>
      </c>
      <c r="GW180" s="11" t="n">
        <v>0</v>
      </c>
      <c r="GX180" s="11" t="n">
        <v>0</v>
      </c>
      <c r="GY180" s="11" t="n">
        <v>0</v>
      </c>
      <c r="GZ180" s="11" t="n">
        <v>0</v>
      </c>
      <c r="HA180" s="11" t="n">
        <f aca="false">(GW180+GX180+GY180+GZ180)/4</f>
        <v>0</v>
      </c>
      <c r="HB180" s="9" t="n">
        <f aca="false">(GW180/GR180)</f>
        <v>0</v>
      </c>
      <c r="HC180" s="9" t="n">
        <f aca="false">(GX180/GS180)</f>
        <v>0</v>
      </c>
      <c r="HD180" s="9" t="n">
        <f aca="false">(GY180/GT180)</f>
        <v>0</v>
      </c>
      <c r="HE180" s="9" t="n">
        <f aca="false">(GZ180/GU180)/4</f>
        <v>0</v>
      </c>
      <c r="HF180" s="9" t="n">
        <f aca="false">(HB180+HC180+HD180+HE180)/4</f>
        <v>0</v>
      </c>
      <c r="HG180" s="9" t="n">
        <f aca="false">(100*HF180)</f>
        <v>0</v>
      </c>
      <c r="HH180" s="11" t="n">
        <v>0</v>
      </c>
      <c r="HI180" s="11" t="n">
        <v>1</v>
      </c>
      <c r="HJ180" s="11" t="n">
        <v>2</v>
      </c>
      <c r="HK180" s="11" t="n">
        <v>0</v>
      </c>
      <c r="HL180" s="11" t="n">
        <v>2</v>
      </c>
      <c r="HM180" s="9" t="n">
        <f aca="false">(HI180+HJ180+HK180+HL180)/4</f>
        <v>1.25</v>
      </c>
      <c r="HN180" s="9" t="n">
        <f aca="false">(HI180/GR180)</f>
        <v>0.0625</v>
      </c>
      <c r="HO180" s="9" t="n">
        <f aca="false">(HJ180/GS180)</f>
        <v>0.0625</v>
      </c>
      <c r="HP180" s="9" t="n">
        <f aca="false">(HK180/GT180)</f>
        <v>0</v>
      </c>
      <c r="HQ180" s="9" t="n">
        <f aca="false">(HL180/GU180)</f>
        <v>0.0769230769230769</v>
      </c>
      <c r="HR180" s="9" t="n">
        <f aca="false">(HM180/GV180)</f>
        <v>0.0520833333333333</v>
      </c>
      <c r="HS180" s="9" t="n">
        <f aca="false">(100*HR180)</f>
        <v>5.20833333333333</v>
      </c>
      <c r="HT180" s="11" t="n">
        <v>1</v>
      </c>
      <c r="HU180" s="11" t="n">
        <v>1</v>
      </c>
      <c r="HV180" s="11" t="n">
        <v>3</v>
      </c>
      <c r="HW180" s="11" t="n">
        <v>3</v>
      </c>
      <c r="HX180" s="11" t="n">
        <v>2</v>
      </c>
      <c r="HY180" s="9" t="n">
        <f aca="false">(HU180+HV180+HW180+HX180)/4</f>
        <v>2.25</v>
      </c>
      <c r="HZ180" s="9" t="n">
        <f aca="false">(HU180/GR180)</f>
        <v>0.0625</v>
      </c>
      <c r="IA180" s="9" t="n">
        <f aca="false">HV180/GS180</f>
        <v>0.09375</v>
      </c>
      <c r="IB180" s="9" t="n">
        <f aca="false">(HW180/GT180)</f>
        <v>0.136363636363636</v>
      </c>
      <c r="IC180" s="9" t="n">
        <f aca="false">(HX180/GU180)</f>
        <v>0.0769230769230769</v>
      </c>
      <c r="ID180" s="9" t="n">
        <f aca="false">(HY180/GV180)</f>
        <v>0.09375</v>
      </c>
      <c r="IE180" s="9" t="n">
        <f aca="false">(100*ID180)</f>
        <v>9.375</v>
      </c>
      <c r="IF180" s="11" t="n">
        <v>1</v>
      </c>
      <c r="IG180" s="9" t="n">
        <v>19</v>
      </c>
      <c r="IH180" s="9" t="n">
        <v>5</v>
      </c>
      <c r="II180" s="19" t="n">
        <v>0</v>
      </c>
      <c r="IJ180" s="9" t="n">
        <v>25</v>
      </c>
      <c r="IK180" s="9" t="n">
        <f aca="false">(IG180+IH180+II180+IJ180)/4</f>
        <v>12.25</v>
      </c>
      <c r="IL180" s="9" t="n">
        <f aca="false">(IG180/GM180)</f>
        <v>0.339285714285714</v>
      </c>
      <c r="IM180" s="9" t="n">
        <f aca="false">(IH180/GN180)</f>
        <v>0.0434782608695652</v>
      </c>
      <c r="IN180" s="9" t="n">
        <f aca="false">(II180/GO180)</f>
        <v>0</v>
      </c>
      <c r="IO180" s="9" t="n">
        <f aca="false">(IJ180/GP180)</f>
        <v>0.227272727272727</v>
      </c>
      <c r="IP180" s="9" t="n">
        <f aca="false">(IK180/GQ180)</f>
        <v>0.154088050314465</v>
      </c>
      <c r="IQ180" s="9" t="n">
        <f aca="false">(100*IP180)</f>
        <v>15.4088050314465</v>
      </c>
      <c r="IR180" s="18" t="n">
        <v>2</v>
      </c>
      <c r="IS180" s="9" t="n">
        <v>60</v>
      </c>
      <c r="IT180" s="9" t="n">
        <v>73</v>
      </c>
      <c r="IU180" s="19" t="n">
        <v>64.6</v>
      </c>
      <c r="IV180" s="9" t="n">
        <v>62.9</v>
      </c>
      <c r="IW180" s="9" t="n">
        <f aca="false">(IS180+IT180+IU180+IV180)/4</f>
        <v>65.125</v>
      </c>
      <c r="IX180" s="16" t="n">
        <v>45208</v>
      </c>
      <c r="IY180" s="10" t="s">
        <v>268</v>
      </c>
    </row>
    <row r="181" customFormat="false" ht="15.75" hidden="false" customHeight="true" outlineLevel="0" collapsed="false">
      <c r="A181" s="9" t="s">
        <v>299</v>
      </c>
      <c r="B181" s="10" t="s">
        <v>670</v>
      </c>
      <c r="C181" s="10" t="s">
        <v>626</v>
      </c>
      <c r="D181" s="9" t="n">
        <v>4</v>
      </c>
      <c r="E181" s="9" t="n">
        <v>60</v>
      </c>
      <c r="F181" s="10" t="s">
        <v>676</v>
      </c>
      <c r="G181" s="10" t="s">
        <v>397</v>
      </c>
      <c r="H181" s="9" t="n">
        <v>21</v>
      </c>
      <c r="I181" s="9" t="n">
        <v>20</v>
      </c>
      <c r="J181" s="10" t="s">
        <v>272</v>
      </c>
      <c r="K181" s="20"/>
      <c r="L181" s="20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 t="n">
        <v>0</v>
      </c>
      <c r="Y181" s="9" t="n">
        <v>0</v>
      </c>
      <c r="Z181" s="9" t="n">
        <v>0</v>
      </c>
      <c r="AA181" s="9" t="n">
        <v>0</v>
      </c>
      <c r="AB181" s="11" t="n">
        <f aca="false">(X181+Y181+Z181+AA181)/4</f>
        <v>0</v>
      </c>
      <c r="AC181" s="9" t="n">
        <v>1</v>
      </c>
      <c r="AD181" s="9" t="n">
        <v>1</v>
      </c>
      <c r="AE181" s="9" t="n">
        <v>1</v>
      </c>
      <c r="AF181" s="9" t="n">
        <v>1</v>
      </c>
      <c r="AG181" s="11" t="n">
        <f aca="false">(AC181+AD181+AE181+AF181)/4</f>
        <v>1</v>
      </c>
      <c r="AH181" s="9" t="n">
        <v>1</v>
      </c>
      <c r="AI181" s="9" t="n">
        <v>1</v>
      </c>
      <c r="AJ181" s="9" t="n">
        <v>1</v>
      </c>
      <c r="AK181" s="9" t="n">
        <v>1</v>
      </c>
      <c r="AL181" s="11" t="n">
        <f aca="false">(AH181+AI181+AJ181+AK181)/4</f>
        <v>1</v>
      </c>
      <c r="AM181" s="9" t="n">
        <v>51</v>
      </c>
      <c r="AN181" s="9" t="n">
        <v>42</v>
      </c>
      <c r="AO181" s="9" t="n">
        <v>60</v>
      </c>
      <c r="AP181" s="9" t="n">
        <v>50</v>
      </c>
      <c r="AQ181" s="11" t="n">
        <f aca="false">(AM181+AN181+AO181+AP181)/4</f>
        <v>50.75</v>
      </c>
      <c r="AR181" s="9" t="n">
        <v>21</v>
      </c>
      <c r="AS181" s="9" t="n">
        <v>23</v>
      </c>
      <c r="AT181" s="9" t="n">
        <v>30</v>
      </c>
      <c r="AU181" s="9" t="n">
        <v>25</v>
      </c>
      <c r="AV181" s="11" t="n">
        <f aca="false">(AR181+AS181+AT181+AU181)/4</f>
        <v>24.75</v>
      </c>
      <c r="AW181" s="9" t="n">
        <v>0</v>
      </c>
      <c r="AX181" s="9" t="n">
        <v>0</v>
      </c>
      <c r="AY181" s="9" t="n">
        <v>0</v>
      </c>
      <c r="AZ181" s="9" t="n">
        <v>0</v>
      </c>
      <c r="BA181" s="11" t="n">
        <f aca="false">(AW181+AX181+AY181+AZ181)/4</f>
        <v>0</v>
      </c>
      <c r="BB181" s="11" t="n">
        <f aca="false">(AW181/AR181)</f>
        <v>0</v>
      </c>
      <c r="BC181" s="11" t="n">
        <f aca="false">(AX181/AS181)</f>
        <v>0</v>
      </c>
      <c r="BD181" s="11" t="n">
        <f aca="false">(AY181/AT181)</f>
        <v>0</v>
      </c>
      <c r="BE181" s="11" t="n">
        <f aca="false">(AZ181/AU181)</f>
        <v>0</v>
      </c>
      <c r="BF181" s="11" t="n">
        <f aca="false">(BA181/AV181)</f>
        <v>0</v>
      </c>
      <c r="BG181" s="11" t="n">
        <f aca="false">(BF181*100)</f>
        <v>0</v>
      </c>
      <c r="BH181" s="9" t="n">
        <v>0</v>
      </c>
      <c r="BI181" s="9" t="n">
        <v>3</v>
      </c>
      <c r="BJ181" s="9" t="n">
        <v>2</v>
      </c>
      <c r="BK181" s="9" t="n">
        <v>3</v>
      </c>
      <c r="BL181" s="9" t="n">
        <v>3</v>
      </c>
      <c r="BM181" s="11" t="n">
        <f aca="false">(BI181+BJ181+BK181+BL181)/4</f>
        <v>2.75</v>
      </c>
      <c r="BN181" s="11" t="n">
        <f aca="false">(BI181/AR181)</f>
        <v>0.142857142857143</v>
      </c>
      <c r="BO181" s="11" t="n">
        <f aca="false">(BJ181/AS181)</f>
        <v>0.0869565217391304</v>
      </c>
      <c r="BP181" s="11" t="n">
        <f aca="false">(BK181/AT181)</f>
        <v>0.1</v>
      </c>
      <c r="BQ181" s="11" t="n">
        <f aca="false">(BL181/AU181)</f>
        <v>0.12</v>
      </c>
      <c r="BR181" s="11" t="n">
        <f aca="false">(BM181/AV181)</f>
        <v>0.111111111111111</v>
      </c>
      <c r="BS181" s="11" t="n">
        <f aca="false">(100*BR181)</f>
        <v>11.1111111111111</v>
      </c>
      <c r="BT181" s="9" t="n">
        <v>2</v>
      </c>
      <c r="BU181" s="9" t="n">
        <v>0</v>
      </c>
      <c r="BV181" s="9" t="n">
        <v>2</v>
      </c>
      <c r="BW181" s="9" t="n">
        <v>0</v>
      </c>
      <c r="BX181" s="9" t="n">
        <v>0</v>
      </c>
      <c r="BY181" s="11" t="n">
        <f aca="false">(BU181+BV181+BW181+BX181)/4</f>
        <v>0.5</v>
      </c>
      <c r="BZ181" s="11" t="n">
        <f aca="false">(BU181/AR181)</f>
        <v>0</v>
      </c>
      <c r="CA181" s="11" t="n">
        <f aca="false">(BV181/AS181)</f>
        <v>0.0869565217391304</v>
      </c>
      <c r="CB181" s="11" t="n">
        <f aca="false">(BW181/AT181)</f>
        <v>0</v>
      </c>
      <c r="CC181" s="11" t="n">
        <f aca="false">(BX181/AU181)</f>
        <v>0</v>
      </c>
      <c r="CD181" s="11" t="n">
        <f aca="false">(BY181/AV181)</f>
        <v>0.0202020202020202</v>
      </c>
      <c r="CE181" s="11" t="n">
        <f aca="false">(100*CD181)</f>
        <v>2.02020202020202</v>
      </c>
      <c r="CF181" s="9" t="n">
        <v>1</v>
      </c>
      <c r="CG181" s="9" t="n">
        <v>3</v>
      </c>
      <c r="CH181" s="9" t="n">
        <v>4</v>
      </c>
      <c r="CI181" s="9" t="n">
        <v>2</v>
      </c>
      <c r="CJ181" s="9" t="n">
        <v>9</v>
      </c>
      <c r="CK181" s="11" t="n">
        <f aca="false">(CG181+CH181+CI181+CJ181)/4</f>
        <v>4.5</v>
      </c>
      <c r="CL181" s="11" t="n">
        <f aca="false">(CG181/AM181)</f>
        <v>0.0588235294117647</v>
      </c>
      <c r="CM181" s="11" t="n">
        <f aca="false">(CH181/AN181)</f>
        <v>0.0952380952380952</v>
      </c>
      <c r="CN181" s="11" t="n">
        <f aca="false">(CI181/AO181)</f>
        <v>0.0333333333333333</v>
      </c>
      <c r="CO181" s="9" t="n">
        <f aca="false">(CJ181/AP181)</f>
        <v>0.18</v>
      </c>
      <c r="CP181" s="9" t="n">
        <f aca="false">(CK181/AQ181)</f>
        <v>0.0886699507389163</v>
      </c>
      <c r="CQ181" s="9" t="n">
        <f aca="false">(100*CP181)</f>
        <v>8.86699507389163</v>
      </c>
      <c r="CR181" s="18" t="n">
        <v>1</v>
      </c>
      <c r="CS181" s="9" t="n">
        <v>68</v>
      </c>
      <c r="CT181" s="9" t="n">
        <v>73.3</v>
      </c>
      <c r="CU181" s="9" t="n">
        <v>47</v>
      </c>
      <c r="CV181" s="9" t="n">
        <v>79</v>
      </c>
      <c r="CW181" s="11" t="n">
        <f aca="false">(CS181+CT181+CU181+CV181)/4</f>
        <v>66.825</v>
      </c>
      <c r="CX181" s="9" t="n">
        <v>0</v>
      </c>
      <c r="CY181" s="9" t="n">
        <v>1</v>
      </c>
      <c r="CZ181" s="9" t="n">
        <v>0</v>
      </c>
      <c r="DA181" s="9" t="n">
        <v>1</v>
      </c>
      <c r="DB181" s="11" t="n">
        <f aca="false">(CX181+CY181+CZ181+DA181)/4</f>
        <v>0.5</v>
      </c>
      <c r="DC181" s="9" t="n">
        <v>1</v>
      </c>
      <c r="DD181" s="9" t="n">
        <v>1</v>
      </c>
      <c r="DE181" s="9" t="n">
        <v>1</v>
      </c>
      <c r="DF181" s="9" t="n">
        <v>1</v>
      </c>
      <c r="DG181" s="11" t="n">
        <f aca="false">(DC181+DD181+DE181+DF181)/4</f>
        <v>1</v>
      </c>
      <c r="DH181" s="9" t="n">
        <v>0</v>
      </c>
      <c r="DI181" s="9" t="n">
        <v>1</v>
      </c>
      <c r="DJ181" s="9" t="n">
        <v>0</v>
      </c>
      <c r="DK181" s="9" t="n">
        <v>0</v>
      </c>
      <c r="DL181" s="11" t="n">
        <f aca="false">(DH181+DI181+DJ181+DK181)/4</f>
        <v>0.25</v>
      </c>
      <c r="DM181" s="9" t="n">
        <v>9</v>
      </c>
      <c r="DN181" s="9" t="n">
        <v>97</v>
      </c>
      <c r="DO181" s="9" t="n">
        <v>29</v>
      </c>
      <c r="DP181" s="9" t="n">
        <v>124</v>
      </c>
      <c r="DQ181" s="11" t="n">
        <f aca="false">(DM181+DN181+DO181+DP181)/4</f>
        <v>64.75</v>
      </c>
      <c r="DR181" s="9" t="n">
        <v>10</v>
      </c>
      <c r="DS181" s="9" t="n">
        <v>32</v>
      </c>
      <c r="DT181" s="9" t="n">
        <v>29</v>
      </c>
      <c r="DU181" s="9" t="n">
        <v>13</v>
      </c>
      <c r="DV181" s="11" t="n">
        <f aca="false">(DR181+DS181+DT181+DU181)/4</f>
        <v>21</v>
      </c>
      <c r="DW181" s="9" t="n">
        <v>0</v>
      </c>
      <c r="DX181" s="9" t="n">
        <v>1</v>
      </c>
      <c r="DY181" s="9" t="n">
        <v>0</v>
      </c>
      <c r="DZ181" s="9" t="n">
        <v>1</v>
      </c>
      <c r="EA181" s="11" t="n">
        <f aca="false">(DW181+DX181+DY181+DZ181)/4</f>
        <v>0.5</v>
      </c>
      <c r="EB181" s="11" t="n">
        <f aca="false">(DW181/DR181)</f>
        <v>0</v>
      </c>
      <c r="EC181" s="11" t="n">
        <f aca="false">(DX181/DS181)</f>
        <v>0.03125</v>
      </c>
      <c r="ED181" s="11" t="n">
        <f aca="false">(DY181/DT181)</f>
        <v>0</v>
      </c>
      <c r="EE181" s="11" t="n">
        <f aca="false">(DZ181/DU181)</f>
        <v>0.0769230769230769</v>
      </c>
      <c r="EF181" s="11" t="n">
        <f aca="false">(EA181/DV181)</f>
        <v>0.0238095238095238</v>
      </c>
      <c r="EG181" s="11" t="n">
        <f aca="false">(100*EF181)</f>
        <v>2.38095238095238</v>
      </c>
      <c r="EH181" s="9" t="n">
        <v>1</v>
      </c>
      <c r="EI181" s="9" t="n">
        <v>2</v>
      </c>
      <c r="EJ181" s="9" t="n">
        <v>3</v>
      </c>
      <c r="EK181" s="19" t="n">
        <v>6</v>
      </c>
      <c r="EL181" s="9" t="n">
        <v>6</v>
      </c>
      <c r="EM181" s="9" t="n">
        <f aca="false">(EI181+EJ181+EK181+EL181)/4</f>
        <v>4.25</v>
      </c>
      <c r="EN181" s="9" t="n">
        <f aca="false">(EI181/DR181)</f>
        <v>0.2</v>
      </c>
      <c r="EO181" s="9" t="n">
        <f aca="false">(EJ181/DS181)</f>
        <v>0.09375</v>
      </c>
      <c r="EP181" s="9" t="n">
        <f aca="false">(EK181/DT181)</f>
        <v>0.206896551724138</v>
      </c>
      <c r="EQ181" s="9" t="n">
        <f aca="false">(EL181/DU181)</f>
        <v>0.461538461538462</v>
      </c>
      <c r="ER181" s="9" t="n">
        <f aca="false">EM181/DV181</f>
        <v>0.202380952380952</v>
      </c>
      <c r="ES181" s="9" t="n">
        <f aca="false">(100*ER181)</f>
        <v>20.2380952380952</v>
      </c>
      <c r="ET181" s="9" t="n">
        <v>2</v>
      </c>
      <c r="EU181" s="18" t="n">
        <v>0</v>
      </c>
      <c r="EV181" s="9" t="n">
        <v>0</v>
      </c>
      <c r="EW181" s="9" t="n">
        <v>0</v>
      </c>
      <c r="EX181" s="9" t="n">
        <v>0</v>
      </c>
      <c r="EY181" s="11" t="n">
        <f aca="false">(EU181+EV181+EW181+EX181)/4</f>
        <v>0</v>
      </c>
      <c r="EZ181" s="11" t="n">
        <f aca="false">(EU181/DR181)</f>
        <v>0</v>
      </c>
      <c r="FA181" s="11" t="n">
        <f aca="false">(EV181/DS181)</f>
        <v>0</v>
      </c>
      <c r="FB181" s="11" t="n">
        <f aca="false">(EW181/DT181)</f>
        <v>0</v>
      </c>
      <c r="FC181" s="11" t="n">
        <f aca="false">(EX181/DU181)</f>
        <v>0</v>
      </c>
      <c r="FD181" s="11" t="n">
        <f aca="false">(EY181/DV181)</f>
        <v>0</v>
      </c>
      <c r="FE181" s="11" t="n">
        <f aca="false">(100*FD181)</f>
        <v>0</v>
      </c>
      <c r="FF181" s="9" t="n">
        <v>0</v>
      </c>
      <c r="FG181" s="9" t="n">
        <v>0</v>
      </c>
      <c r="FH181" s="9" t="n">
        <v>4</v>
      </c>
      <c r="FI181" s="9" t="n">
        <v>0</v>
      </c>
      <c r="FJ181" s="9" t="n">
        <v>0</v>
      </c>
      <c r="FK181" s="11" t="n">
        <f aca="false">(FG181+FH181+FI181+FJ181)/4</f>
        <v>1</v>
      </c>
      <c r="FL181" s="11" t="n">
        <f aca="false">(FG181/DR181)</f>
        <v>0</v>
      </c>
      <c r="FM181" s="11" t="n">
        <f aca="false">(FH181/DS181)</f>
        <v>0.125</v>
      </c>
      <c r="FN181" s="11" t="n">
        <f aca="false">(FI181/DT181)</f>
        <v>0</v>
      </c>
      <c r="FO181" s="11" t="n">
        <f aca="false">(FJ181/DU181)</f>
        <v>0</v>
      </c>
      <c r="FP181" s="11" t="n">
        <f aca="false">(FK181/DV181)</f>
        <v>0.0476190476190476</v>
      </c>
      <c r="FQ181" s="11" t="n">
        <f aca="false">(100*FP181)</f>
        <v>4.76190476190476</v>
      </c>
      <c r="FR181" s="9" t="n">
        <v>1</v>
      </c>
      <c r="FS181" s="9" t="n">
        <v>56.3</v>
      </c>
      <c r="FT181" s="9" t="n">
        <v>79.4</v>
      </c>
      <c r="FU181" s="9" t="n">
        <v>74.2</v>
      </c>
      <c r="FV181" s="9" t="n">
        <v>70.8</v>
      </c>
      <c r="FW181" s="11" t="n">
        <f aca="false">(FS181+FT181+FU181+FV181)/4</f>
        <v>70.175</v>
      </c>
      <c r="FX181" s="9" t="n">
        <v>0</v>
      </c>
      <c r="FY181" s="9" t="n">
        <v>0</v>
      </c>
      <c r="FZ181" s="9" t="n">
        <v>0</v>
      </c>
      <c r="GA181" s="9" t="n">
        <v>0</v>
      </c>
      <c r="GB181" s="11" t="n">
        <f aca="false">(FX181+FY181+FZ181+GA181)/4</f>
        <v>0</v>
      </c>
      <c r="GC181" s="9" t="n">
        <v>1</v>
      </c>
      <c r="GD181" s="9" t="n">
        <v>1</v>
      </c>
      <c r="GE181" s="9" t="n">
        <v>1</v>
      </c>
      <c r="GF181" s="9" t="n">
        <v>1</v>
      </c>
      <c r="GG181" s="11" t="n">
        <f aca="false">(GC181+GD181+GE181+GF181)/4</f>
        <v>1</v>
      </c>
      <c r="GH181" s="9" t="n">
        <v>1</v>
      </c>
      <c r="GI181" s="9" t="n">
        <v>0</v>
      </c>
      <c r="GJ181" s="9" t="n">
        <v>1</v>
      </c>
      <c r="GK181" s="9" t="n">
        <v>1</v>
      </c>
      <c r="GL181" s="11" t="n">
        <f aca="false">(GH181+GI181+GJ181+GK181)/4</f>
        <v>0.75</v>
      </c>
      <c r="GM181" s="9" t="n">
        <v>125</v>
      </c>
      <c r="GN181" s="9" t="n">
        <v>58</v>
      </c>
      <c r="GO181" s="9" t="n">
        <v>145</v>
      </c>
      <c r="GP181" s="9" t="n">
        <v>37</v>
      </c>
      <c r="GQ181" s="11" t="n">
        <f aca="false">(GM181+GN181+GO181+GP181)/4</f>
        <v>91.25</v>
      </c>
      <c r="GR181" s="9" t="n">
        <v>18</v>
      </c>
      <c r="GS181" s="9" t="n">
        <v>28</v>
      </c>
      <c r="GT181" s="9" t="n">
        <v>11</v>
      </c>
      <c r="GU181" s="9" t="n">
        <v>19</v>
      </c>
      <c r="GV181" s="11" t="n">
        <f aca="false">(GR181+GS181+GT181+GU181)/4</f>
        <v>19</v>
      </c>
      <c r="GW181" s="9" t="n">
        <v>0</v>
      </c>
      <c r="GX181" s="9" t="n">
        <v>0</v>
      </c>
      <c r="GY181" s="9" t="n">
        <v>0</v>
      </c>
      <c r="GZ181" s="9" t="n">
        <v>0</v>
      </c>
      <c r="HA181" s="11" t="n">
        <f aca="false">(GW181+GX181+GY181+GZ181)/4</f>
        <v>0</v>
      </c>
      <c r="HB181" s="9" t="n">
        <f aca="false">(GW181/GR181)</f>
        <v>0</v>
      </c>
      <c r="HC181" s="9" t="n">
        <f aca="false">(GX181/GS181)</f>
        <v>0</v>
      </c>
      <c r="HD181" s="9" t="n">
        <f aca="false">(GY181/GT181)</f>
        <v>0</v>
      </c>
      <c r="HE181" s="9" t="n">
        <f aca="false">(GZ181/GU181)/4</f>
        <v>0</v>
      </c>
      <c r="HF181" s="9" t="n">
        <f aca="false">(HB181+HC181+HD181+HE181)/4</f>
        <v>0</v>
      </c>
      <c r="HG181" s="9" t="n">
        <f aca="false">(100*HF181)</f>
        <v>0</v>
      </c>
      <c r="HH181" s="18" t="n">
        <v>0</v>
      </c>
      <c r="HI181" s="9" t="n">
        <v>5</v>
      </c>
      <c r="HJ181" s="9" t="n">
        <v>3</v>
      </c>
      <c r="HK181" s="9" t="n">
        <v>4</v>
      </c>
      <c r="HL181" s="19" t="n">
        <v>3</v>
      </c>
      <c r="HM181" s="9" t="n">
        <f aca="false">(HI181+HJ181+HK181+HL181)/4</f>
        <v>3.75</v>
      </c>
      <c r="HN181" s="9" t="n">
        <f aca="false">(HI181/GR181)</f>
        <v>0.277777777777778</v>
      </c>
      <c r="HO181" s="9" t="n">
        <f aca="false">(HJ181/GS181)</f>
        <v>0.107142857142857</v>
      </c>
      <c r="HP181" s="9" t="n">
        <f aca="false">(HK181/GT181)</f>
        <v>0.363636363636364</v>
      </c>
      <c r="HQ181" s="9" t="n">
        <f aca="false">(HL181/GU181)</f>
        <v>0.157894736842105</v>
      </c>
      <c r="HR181" s="9" t="n">
        <f aca="false">(HM181/GV181)</f>
        <v>0.197368421052632</v>
      </c>
      <c r="HS181" s="9" t="n">
        <f aca="false">(100*HR181)</f>
        <v>19.7368421052632</v>
      </c>
      <c r="HT181" s="18" t="n">
        <v>2</v>
      </c>
      <c r="HU181" s="9" t="n">
        <v>0</v>
      </c>
      <c r="HV181" s="9" t="n">
        <v>0</v>
      </c>
      <c r="HW181" s="9" t="n">
        <v>2</v>
      </c>
      <c r="HX181" s="19" t="n">
        <v>3</v>
      </c>
      <c r="HY181" s="9" t="n">
        <f aca="false">(HU181+HV181+HW181+HX181)/4</f>
        <v>1.25</v>
      </c>
      <c r="HZ181" s="9" t="n">
        <f aca="false">(HU181/GR181)</f>
        <v>0</v>
      </c>
      <c r="IA181" s="9" t="n">
        <f aca="false">HV181/GS181</f>
        <v>0</v>
      </c>
      <c r="IB181" s="9" t="n">
        <f aca="false">(HW181/GT181)</f>
        <v>0.181818181818182</v>
      </c>
      <c r="IC181" s="9" t="n">
        <f aca="false">(HX181/GU181)</f>
        <v>0.157894736842105</v>
      </c>
      <c r="ID181" s="9" t="n">
        <f aca="false">(HY181/GV181)</f>
        <v>0.0657894736842105</v>
      </c>
      <c r="IE181" s="9" t="n">
        <f aca="false">(100*ID181)</f>
        <v>6.57894736842105</v>
      </c>
      <c r="IF181" s="18" t="n">
        <v>1</v>
      </c>
      <c r="IG181" s="9" t="n">
        <v>5</v>
      </c>
      <c r="IH181" s="9" t="n">
        <v>0</v>
      </c>
      <c r="II181" s="19" t="n">
        <v>17</v>
      </c>
      <c r="IJ181" s="9" t="n">
        <v>10</v>
      </c>
      <c r="IK181" s="9" t="n">
        <f aca="false">(IG181+IH181+II181+IJ181)/4</f>
        <v>8</v>
      </c>
      <c r="IL181" s="9" t="n">
        <f aca="false">(IG181/GM181)</f>
        <v>0.04</v>
      </c>
      <c r="IM181" s="9" t="n">
        <f aca="false">(IH181/GN181)</f>
        <v>0</v>
      </c>
      <c r="IN181" s="9" t="n">
        <f aca="false">(II181/GO181)</f>
        <v>0.117241379310345</v>
      </c>
      <c r="IO181" s="9" t="n">
        <f aca="false">(IJ181/GP181)</f>
        <v>0.27027027027027</v>
      </c>
      <c r="IP181" s="9" t="n">
        <f aca="false">(IK181/GQ181)</f>
        <v>0.0876712328767123</v>
      </c>
      <c r="IQ181" s="9" t="n">
        <f aca="false">(100*IP181)</f>
        <v>8.76712328767123</v>
      </c>
      <c r="IR181" s="18" t="n">
        <v>1</v>
      </c>
      <c r="IS181" s="9" t="n">
        <v>56.3</v>
      </c>
      <c r="IT181" s="9" t="n">
        <v>69.9</v>
      </c>
      <c r="IU181" s="19" t="n">
        <v>74.1</v>
      </c>
      <c r="IV181" s="9" t="n">
        <v>71.7</v>
      </c>
      <c r="IW181" s="9" t="n">
        <f aca="false">(IS181+IT181+IU181+IV181)/4</f>
        <v>68</v>
      </c>
      <c r="IX181" s="16" t="n">
        <v>45208</v>
      </c>
      <c r="IY181" s="10" t="s">
        <v>268</v>
      </c>
    </row>
    <row r="182" customFormat="false" ht="15.75" hidden="false" customHeight="true" outlineLevel="0" collapsed="false">
      <c r="A182" s="9" t="s">
        <v>343</v>
      </c>
      <c r="B182" s="10" t="s">
        <v>677</v>
      </c>
      <c r="C182" s="10" t="s">
        <v>626</v>
      </c>
      <c r="D182" s="9" t="n">
        <v>1</v>
      </c>
      <c r="E182" s="9" t="n">
        <v>61</v>
      </c>
      <c r="F182" s="10" t="s">
        <v>678</v>
      </c>
      <c r="G182" s="10" t="s">
        <v>394</v>
      </c>
      <c r="H182" s="9" t="n">
        <v>21</v>
      </c>
      <c r="I182" s="9" t="n">
        <v>3</v>
      </c>
      <c r="J182" s="12" t="s">
        <v>264</v>
      </c>
      <c r="K182" s="13" t="s">
        <v>679</v>
      </c>
      <c r="L182" s="13" t="s">
        <v>680</v>
      </c>
      <c r="M182" s="32" t="n">
        <v>1315</v>
      </c>
      <c r="N182" s="15" t="n">
        <v>45155</v>
      </c>
      <c r="O182" s="10" t="s">
        <v>294</v>
      </c>
      <c r="P182" s="9"/>
      <c r="Q182" s="9" t="n">
        <v>1.72</v>
      </c>
      <c r="R182" s="11" t="n">
        <v>10</v>
      </c>
      <c r="S182" s="9" t="n">
        <v>-15</v>
      </c>
      <c r="T182" s="9" t="n">
        <v>120</v>
      </c>
      <c r="U182" s="9"/>
      <c r="V182" s="9" t="n">
        <f aca="false">(23/100)</f>
        <v>0.23</v>
      </c>
      <c r="W182" s="9" t="s">
        <v>681</v>
      </c>
      <c r="X182" s="9" t="n">
        <v>0</v>
      </c>
      <c r="Y182" s="9" t="n">
        <v>0</v>
      </c>
      <c r="Z182" s="9" t="n">
        <v>0</v>
      </c>
      <c r="AA182" s="9" t="n">
        <v>0</v>
      </c>
      <c r="AB182" s="11" t="n">
        <f aca="false">(X182+Y182+Z182+AA182)/4</f>
        <v>0</v>
      </c>
      <c r="AC182" s="9" t="n">
        <v>1</v>
      </c>
      <c r="AD182" s="9" t="n">
        <v>0</v>
      </c>
      <c r="AE182" s="9" t="n">
        <v>1</v>
      </c>
      <c r="AF182" s="9" t="n">
        <v>1</v>
      </c>
      <c r="AG182" s="11" t="n">
        <f aca="false">(AC182+AD182+AE182+AF182)/4</f>
        <v>0.75</v>
      </c>
      <c r="AH182" s="9" t="n">
        <v>0</v>
      </c>
      <c r="AI182" s="9" t="n">
        <v>1</v>
      </c>
      <c r="AJ182" s="9" t="n">
        <v>0</v>
      </c>
      <c r="AK182" s="9" t="n">
        <v>0</v>
      </c>
      <c r="AL182" s="11" t="n">
        <f aca="false">(AH182+AI182+AJ182+AK182)/4</f>
        <v>0.25</v>
      </c>
      <c r="AM182" s="9" t="n">
        <v>9</v>
      </c>
      <c r="AN182" s="9" t="n">
        <v>12</v>
      </c>
      <c r="AO182" s="9" t="n">
        <v>142</v>
      </c>
      <c r="AP182" s="9" t="n">
        <v>56</v>
      </c>
      <c r="AQ182" s="11" t="n">
        <f aca="false">(AM182+AN182+AO182+AP182)/4</f>
        <v>54.75</v>
      </c>
      <c r="AR182" s="9" t="n">
        <v>33</v>
      </c>
      <c r="AS182" s="9" t="n">
        <v>7</v>
      </c>
      <c r="AT182" s="9" t="n">
        <v>75</v>
      </c>
      <c r="AU182" s="9" t="n">
        <v>17</v>
      </c>
      <c r="AV182" s="11" t="n">
        <f aca="false">(AR182+AS182+AT182+AU182)/4</f>
        <v>33</v>
      </c>
      <c r="AW182" s="9" t="n">
        <v>0</v>
      </c>
      <c r="AX182" s="9" t="n">
        <v>0</v>
      </c>
      <c r="AY182" s="9" t="n">
        <v>0</v>
      </c>
      <c r="AZ182" s="9" t="n">
        <v>0</v>
      </c>
      <c r="BA182" s="11" t="n">
        <f aca="false">(AW182+AX182+AY182+AZ182)/4</f>
        <v>0</v>
      </c>
      <c r="BB182" s="11" t="n">
        <f aca="false">(AW182/AR182)</f>
        <v>0</v>
      </c>
      <c r="BC182" s="11" t="n">
        <f aca="false">(AX182/AS182)</f>
        <v>0</v>
      </c>
      <c r="BD182" s="11" t="n">
        <f aca="false">(AY182/AT182)</f>
        <v>0</v>
      </c>
      <c r="BE182" s="11" t="n">
        <f aca="false">(AZ182/AU182)</f>
        <v>0</v>
      </c>
      <c r="BF182" s="11" t="n">
        <f aca="false">(BA182/AV182)</f>
        <v>0</v>
      </c>
      <c r="BG182" s="11" t="n">
        <f aca="false">(BF182*100)</f>
        <v>0</v>
      </c>
      <c r="BH182" s="9" t="n">
        <v>0</v>
      </c>
      <c r="BI182" s="9" t="n">
        <v>1</v>
      </c>
      <c r="BJ182" s="9" t="n">
        <v>0</v>
      </c>
      <c r="BK182" s="9" t="n">
        <v>1</v>
      </c>
      <c r="BL182" s="9" t="n">
        <v>1</v>
      </c>
      <c r="BM182" s="11" t="n">
        <f aca="false">(BI182+BJ182+BK182+BL182)/4</f>
        <v>0.75</v>
      </c>
      <c r="BN182" s="11" t="n">
        <f aca="false">(BI182/AR182)</f>
        <v>0.0303030303030303</v>
      </c>
      <c r="BO182" s="11" t="n">
        <f aca="false">(BJ182/AS182)</f>
        <v>0</v>
      </c>
      <c r="BP182" s="11" t="n">
        <f aca="false">(BK182/AT182)</f>
        <v>0.0133333333333333</v>
      </c>
      <c r="BQ182" s="11" t="n">
        <f aca="false">(BL182/AU182)</f>
        <v>0.0588235294117647</v>
      </c>
      <c r="BR182" s="11" t="n">
        <f aca="false">(BM182/AV182)</f>
        <v>0.0227272727272727</v>
      </c>
      <c r="BS182" s="11" t="n">
        <f aca="false">(100*BR182)</f>
        <v>2.27272727272727</v>
      </c>
      <c r="BT182" s="9" t="n">
        <v>1</v>
      </c>
      <c r="BU182" s="9" t="n">
        <v>0</v>
      </c>
      <c r="BV182" s="9" t="n">
        <v>1</v>
      </c>
      <c r="BW182" s="9" t="n">
        <v>0</v>
      </c>
      <c r="BX182" s="9" t="n">
        <v>0</v>
      </c>
      <c r="BY182" s="11" t="n">
        <f aca="false">(BU182+BV182+BW182+BX182)/4</f>
        <v>0.25</v>
      </c>
      <c r="BZ182" s="11" t="n">
        <f aca="false">(BU182/AR182)</f>
        <v>0</v>
      </c>
      <c r="CA182" s="11" t="n">
        <f aca="false">(BV182/AS182)</f>
        <v>0.142857142857143</v>
      </c>
      <c r="CB182" s="11" t="n">
        <f aca="false">(BW182/AT182)</f>
        <v>0</v>
      </c>
      <c r="CC182" s="11" t="n">
        <f aca="false">(BX182/AU182)</f>
        <v>0</v>
      </c>
      <c r="CD182" s="11" t="n">
        <f aca="false">(BY182/AV182)</f>
        <v>0.00757575757575758</v>
      </c>
      <c r="CE182" s="11" t="n">
        <f aca="false">(100*CD182)</f>
        <v>0.757575757575758</v>
      </c>
      <c r="CF182" s="9" t="n">
        <v>1</v>
      </c>
      <c r="CG182" s="9" t="n">
        <v>0</v>
      </c>
      <c r="CH182" s="9" t="n">
        <v>0</v>
      </c>
      <c r="CI182" s="9" t="n">
        <v>0</v>
      </c>
      <c r="CJ182" s="9" t="n">
        <v>0</v>
      </c>
      <c r="CK182" s="11" t="n">
        <f aca="false">(CG182+CH182+CI182+CJ182)/4</f>
        <v>0</v>
      </c>
      <c r="CL182" s="11" t="n">
        <f aca="false">(CG182/AM182)</f>
        <v>0</v>
      </c>
      <c r="CM182" s="11" t="n">
        <f aca="false">(CH182/AN182)</f>
        <v>0</v>
      </c>
      <c r="CN182" s="11" t="n">
        <f aca="false">(CI182/AO182)</f>
        <v>0</v>
      </c>
      <c r="CO182" s="9" t="n">
        <f aca="false">(CJ182/AP182)</f>
        <v>0</v>
      </c>
      <c r="CP182" s="9" t="n">
        <f aca="false">(CK182/AQ182)</f>
        <v>0</v>
      </c>
      <c r="CQ182" s="9" t="n">
        <f aca="false">(100*CP182)</f>
        <v>0</v>
      </c>
      <c r="CR182" s="18" t="n">
        <v>0</v>
      </c>
      <c r="CS182" s="9" t="n">
        <v>62.9</v>
      </c>
      <c r="CT182" s="9" t="n">
        <v>60.1</v>
      </c>
      <c r="CU182" s="9" t="n">
        <v>51.1</v>
      </c>
      <c r="CV182" s="9" t="n">
        <v>60</v>
      </c>
      <c r="CW182" s="11" t="n">
        <f aca="false">(CS182+CT182+CU182+CV182)/4</f>
        <v>58.525</v>
      </c>
      <c r="CX182" s="9" t="n">
        <v>0</v>
      </c>
      <c r="CY182" s="9" t="n">
        <v>1</v>
      </c>
      <c r="CZ182" s="9" t="n">
        <v>0</v>
      </c>
      <c r="DA182" s="9" t="n">
        <v>0</v>
      </c>
      <c r="DB182" s="11" t="n">
        <f aca="false">(CX182+CY182+CZ182+DA182)/4</f>
        <v>0.25</v>
      </c>
      <c r="DC182" s="9" t="n">
        <v>1</v>
      </c>
      <c r="DD182" s="9" t="n">
        <v>1</v>
      </c>
      <c r="DE182" s="9" t="n">
        <v>1</v>
      </c>
      <c r="DF182" s="9" t="n">
        <v>1</v>
      </c>
      <c r="DG182" s="11" t="n">
        <f aca="false">(DC182+DD182+DE182+DF182)/4</f>
        <v>1</v>
      </c>
      <c r="DH182" s="9" t="n">
        <v>0</v>
      </c>
      <c r="DI182" s="9" t="n">
        <v>0</v>
      </c>
      <c r="DJ182" s="9" t="n">
        <v>0</v>
      </c>
      <c r="DK182" s="9" t="n">
        <v>1</v>
      </c>
      <c r="DL182" s="11" t="n">
        <f aca="false">(DH182+DI182+DJ182+DK182)/4</f>
        <v>0.25</v>
      </c>
      <c r="DM182" s="9" t="n">
        <v>70</v>
      </c>
      <c r="DN182" s="9" t="n">
        <v>15</v>
      </c>
      <c r="DO182" s="9" t="n">
        <v>22</v>
      </c>
      <c r="DP182" s="9" t="n">
        <v>179</v>
      </c>
      <c r="DQ182" s="11" t="n">
        <f aca="false">(DM182+DN182+DO182+DP182)/4</f>
        <v>71.5</v>
      </c>
      <c r="DR182" s="9" t="n">
        <v>20</v>
      </c>
      <c r="DS182" s="9" t="n">
        <v>390</v>
      </c>
      <c r="DT182" s="9" t="n">
        <v>15</v>
      </c>
      <c r="DU182" s="9" t="n">
        <v>43</v>
      </c>
      <c r="DV182" s="11" t="n">
        <f aca="false">(DR182+DS182+DT182+DU182)/4</f>
        <v>117</v>
      </c>
      <c r="DW182" s="9" t="n">
        <v>0</v>
      </c>
      <c r="DX182" s="9" t="n">
        <v>15</v>
      </c>
      <c r="DY182" s="9" t="n">
        <v>0</v>
      </c>
      <c r="DZ182" s="9" t="n">
        <v>0</v>
      </c>
      <c r="EA182" s="11" t="n">
        <f aca="false">(DW182+DX182+DY182+DZ182)/4</f>
        <v>3.75</v>
      </c>
      <c r="EB182" s="11" t="n">
        <f aca="false">(DW182/DR182)</f>
        <v>0</v>
      </c>
      <c r="EC182" s="11" t="n">
        <f aca="false">(DX182/DS182)</f>
        <v>0.0384615384615385</v>
      </c>
      <c r="ED182" s="11" t="n">
        <f aca="false">(DY182/DT182)</f>
        <v>0</v>
      </c>
      <c r="EE182" s="11" t="n">
        <f aca="false">(DZ182/DU182)</f>
        <v>0</v>
      </c>
      <c r="EF182" s="11" t="n">
        <f aca="false">(EA182/DV182)</f>
        <v>0.0320512820512821</v>
      </c>
      <c r="EG182" s="11" t="n">
        <f aca="false">(100*EF182)</f>
        <v>3.20512820512821</v>
      </c>
      <c r="EH182" s="9" t="n">
        <v>1</v>
      </c>
      <c r="EI182" s="9" t="n">
        <v>2</v>
      </c>
      <c r="EJ182" s="9" t="n">
        <v>8</v>
      </c>
      <c r="EK182" s="19" t="n">
        <v>4</v>
      </c>
      <c r="EL182" s="9" t="n">
        <v>6</v>
      </c>
      <c r="EM182" s="9" t="n">
        <f aca="false">(EI182+EJ182+EK182+EL182)/4</f>
        <v>5</v>
      </c>
      <c r="EN182" s="9" t="n">
        <f aca="false">(EI182/DR182)</f>
        <v>0.1</v>
      </c>
      <c r="EO182" s="9" t="n">
        <f aca="false">(EJ182/DS182)</f>
        <v>0.0205128205128205</v>
      </c>
      <c r="EP182" s="9" t="n">
        <f aca="false">(EK182/DT182)</f>
        <v>0.266666666666667</v>
      </c>
      <c r="EQ182" s="9" t="n">
        <f aca="false">(EL182/DU182)</f>
        <v>0.13953488372093</v>
      </c>
      <c r="ER182" s="9" t="n">
        <f aca="false">EM182/DV182</f>
        <v>0.0427350427350427</v>
      </c>
      <c r="ES182" s="9" t="n">
        <f aca="false">(100*ER182)</f>
        <v>4.27350427350427</v>
      </c>
      <c r="ET182" s="9" t="n">
        <v>1</v>
      </c>
      <c r="EU182" s="18" t="n">
        <v>0</v>
      </c>
      <c r="EV182" s="9" t="n">
        <v>0</v>
      </c>
      <c r="EW182" s="9" t="n">
        <v>0</v>
      </c>
      <c r="EX182" s="9" t="n">
        <v>0</v>
      </c>
      <c r="EY182" s="11" t="n">
        <f aca="false">(EU182+EV182+EW182+EX182)/4</f>
        <v>0</v>
      </c>
      <c r="EZ182" s="11" t="n">
        <f aca="false">(EU182/DR182)</f>
        <v>0</v>
      </c>
      <c r="FA182" s="11" t="n">
        <f aca="false">(EV182/DS182)</f>
        <v>0</v>
      </c>
      <c r="FB182" s="11" t="n">
        <f aca="false">(EW182/DT182)</f>
        <v>0</v>
      </c>
      <c r="FC182" s="11" t="n">
        <f aca="false">(EX182/DU182)</f>
        <v>0</v>
      </c>
      <c r="FD182" s="11" t="n">
        <f aca="false">(EY182/DV182)</f>
        <v>0</v>
      </c>
      <c r="FE182" s="11" t="n">
        <f aca="false">(100*FD182)</f>
        <v>0</v>
      </c>
      <c r="FF182" s="9" t="n">
        <v>0</v>
      </c>
      <c r="FG182" s="9" t="n">
        <v>0</v>
      </c>
      <c r="FH182" s="9" t="n">
        <v>0</v>
      </c>
      <c r="FI182" s="9" t="n">
        <v>0</v>
      </c>
      <c r="FJ182" s="9" t="n">
        <v>8</v>
      </c>
      <c r="FK182" s="11" t="n">
        <f aca="false">(FG182+FH182+FI182+FJ182)/4</f>
        <v>2</v>
      </c>
      <c r="FL182" s="11" t="n">
        <f aca="false">(FG182/DR182)</f>
        <v>0</v>
      </c>
      <c r="FM182" s="11" t="n">
        <f aca="false">(FH182/DS182)</f>
        <v>0</v>
      </c>
      <c r="FN182" s="11" t="n">
        <f aca="false">(FI182/DT182)</f>
        <v>0</v>
      </c>
      <c r="FO182" s="11" t="n">
        <f aca="false">(FJ182/DU182)</f>
        <v>0.186046511627907</v>
      </c>
      <c r="FP182" s="11" t="n">
        <f aca="false">(FK182/DV182)</f>
        <v>0.0170940170940171</v>
      </c>
      <c r="FQ182" s="11" t="n">
        <f aca="false">(100*FP182)</f>
        <v>1.70940170940171</v>
      </c>
      <c r="FR182" s="9" t="n">
        <v>1</v>
      </c>
      <c r="FS182" s="9" t="n">
        <v>60.9</v>
      </c>
      <c r="FT182" s="9" t="n">
        <v>56.4</v>
      </c>
      <c r="FU182" s="9" t="n">
        <v>54</v>
      </c>
      <c r="FV182" s="9" t="n">
        <v>56.7</v>
      </c>
      <c r="FW182" s="11" t="n">
        <f aca="false">(FS182+FT182+FU182+FV182)/4</f>
        <v>57</v>
      </c>
      <c r="FX182" s="9" t="n">
        <v>0</v>
      </c>
      <c r="FY182" s="9" t="n">
        <v>0</v>
      </c>
      <c r="FZ182" s="9" t="n">
        <v>0</v>
      </c>
      <c r="GA182" s="9" t="n">
        <v>0</v>
      </c>
      <c r="GB182" s="11" t="n">
        <f aca="false">(FX182+FY182+FZ182+GA182)/4</f>
        <v>0</v>
      </c>
      <c r="GC182" s="9" t="n">
        <v>1</v>
      </c>
      <c r="GD182" s="9" t="n">
        <v>1</v>
      </c>
      <c r="GE182" s="9" t="n">
        <v>0</v>
      </c>
      <c r="GF182" s="9" t="n">
        <v>0</v>
      </c>
      <c r="GG182" s="11" t="n">
        <f aca="false">(GC182+GD182+GE182+GF182)/4</f>
        <v>0.5</v>
      </c>
      <c r="GH182" s="9" t="n">
        <v>1</v>
      </c>
      <c r="GI182" s="9" t="n">
        <v>0</v>
      </c>
      <c r="GJ182" s="9" t="n">
        <v>1</v>
      </c>
      <c r="GK182" s="9" t="n">
        <v>1</v>
      </c>
      <c r="GL182" s="11" t="n">
        <f aca="false">(GH182+GI182+GJ182+GK182)/4</f>
        <v>0.75</v>
      </c>
      <c r="GM182" s="9" t="n">
        <v>52</v>
      </c>
      <c r="GN182" s="9" t="n">
        <v>78</v>
      </c>
      <c r="GO182" s="9" t="n">
        <v>12</v>
      </c>
      <c r="GP182" s="9" t="n">
        <v>63</v>
      </c>
      <c r="GQ182" s="11" t="n">
        <f aca="false">(GM182+GN182+GO182+GP182)/4</f>
        <v>51.25</v>
      </c>
      <c r="GR182" s="9" t="n">
        <v>64</v>
      </c>
      <c r="GS182" s="9" t="n">
        <v>23</v>
      </c>
      <c r="GT182" s="9" t="n">
        <v>14</v>
      </c>
      <c r="GU182" s="9" t="n">
        <v>12</v>
      </c>
      <c r="GV182" s="11" t="n">
        <f aca="false">(GR182+GS182+GT182+GU182)/4</f>
        <v>28.25</v>
      </c>
      <c r="GW182" s="9" t="n">
        <v>0</v>
      </c>
      <c r="GX182" s="9" t="n">
        <v>0</v>
      </c>
      <c r="GY182" s="9" t="n">
        <v>0</v>
      </c>
      <c r="GZ182" s="9" t="n">
        <v>0</v>
      </c>
      <c r="HA182" s="11" t="n">
        <f aca="false">(GW182+GX182+GY182+GZ182)/4</f>
        <v>0</v>
      </c>
      <c r="HB182" s="9" t="n">
        <f aca="false">(GW182/GR182)</f>
        <v>0</v>
      </c>
      <c r="HC182" s="9" t="n">
        <f aca="false">(GX182/GS182)</f>
        <v>0</v>
      </c>
      <c r="HD182" s="9" t="n">
        <f aca="false">(GY182/GT182)</f>
        <v>0</v>
      </c>
      <c r="HE182" s="9" t="n">
        <f aca="false">(GZ182/GU182)/4</f>
        <v>0</v>
      </c>
      <c r="HF182" s="9" t="n">
        <f aca="false">(HB182+HC182+HD182+HE182)/4</f>
        <v>0</v>
      </c>
      <c r="HG182" s="9" t="n">
        <f aca="false">(100*HF182)</f>
        <v>0</v>
      </c>
      <c r="HH182" s="18" t="n">
        <v>0</v>
      </c>
      <c r="HI182" s="9" t="n">
        <v>4</v>
      </c>
      <c r="HJ182" s="9" t="n">
        <v>5</v>
      </c>
      <c r="HK182" s="9" t="n">
        <v>0</v>
      </c>
      <c r="HL182" s="19" t="n">
        <v>0</v>
      </c>
      <c r="HM182" s="9" t="n">
        <f aca="false">(HI182+HJ182+HK182+HL182)/4</f>
        <v>2.25</v>
      </c>
      <c r="HN182" s="9" t="n">
        <f aca="false">(HI182/GR182)</f>
        <v>0.0625</v>
      </c>
      <c r="HO182" s="9" t="n">
        <f aca="false">(HJ182/GS182)</f>
        <v>0.217391304347826</v>
      </c>
      <c r="HP182" s="9" t="n">
        <f aca="false">(HK182/GT182)</f>
        <v>0</v>
      </c>
      <c r="HQ182" s="9" t="n">
        <f aca="false">(HL182/GU182)</f>
        <v>0</v>
      </c>
      <c r="HR182" s="9" t="n">
        <f aca="false">(HM182/GV182)</f>
        <v>0.079646017699115</v>
      </c>
      <c r="HS182" s="9" t="n">
        <f aca="false">(100*HR182)</f>
        <v>7.9646017699115</v>
      </c>
      <c r="HT182" s="18" t="n">
        <v>1</v>
      </c>
      <c r="HU182" s="9" t="n">
        <v>0</v>
      </c>
      <c r="HV182" s="9" t="n">
        <v>0</v>
      </c>
      <c r="HW182" s="9" t="n">
        <v>6</v>
      </c>
      <c r="HX182" s="19" t="n">
        <v>3</v>
      </c>
      <c r="HY182" s="9" t="n">
        <f aca="false">(HU182+HV182+HW182+HX182)/4</f>
        <v>2.25</v>
      </c>
      <c r="HZ182" s="9" t="n">
        <f aca="false">(HU182/GR182)</f>
        <v>0</v>
      </c>
      <c r="IA182" s="9" t="n">
        <f aca="false">HV182/GS182</f>
        <v>0</v>
      </c>
      <c r="IB182" s="9" t="n">
        <f aca="false">(HW182/GT182)</f>
        <v>0.428571428571429</v>
      </c>
      <c r="IC182" s="9" t="n">
        <f aca="false">(HX182/GU182)</f>
        <v>0.25</v>
      </c>
      <c r="ID182" s="9" t="n">
        <f aca="false">(HY182/GV182)</f>
        <v>0.079646017699115</v>
      </c>
      <c r="IE182" s="9" t="n">
        <f aca="false">(100*ID182)</f>
        <v>7.9646017699115</v>
      </c>
      <c r="IF182" s="18" t="n">
        <v>1</v>
      </c>
      <c r="IG182" s="9" t="n">
        <v>6</v>
      </c>
      <c r="IH182" s="9" t="n">
        <v>0</v>
      </c>
      <c r="II182" s="19" t="n">
        <v>0</v>
      </c>
      <c r="IJ182" s="9" t="n">
        <v>0</v>
      </c>
      <c r="IK182" s="9" t="n">
        <f aca="false">(IG182+IH182+II182+IJ182)/4</f>
        <v>1.5</v>
      </c>
      <c r="IL182" s="9" t="n">
        <f aca="false">(IG182/GM182)</f>
        <v>0.115384615384615</v>
      </c>
      <c r="IM182" s="9" t="n">
        <f aca="false">(IH182/GN182)</f>
        <v>0</v>
      </c>
      <c r="IN182" s="9" t="n">
        <f aca="false">(II182/GO182)</f>
        <v>0</v>
      </c>
      <c r="IO182" s="9" t="n">
        <f aca="false">(IJ182/GP182)</f>
        <v>0</v>
      </c>
      <c r="IP182" s="9" t="n">
        <f aca="false">(IK182/GQ182)</f>
        <v>0.0292682926829268</v>
      </c>
      <c r="IQ182" s="9" t="n">
        <f aca="false">(100*IP182)</f>
        <v>2.92682926829268</v>
      </c>
      <c r="IR182" s="18" t="n">
        <v>1</v>
      </c>
      <c r="IS182" s="9" t="n">
        <v>61.2</v>
      </c>
      <c r="IT182" s="9" t="n">
        <v>59.5</v>
      </c>
      <c r="IU182" s="19" t="n">
        <v>57.4</v>
      </c>
      <c r="IV182" s="9" t="n">
        <v>59.8</v>
      </c>
      <c r="IW182" s="9" t="n">
        <f aca="false">(IS182+IT182+IU182+IV182)/4</f>
        <v>59.475</v>
      </c>
      <c r="IX182" s="16" t="n">
        <v>45239</v>
      </c>
      <c r="IY182" s="10" t="s">
        <v>268</v>
      </c>
    </row>
    <row r="183" customFormat="false" ht="15.75" hidden="false" customHeight="true" outlineLevel="0" collapsed="false">
      <c r="A183" s="9" t="s">
        <v>343</v>
      </c>
      <c r="B183" s="10" t="s">
        <v>677</v>
      </c>
      <c r="C183" s="10" t="s">
        <v>626</v>
      </c>
      <c r="D183" s="9" t="n">
        <v>1</v>
      </c>
      <c r="E183" s="9" t="n">
        <v>61</v>
      </c>
      <c r="F183" s="10" t="s">
        <v>682</v>
      </c>
      <c r="G183" s="10" t="s">
        <v>320</v>
      </c>
      <c r="H183" s="9" t="n">
        <v>21</v>
      </c>
      <c r="I183" s="9" t="n">
        <v>9</v>
      </c>
      <c r="J183" s="12" t="s">
        <v>270</v>
      </c>
      <c r="K183" s="20"/>
      <c r="L183" s="20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 t="n">
        <v>0</v>
      </c>
      <c r="Y183" s="9" t="n">
        <v>0</v>
      </c>
      <c r="Z183" s="9" t="n">
        <v>0</v>
      </c>
      <c r="AA183" s="9" t="n">
        <v>0</v>
      </c>
      <c r="AB183" s="11" t="n">
        <f aca="false">(X183+Y183+Z183+AA183)/4</f>
        <v>0</v>
      </c>
      <c r="AC183" s="9" t="n">
        <v>1</v>
      </c>
      <c r="AD183" s="9" t="n">
        <v>1</v>
      </c>
      <c r="AE183" s="9" t="n">
        <v>1</v>
      </c>
      <c r="AF183" s="9" t="n">
        <v>1</v>
      </c>
      <c r="AG183" s="11" t="n">
        <f aca="false">(AC183+AD183+AE183+AF183)/4</f>
        <v>1</v>
      </c>
      <c r="AH183" s="9" t="n">
        <v>1</v>
      </c>
      <c r="AI183" s="9" t="n">
        <v>0</v>
      </c>
      <c r="AJ183" s="9" t="n">
        <v>1</v>
      </c>
      <c r="AK183" s="9" t="n">
        <v>0</v>
      </c>
      <c r="AL183" s="11" t="n">
        <f aca="false">(AH183+AI183+AJ183+AK183)/4</f>
        <v>0.5</v>
      </c>
      <c r="AM183" s="9" t="n">
        <v>8</v>
      </c>
      <c r="AN183" s="9" t="n">
        <v>0</v>
      </c>
      <c r="AO183" s="9" t="n">
        <v>38</v>
      </c>
      <c r="AP183" s="9" t="n">
        <v>0</v>
      </c>
      <c r="AQ183" s="11" t="n">
        <f aca="false">(AM183+AN183+AO183+AP183)/4</f>
        <v>11.5</v>
      </c>
      <c r="AR183" s="9" t="n">
        <v>12</v>
      </c>
      <c r="AS183" s="9" t="n">
        <v>21</v>
      </c>
      <c r="AT183" s="9" t="n">
        <v>38</v>
      </c>
      <c r="AU183" s="9" t="n">
        <v>18</v>
      </c>
      <c r="AV183" s="11" t="n">
        <f aca="false">(AR183+AS183+AT183+AU183)/4</f>
        <v>22.25</v>
      </c>
      <c r="AW183" s="9" t="n">
        <v>0</v>
      </c>
      <c r="AX183" s="9" t="n">
        <v>0</v>
      </c>
      <c r="AY183" s="9" t="n">
        <v>0</v>
      </c>
      <c r="AZ183" s="9" t="n">
        <v>0</v>
      </c>
      <c r="BA183" s="11" t="n">
        <f aca="false">(AW183+AX183+AY183+AZ183)/4</f>
        <v>0</v>
      </c>
      <c r="BB183" s="11" t="n">
        <f aca="false">(AW183/AR183)</f>
        <v>0</v>
      </c>
      <c r="BC183" s="11" t="n">
        <f aca="false">(AX183/AS183)</f>
        <v>0</v>
      </c>
      <c r="BD183" s="11" t="n">
        <f aca="false">(AY183/AT183)</f>
        <v>0</v>
      </c>
      <c r="BE183" s="11" t="n">
        <f aca="false">(AZ183/AU183)</f>
        <v>0</v>
      </c>
      <c r="BF183" s="11" t="n">
        <f aca="false">(BA183/AV183)</f>
        <v>0</v>
      </c>
      <c r="BG183" s="11" t="n">
        <f aca="false">(BF183*100)</f>
        <v>0</v>
      </c>
      <c r="BH183" s="9" t="n">
        <v>0</v>
      </c>
      <c r="BI183" s="9" t="n">
        <v>3</v>
      </c>
      <c r="BJ183" s="9" t="n">
        <v>3</v>
      </c>
      <c r="BK183" s="9" t="n">
        <v>6</v>
      </c>
      <c r="BL183" s="9" t="n">
        <v>3</v>
      </c>
      <c r="BM183" s="11" t="n">
        <f aca="false">(BI183+BJ183+BK183+BL183)/4</f>
        <v>3.75</v>
      </c>
      <c r="BN183" s="11" t="n">
        <f aca="false">(BI183/AR183)</f>
        <v>0.25</v>
      </c>
      <c r="BO183" s="11" t="n">
        <f aca="false">(BJ183/AS183)</f>
        <v>0.142857142857143</v>
      </c>
      <c r="BP183" s="11" t="n">
        <f aca="false">(BK183/AT183)</f>
        <v>0.157894736842105</v>
      </c>
      <c r="BQ183" s="11" t="n">
        <f aca="false">(BL183/AU183)</f>
        <v>0.166666666666667</v>
      </c>
      <c r="BR183" s="11" t="n">
        <f aca="false">(BM183/AV183)</f>
        <v>0.168539325842697</v>
      </c>
      <c r="BS183" s="11" t="n">
        <f aca="false">(100*BR183)</f>
        <v>16.8539325842697</v>
      </c>
      <c r="BT183" s="9" t="n">
        <v>2</v>
      </c>
      <c r="BU183" s="9" t="n">
        <v>0</v>
      </c>
      <c r="BV183" s="9" t="n">
        <v>0</v>
      </c>
      <c r="BW183" s="9" t="n">
        <v>4</v>
      </c>
      <c r="BX183" s="9" t="n">
        <v>0</v>
      </c>
      <c r="BY183" s="11" t="n">
        <f aca="false">(BU183+BV183+BW183+BX183)/4</f>
        <v>1</v>
      </c>
      <c r="BZ183" s="11" t="n">
        <f aca="false">(BU183/AR183)</f>
        <v>0</v>
      </c>
      <c r="CA183" s="11" t="n">
        <f aca="false">(BV183/AS183)</f>
        <v>0</v>
      </c>
      <c r="CB183" s="11" t="n">
        <f aca="false">(BW183/AT183)</f>
        <v>0.105263157894737</v>
      </c>
      <c r="CC183" s="11" t="n">
        <f aca="false">(BX183/AU183)</f>
        <v>0</v>
      </c>
      <c r="CD183" s="11" t="n">
        <f aca="false">(BY183/AV183)</f>
        <v>0.0449438202247191</v>
      </c>
      <c r="CE183" s="11" t="n">
        <f aca="false">(100*CD183)</f>
        <v>4.49438202247191</v>
      </c>
      <c r="CF183" s="9" t="n">
        <v>1</v>
      </c>
      <c r="CG183" s="9" t="n">
        <v>2</v>
      </c>
      <c r="CH183" s="9" t="n">
        <v>0</v>
      </c>
      <c r="CI183" s="9" t="n">
        <v>0</v>
      </c>
      <c r="CJ183" s="9" t="n">
        <v>0</v>
      </c>
      <c r="CK183" s="11" t="n">
        <f aca="false">(CG183+CH183+CI183+CJ183)/4</f>
        <v>0.5</v>
      </c>
      <c r="CL183" s="11" t="n">
        <f aca="false">(CG183/AM183)</f>
        <v>0.25</v>
      </c>
      <c r="CM183" s="11" t="e">
        <f aca="false">(CH183/AN183)</f>
        <v>#DIV/0!</v>
      </c>
      <c r="CN183" s="11" t="n">
        <f aca="false">(CI183/AO183)</f>
        <v>0</v>
      </c>
      <c r="CO183" s="9" t="e">
        <f aca="false">(CJ183/AP183)</f>
        <v>#DIV/0!</v>
      </c>
      <c r="CP183" s="9" t="n">
        <f aca="false">(CK183/AQ183)</f>
        <v>0.0434782608695652</v>
      </c>
      <c r="CQ183" s="9" t="n">
        <f aca="false">(100*CP183)</f>
        <v>4.34782608695652</v>
      </c>
      <c r="CR183" s="18" t="n">
        <v>1</v>
      </c>
      <c r="CS183" s="9" t="n">
        <v>60.9</v>
      </c>
      <c r="CT183" s="9" t="n">
        <v>61.7</v>
      </c>
      <c r="CU183" s="9" t="n">
        <v>68.4</v>
      </c>
      <c r="CV183" s="9" t="n">
        <v>58.7</v>
      </c>
      <c r="CW183" s="11" t="n">
        <f aca="false">(CS183+CT183+CU183+CV183)/4</f>
        <v>62.425</v>
      </c>
      <c r="CX183" s="9" t="n">
        <v>0</v>
      </c>
      <c r="CY183" s="9" t="n">
        <v>0</v>
      </c>
      <c r="CZ183" s="9" t="n">
        <v>0</v>
      </c>
      <c r="DA183" s="9" t="n">
        <v>0</v>
      </c>
      <c r="DB183" s="11" t="n">
        <f aca="false">(CX183+CY183+CZ183+DA183)/4</f>
        <v>0</v>
      </c>
      <c r="DC183" s="9" t="n">
        <v>1</v>
      </c>
      <c r="DD183" s="9" t="n">
        <v>1</v>
      </c>
      <c r="DE183" s="9" t="n">
        <v>1</v>
      </c>
      <c r="DF183" s="9" t="n">
        <v>1</v>
      </c>
      <c r="DG183" s="11" t="n">
        <f aca="false">(DC183+DD183+DE183+DF183)/4</f>
        <v>1</v>
      </c>
      <c r="DH183" s="9" t="n">
        <v>1</v>
      </c>
      <c r="DI183" s="9" t="n">
        <v>0</v>
      </c>
      <c r="DJ183" s="9" t="n">
        <v>1</v>
      </c>
      <c r="DK183" s="9" t="n">
        <v>0</v>
      </c>
      <c r="DL183" s="11" t="n">
        <f aca="false">(DH183+DI183+DJ183+DK183)/4</f>
        <v>0.5</v>
      </c>
      <c r="DM183" s="9" t="n">
        <v>85</v>
      </c>
      <c r="DN183" s="9" t="n">
        <v>0</v>
      </c>
      <c r="DO183" s="9" t="n">
        <v>27</v>
      </c>
      <c r="DP183" s="9" t="n">
        <v>0</v>
      </c>
      <c r="DQ183" s="11" t="n">
        <f aca="false">(DM183+DN183+DO183+DP183)/4</f>
        <v>28</v>
      </c>
      <c r="DR183" s="9" t="n">
        <v>18</v>
      </c>
      <c r="DS183" s="9" t="n">
        <v>10</v>
      </c>
      <c r="DT183" s="9" t="n">
        <v>29</v>
      </c>
      <c r="DU183" s="9" t="n">
        <v>10</v>
      </c>
      <c r="DV183" s="11" t="n">
        <f aca="false">(DR183+DS183+DT183+DU183)/4</f>
        <v>16.75</v>
      </c>
      <c r="DW183" s="9" t="n">
        <v>0</v>
      </c>
      <c r="DX183" s="9" t="n">
        <v>0</v>
      </c>
      <c r="DY183" s="9" t="n">
        <v>0</v>
      </c>
      <c r="DZ183" s="9" t="n">
        <v>0</v>
      </c>
      <c r="EA183" s="11" t="n">
        <f aca="false">(DW183+DX183+DY183+DZ183)/4</f>
        <v>0</v>
      </c>
      <c r="EB183" s="11" t="n">
        <f aca="false">(DW183/DR183)</f>
        <v>0</v>
      </c>
      <c r="EC183" s="11" t="n">
        <f aca="false">(DX183/DS183)</f>
        <v>0</v>
      </c>
      <c r="ED183" s="11" t="n">
        <f aca="false">(DY183/DT183)</f>
        <v>0</v>
      </c>
      <c r="EE183" s="11" t="n">
        <f aca="false">(DZ183/DU183)</f>
        <v>0</v>
      </c>
      <c r="EF183" s="11" t="n">
        <f aca="false">(EA183/DV183)</f>
        <v>0</v>
      </c>
      <c r="EG183" s="11" t="n">
        <f aca="false">(100*EF183)</f>
        <v>0</v>
      </c>
      <c r="EH183" s="9" t="n">
        <v>0</v>
      </c>
      <c r="EI183" s="9" t="n">
        <v>6</v>
      </c>
      <c r="EJ183" s="9" t="n">
        <v>4</v>
      </c>
      <c r="EK183" s="19" t="n">
        <v>3</v>
      </c>
      <c r="EL183" s="9" t="n">
        <v>2</v>
      </c>
      <c r="EM183" s="9" t="n">
        <f aca="false">(EI183+EJ183+EK183+EL183)/4</f>
        <v>3.75</v>
      </c>
      <c r="EN183" s="9" t="n">
        <f aca="false">(EI183/DR183)</f>
        <v>0.333333333333333</v>
      </c>
      <c r="EO183" s="9" t="n">
        <f aca="false">(EJ183/DS183)</f>
        <v>0.4</v>
      </c>
      <c r="EP183" s="9" t="n">
        <f aca="false">(EK183/DT183)</f>
        <v>0.103448275862069</v>
      </c>
      <c r="EQ183" s="9" t="n">
        <f aca="false">(EL183/DU183)</f>
        <v>0.2</v>
      </c>
      <c r="ER183" s="9" t="n">
        <f aca="false">EM183/DV183</f>
        <v>0.223880597014925</v>
      </c>
      <c r="ES183" s="9" t="n">
        <f aca="false">(100*ER183)</f>
        <v>22.3880597014925</v>
      </c>
      <c r="ET183" s="9" t="n">
        <v>2</v>
      </c>
      <c r="EU183" s="18" t="n">
        <v>3</v>
      </c>
      <c r="EV183" s="9" t="n">
        <v>0</v>
      </c>
      <c r="EW183" s="9" t="n">
        <v>0</v>
      </c>
      <c r="EX183" s="9" t="n">
        <v>0</v>
      </c>
      <c r="EY183" s="11" t="n">
        <f aca="false">(EU183+EV183+EW183+EX183)/4</f>
        <v>0.75</v>
      </c>
      <c r="EZ183" s="11" t="n">
        <f aca="false">(EU183/DR183)</f>
        <v>0.166666666666667</v>
      </c>
      <c r="FA183" s="11" t="n">
        <f aca="false">(EV183/DS183)</f>
        <v>0</v>
      </c>
      <c r="FB183" s="11" t="n">
        <f aca="false">(EW183/DT183)</f>
        <v>0</v>
      </c>
      <c r="FC183" s="11" t="n">
        <f aca="false">(EX183/DU183)</f>
        <v>0</v>
      </c>
      <c r="FD183" s="11" t="n">
        <f aca="false">(EY183/DV183)</f>
        <v>0.0447761194029851</v>
      </c>
      <c r="FE183" s="11" t="n">
        <f aca="false">(100*FD183)</f>
        <v>4.47761194029851</v>
      </c>
      <c r="FF183" s="9" t="n">
        <v>1</v>
      </c>
      <c r="FG183" s="9" t="n">
        <v>0</v>
      </c>
      <c r="FH183" s="9" t="n">
        <v>0</v>
      </c>
      <c r="FI183" s="9" t="n">
        <v>4</v>
      </c>
      <c r="FJ183" s="9" t="n">
        <v>0</v>
      </c>
      <c r="FK183" s="11" t="n">
        <f aca="false">(FG183+FH183+FI183+FJ183)/4</f>
        <v>1</v>
      </c>
      <c r="FL183" s="11" t="n">
        <f aca="false">(FG183/DR183)</f>
        <v>0</v>
      </c>
      <c r="FM183" s="11" t="n">
        <f aca="false">(FH183/DS183)</f>
        <v>0</v>
      </c>
      <c r="FN183" s="11" t="n">
        <f aca="false">(FI183/DT183)</f>
        <v>0.137931034482759</v>
      </c>
      <c r="FO183" s="11" t="n">
        <f aca="false">(FJ183/DU183)</f>
        <v>0</v>
      </c>
      <c r="FP183" s="11" t="n">
        <f aca="false">(FK183/DV183)</f>
        <v>0.0597014925373134</v>
      </c>
      <c r="FQ183" s="11" t="n">
        <f aca="false">(100*FP183)</f>
        <v>5.97014925373134</v>
      </c>
      <c r="FR183" s="9" t="n">
        <v>1</v>
      </c>
      <c r="FS183" s="9" t="n">
        <v>62.2</v>
      </c>
      <c r="FT183" s="9" t="n">
        <v>46.7</v>
      </c>
      <c r="FU183" s="9" t="n">
        <v>57</v>
      </c>
      <c r="FV183" s="9" t="n">
        <v>53.1</v>
      </c>
      <c r="FW183" s="11" t="n">
        <f aca="false">(FS183+FT183+FU183+FV183)/4</f>
        <v>54.75</v>
      </c>
      <c r="FX183" s="9" t="n">
        <v>0</v>
      </c>
      <c r="FY183" s="9" t="n">
        <v>0</v>
      </c>
      <c r="FZ183" s="9" t="n">
        <v>0</v>
      </c>
      <c r="GA183" s="9" t="n">
        <v>0</v>
      </c>
      <c r="GB183" s="11" t="n">
        <f aca="false">(FX183+FY183+FZ183+GA183)/4</f>
        <v>0</v>
      </c>
      <c r="GC183" s="9" t="n">
        <v>1</v>
      </c>
      <c r="GD183" s="9" t="n">
        <v>1</v>
      </c>
      <c r="GE183" s="9" t="n">
        <v>0</v>
      </c>
      <c r="GF183" s="9" t="n">
        <v>1</v>
      </c>
      <c r="GG183" s="11" t="n">
        <f aca="false">(GC183+GD183+GE183+GF183)/4</f>
        <v>0.75</v>
      </c>
      <c r="GH183" s="9" t="n">
        <v>1</v>
      </c>
      <c r="GI183" s="9" t="n">
        <v>1</v>
      </c>
      <c r="GJ183" s="9" t="n">
        <v>1</v>
      </c>
      <c r="GK183" s="9" t="n">
        <v>0</v>
      </c>
      <c r="GL183" s="11" t="n">
        <f aca="false">(GH183+GI183+GJ183+GK183)/4</f>
        <v>0.75</v>
      </c>
      <c r="GM183" s="9" t="n">
        <v>104</v>
      </c>
      <c r="GN183" s="9" t="n">
        <v>64</v>
      </c>
      <c r="GO183" s="9" t="n">
        <v>93</v>
      </c>
      <c r="GP183" s="9" t="n">
        <v>37</v>
      </c>
      <c r="GQ183" s="11" t="n">
        <f aca="false">(GM183+GN183+GO183+GP183)/4</f>
        <v>74.5</v>
      </c>
      <c r="GR183" s="9" t="n">
        <v>17</v>
      </c>
      <c r="GS183" s="9" t="n">
        <v>26</v>
      </c>
      <c r="GT183" s="9" t="n">
        <v>24</v>
      </c>
      <c r="GU183" s="9" t="n">
        <v>17</v>
      </c>
      <c r="GV183" s="11" t="n">
        <f aca="false">(GR183+GS183+GT183+GU183)/4</f>
        <v>21</v>
      </c>
      <c r="GW183" s="9" t="n">
        <v>0</v>
      </c>
      <c r="GX183" s="9" t="n">
        <v>0</v>
      </c>
      <c r="GY183" s="9" t="n">
        <v>0</v>
      </c>
      <c r="GZ183" s="9" t="n">
        <v>0</v>
      </c>
      <c r="HA183" s="11" t="n">
        <f aca="false">(GW183+GX183+GY183+GZ183)/4</f>
        <v>0</v>
      </c>
      <c r="HB183" s="9" t="n">
        <f aca="false">(GW183/GR183)</f>
        <v>0</v>
      </c>
      <c r="HC183" s="9" t="n">
        <f aca="false">(GX183/GS183)</f>
        <v>0</v>
      </c>
      <c r="HD183" s="9" t="n">
        <f aca="false">(GY183/GT183)</f>
        <v>0</v>
      </c>
      <c r="HE183" s="9" t="n">
        <f aca="false">(GZ183/GU183)/4</f>
        <v>0</v>
      </c>
      <c r="HF183" s="9" t="n">
        <f aca="false">(HB183+HC183+HD183+HE183)/4</f>
        <v>0</v>
      </c>
      <c r="HG183" s="9" t="n">
        <f aca="false">(100*HF183)</f>
        <v>0</v>
      </c>
      <c r="HH183" s="18" t="n">
        <v>0</v>
      </c>
      <c r="HI183" s="9" t="n">
        <v>3</v>
      </c>
      <c r="HJ183" s="9" t="n">
        <v>4</v>
      </c>
      <c r="HK183" s="9" t="n">
        <v>0</v>
      </c>
      <c r="HL183" s="19" t="n">
        <v>4</v>
      </c>
      <c r="HM183" s="9" t="n">
        <f aca="false">(HI183+HJ183+HK183+HL183)/4</f>
        <v>2.75</v>
      </c>
      <c r="HN183" s="9" t="n">
        <f aca="false">(HI183/GR183)</f>
        <v>0.176470588235294</v>
      </c>
      <c r="HO183" s="9" t="n">
        <f aca="false">(HJ183/GS183)</f>
        <v>0.153846153846154</v>
      </c>
      <c r="HP183" s="9" t="n">
        <f aca="false">(HK183/GT183)</f>
        <v>0</v>
      </c>
      <c r="HQ183" s="9" t="n">
        <f aca="false">(HL183/GU183)</f>
        <v>0.235294117647059</v>
      </c>
      <c r="HR183" s="9" t="n">
        <f aca="false">(HM183/GV183)</f>
        <v>0.130952380952381</v>
      </c>
      <c r="HS183" s="9" t="n">
        <f aca="false">(100*HR183)</f>
        <v>13.0952380952381</v>
      </c>
      <c r="HT183" s="18" t="n">
        <v>2</v>
      </c>
      <c r="HU183" s="9" t="n">
        <v>2</v>
      </c>
      <c r="HV183" s="9" t="n">
        <v>0</v>
      </c>
      <c r="HW183" s="9" t="n">
        <v>0</v>
      </c>
      <c r="HX183" s="19" t="n">
        <v>0</v>
      </c>
      <c r="HY183" s="9" t="n">
        <f aca="false">(HU183+HV183+HW183+HX183)/4</f>
        <v>0.5</v>
      </c>
      <c r="HZ183" s="9" t="n">
        <f aca="false">(HU183/GR183)</f>
        <v>0.117647058823529</v>
      </c>
      <c r="IA183" s="9" t="n">
        <f aca="false">HV183/GS183</f>
        <v>0</v>
      </c>
      <c r="IB183" s="9" t="n">
        <f aca="false">(HW183/GT183)</f>
        <v>0</v>
      </c>
      <c r="IC183" s="9" t="n">
        <f aca="false">(HX183/GU183)</f>
        <v>0</v>
      </c>
      <c r="ID183" s="9" t="n">
        <f aca="false">(HY183/GV183)</f>
        <v>0.0238095238095238</v>
      </c>
      <c r="IE183" s="9" t="n">
        <f aca="false">(100*ID183)</f>
        <v>2.38095238095238</v>
      </c>
      <c r="IF183" s="18" t="n">
        <v>1</v>
      </c>
      <c r="IG183" s="9" t="n">
        <v>0</v>
      </c>
      <c r="IH183" s="9" t="n">
        <v>4</v>
      </c>
      <c r="II183" s="19" t="n">
        <v>6</v>
      </c>
      <c r="IJ183" s="9" t="n">
        <v>0</v>
      </c>
      <c r="IK183" s="9" t="n">
        <f aca="false">(IG183+IH183+II183+IJ183)/4</f>
        <v>2.5</v>
      </c>
      <c r="IL183" s="9" t="n">
        <f aca="false">(IG183/GM183)</f>
        <v>0</v>
      </c>
      <c r="IM183" s="9" t="n">
        <f aca="false">(IH183/GN183)</f>
        <v>0.0625</v>
      </c>
      <c r="IN183" s="9" t="n">
        <f aca="false">(II183/GO183)</f>
        <v>0.0645161290322581</v>
      </c>
      <c r="IO183" s="9" t="n">
        <f aca="false">(IJ183/GP183)</f>
        <v>0</v>
      </c>
      <c r="IP183" s="9" t="n">
        <f aca="false">(IK183/GQ183)</f>
        <v>0.0335570469798658</v>
      </c>
      <c r="IQ183" s="9" t="n">
        <f aca="false">(100*IP183)</f>
        <v>3.35570469798658</v>
      </c>
      <c r="IR183" s="18" t="n">
        <v>1</v>
      </c>
      <c r="IS183" s="9" t="n">
        <v>60.1</v>
      </c>
      <c r="IT183" s="9" t="n">
        <v>63.8</v>
      </c>
      <c r="IU183" s="19" t="n">
        <v>71.4</v>
      </c>
      <c r="IV183" s="9" t="n">
        <v>54.7</v>
      </c>
      <c r="IW183" s="9" t="n">
        <f aca="false">(IS183+IT183+IU183+IV183)/4</f>
        <v>62.5</v>
      </c>
      <c r="IX183" s="16" t="n">
        <v>45239</v>
      </c>
      <c r="IY183" s="10" t="s">
        <v>268</v>
      </c>
    </row>
    <row r="184" customFormat="false" ht="15.75" hidden="false" customHeight="true" outlineLevel="0" collapsed="false">
      <c r="A184" s="9" t="s">
        <v>343</v>
      </c>
      <c r="B184" s="10" t="s">
        <v>677</v>
      </c>
      <c r="C184" s="10" t="s">
        <v>626</v>
      </c>
      <c r="D184" s="9" t="n">
        <v>1</v>
      </c>
      <c r="E184" s="9" t="n">
        <v>61</v>
      </c>
      <c r="F184" s="10" t="s">
        <v>683</v>
      </c>
      <c r="G184" s="10" t="s">
        <v>297</v>
      </c>
      <c r="H184" s="9" t="n">
        <v>21</v>
      </c>
      <c r="I184" s="9" t="n">
        <v>20</v>
      </c>
      <c r="J184" s="10" t="s">
        <v>272</v>
      </c>
      <c r="K184" s="20"/>
      <c r="L184" s="20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 t="n">
        <v>0</v>
      </c>
      <c r="Y184" s="9" t="n">
        <v>0</v>
      </c>
      <c r="Z184" s="9" t="n">
        <v>0</v>
      </c>
      <c r="AA184" s="9" t="n">
        <v>0</v>
      </c>
      <c r="AB184" s="11" t="n">
        <f aca="false">(X184+Y184+Z184+AA184)/4</f>
        <v>0</v>
      </c>
      <c r="AC184" s="9" t="n">
        <v>1</v>
      </c>
      <c r="AD184" s="9" t="n">
        <v>1</v>
      </c>
      <c r="AE184" s="9" t="n">
        <v>1</v>
      </c>
      <c r="AF184" s="9" t="n">
        <v>1</v>
      </c>
      <c r="AG184" s="11" t="n">
        <f aca="false">(AC184+AD184+AE184+AF184)/4</f>
        <v>1</v>
      </c>
      <c r="AH184" s="9" t="n">
        <v>1</v>
      </c>
      <c r="AI184" s="9" t="n">
        <v>0</v>
      </c>
      <c r="AJ184" s="9" t="n">
        <v>1</v>
      </c>
      <c r="AK184" s="9" t="n">
        <v>1</v>
      </c>
      <c r="AL184" s="11" t="n">
        <f aca="false">(AH184+AI184+AJ184+AK184)/4</f>
        <v>0.75</v>
      </c>
      <c r="AM184" s="9" t="n">
        <v>38</v>
      </c>
      <c r="AN184" s="9" t="n">
        <v>0</v>
      </c>
      <c r="AO184" s="9" t="n">
        <v>1</v>
      </c>
      <c r="AP184" s="9" t="n">
        <v>2</v>
      </c>
      <c r="AQ184" s="11" t="n">
        <f aca="false">(AM184+AN184+AO184+AP184)/4</f>
        <v>10.25</v>
      </c>
      <c r="AR184" s="9" t="n">
        <v>20</v>
      </c>
      <c r="AS184" s="9" t="n">
        <v>6</v>
      </c>
      <c r="AT184" s="9" t="n">
        <v>26</v>
      </c>
      <c r="AU184" s="9" t="n">
        <v>12</v>
      </c>
      <c r="AV184" s="11" t="n">
        <f aca="false">(AR184+AS184+AT184+AU184)/4</f>
        <v>16</v>
      </c>
      <c r="AW184" s="9" t="n">
        <v>0</v>
      </c>
      <c r="AX184" s="9" t="n">
        <v>0</v>
      </c>
      <c r="AY184" s="9" t="n">
        <v>0</v>
      </c>
      <c r="AZ184" s="9" t="n">
        <v>0</v>
      </c>
      <c r="BA184" s="11" t="n">
        <f aca="false">(AW184+AX184+AY184+AZ184)/4</f>
        <v>0</v>
      </c>
      <c r="BB184" s="11" t="n">
        <f aca="false">(AW184/AR184)</f>
        <v>0</v>
      </c>
      <c r="BC184" s="11" t="n">
        <f aca="false">(AX184/AS184)</f>
        <v>0</v>
      </c>
      <c r="BD184" s="11" t="n">
        <f aca="false">(AY184/AT184)</f>
        <v>0</v>
      </c>
      <c r="BE184" s="11" t="n">
        <f aca="false">(AZ184/AU184)</f>
        <v>0</v>
      </c>
      <c r="BF184" s="11" t="n">
        <f aca="false">(BA184/AV184)</f>
        <v>0</v>
      </c>
      <c r="BG184" s="11" t="n">
        <f aca="false">(BF184*100)</f>
        <v>0</v>
      </c>
      <c r="BH184" s="9" t="n">
        <v>0</v>
      </c>
      <c r="BI184" s="9" t="n">
        <v>1</v>
      </c>
      <c r="BJ184" s="9" t="n">
        <v>1</v>
      </c>
      <c r="BK184" s="9" t="n">
        <v>2</v>
      </c>
      <c r="BL184" s="9" t="n">
        <v>1</v>
      </c>
      <c r="BM184" s="11" t="n">
        <f aca="false">(BI184+BJ184+BK184+BL184)/4</f>
        <v>1.25</v>
      </c>
      <c r="BN184" s="11" t="n">
        <f aca="false">(BI184/AR184)</f>
        <v>0.05</v>
      </c>
      <c r="BO184" s="11" t="n">
        <f aca="false">(BJ184/AS184)</f>
        <v>0.166666666666667</v>
      </c>
      <c r="BP184" s="11" t="n">
        <f aca="false">(BK184/AT184)</f>
        <v>0.0769230769230769</v>
      </c>
      <c r="BQ184" s="11" t="n">
        <f aca="false">(BL184/AU184)</f>
        <v>0.0833333333333333</v>
      </c>
      <c r="BR184" s="11" t="n">
        <f aca="false">(BM184/AV184)</f>
        <v>0.078125</v>
      </c>
      <c r="BS184" s="11" t="n">
        <f aca="false">(100*BR184)</f>
        <v>7.8125</v>
      </c>
      <c r="BT184" s="9" t="n">
        <v>1</v>
      </c>
      <c r="BU184" s="9" t="n">
        <v>0</v>
      </c>
      <c r="BV184" s="9" t="n">
        <v>0</v>
      </c>
      <c r="BW184" s="9" t="n">
        <v>0</v>
      </c>
      <c r="BX184" s="9" t="n">
        <v>0</v>
      </c>
      <c r="BY184" s="11" t="n">
        <f aca="false">(BU184+BV184+BW184+BX184)/4</f>
        <v>0</v>
      </c>
      <c r="BZ184" s="11" t="n">
        <f aca="false">(BU184/AR184)</f>
        <v>0</v>
      </c>
      <c r="CA184" s="11" t="n">
        <f aca="false">(BV184/AS184)</f>
        <v>0</v>
      </c>
      <c r="CB184" s="11" t="n">
        <f aca="false">(BW184/AT184)</f>
        <v>0</v>
      </c>
      <c r="CC184" s="11" t="n">
        <f aca="false">(BX184/AU184)</f>
        <v>0</v>
      </c>
      <c r="CD184" s="11" t="n">
        <f aca="false">(BY184/AV184)</f>
        <v>0</v>
      </c>
      <c r="CE184" s="11" t="n">
        <f aca="false">(100*CD184)</f>
        <v>0</v>
      </c>
      <c r="CF184" s="9" t="n">
        <v>0</v>
      </c>
      <c r="CG184" s="9" t="n">
        <v>3</v>
      </c>
      <c r="CH184" s="9" t="n">
        <v>0</v>
      </c>
      <c r="CI184" s="9" t="n">
        <v>0</v>
      </c>
      <c r="CJ184" s="9" t="n">
        <v>0</v>
      </c>
      <c r="CK184" s="11" t="n">
        <f aca="false">(CG184+CH184+CI184+CJ184)/4</f>
        <v>0.75</v>
      </c>
      <c r="CL184" s="11" t="n">
        <f aca="false">(CG184/AM184)</f>
        <v>0.0789473684210526</v>
      </c>
      <c r="CM184" s="11" t="e">
        <f aca="false">(CH184/AN184)</f>
        <v>#DIV/0!</v>
      </c>
      <c r="CN184" s="11" t="n">
        <f aca="false">(CI184/AO184)</f>
        <v>0</v>
      </c>
      <c r="CO184" s="9" t="n">
        <f aca="false">(CJ184/AP184)</f>
        <v>0</v>
      </c>
      <c r="CP184" s="9" t="n">
        <f aca="false">(CK184/AQ184)</f>
        <v>0.0731707317073171</v>
      </c>
      <c r="CQ184" s="9" t="n">
        <f aca="false">(100*CP184)</f>
        <v>7.31707317073171</v>
      </c>
      <c r="CR184" s="18" t="n">
        <v>2</v>
      </c>
      <c r="CS184" s="9" t="n">
        <v>65.1</v>
      </c>
      <c r="CT184" s="9" t="n">
        <v>60.2</v>
      </c>
      <c r="CU184" s="9" t="n">
        <v>57.8</v>
      </c>
      <c r="CV184" s="9" t="n">
        <v>64.2</v>
      </c>
      <c r="CW184" s="11" t="n">
        <f aca="false">(CS184+CT184+CU184+CV184)/4</f>
        <v>61.825</v>
      </c>
      <c r="CX184" s="9" t="n">
        <v>0</v>
      </c>
      <c r="CY184" s="9" t="n">
        <v>0</v>
      </c>
      <c r="CZ184" s="9" t="n">
        <v>0</v>
      </c>
      <c r="DA184" s="9" t="n">
        <v>0</v>
      </c>
      <c r="DB184" s="11" t="n">
        <f aca="false">(CX184+CY184+CZ184+DA184)/4</f>
        <v>0</v>
      </c>
      <c r="DC184" s="9" t="n">
        <v>0</v>
      </c>
      <c r="DD184" s="9" t="n">
        <v>1</v>
      </c>
      <c r="DE184" s="9" t="n">
        <v>1</v>
      </c>
      <c r="DF184" s="9" t="n">
        <v>0</v>
      </c>
      <c r="DG184" s="11" t="n">
        <f aca="false">(DC184+DD184+DE184+DF184)/4</f>
        <v>0.5</v>
      </c>
      <c r="DH184" s="9" t="n">
        <v>0</v>
      </c>
      <c r="DI184" s="9" t="n">
        <v>0</v>
      </c>
      <c r="DJ184" s="9" t="n">
        <v>0</v>
      </c>
      <c r="DK184" s="9" t="n">
        <v>1</v>
      </c>
      <c r="DL184" s="11" t="n">
        <f aca="false">(DH184+DI184+DJ184+DK184)/4</f>
        <v>0.25</v>
      </c>
      <c r="DM184" s="9" t="n">
        <v>2</v>
      </c>
      <c r="DN184" s="9" t="n">
        <v>0</v>
      </c>
      <c r="DO184" s="9" t="n">
        <v>0</v>
      </c>
      <c r="DP184" s="9" t="n">
        <v>1</v>
      </c>
      <c r="DQ184" s="11" t="n">
        <f aca="false">(DM184+DN184+DO184+DP184)/4</f>
        <v>0.75</v>
      </c>
      <c r="DR184" s="9" t="n">
        <v>12</v>
      </c>
      <c r="DS184" s="9" t="n">
        <v>14</v>
      </c>
      <c r="DT184" s="9" t="n">
        <v>34</v>
      </c>
      <c r="DU184" s="9" t="n">
        <v>23</v>
      </c>
      <c r="DV184" s="11" t="n">
        <f aca="false">(DR184+DS184+DT184+DU184)/4</f>
        <v>20.75</v>
      </c>
      <c r="DW184" s="9" t="n">
        <v>0</v>
      </c>
      <c r="DX184" s="9" t="n">
        <v>0</v>
      </c>
      <c r="DY184" s="9" t="n">
        <v>0</v>
      </c>
      <c r="DZ184" s="9" t="n">
        <v>0</v>
      </c>
      <c r="EA184" s="11" t="n">
        <f aca="false">(DW184+DX184+DY184+DZ184)/4</f>
        <v>0</v>
      </c>
      <c r="EB184" s="11" t="n">
        <f aca="false">(DW184/DR184)</f>
        <v>0</v>
      </c>
      <c r="EC184" s="11" t="n">
        <f aca="false">(DX184/DS184)</f>
        <v>0</v>
      </c>
      <c r="ED184" s="11" t="n">
        <f aca="false">(DY184/DT184)</f>
        <v>0</v>
      </c>
      <c r="EE184" s="11" t="n">
        <f aca="false">(DZ184/DU184)</f>
        <v>0</v>
      </c>
      <c r="EF184" s="11" t="n">
        <f aca="false">(EA184/DV184)</f>
        <v>0</v>
      </c>
      <c r="EG184" s="11" t="n">
        <f aca="false">(100*EF184)</f>
        <v>0</v>
      </c>
      <c r="EH184" s="9" t="n">
        <v>0</v>
      </c>
      <c r="EI184" s="9" t="n">
        <v>0</v>
      </c>
      <c r="EJ184" s="9" t="n">
        <v>2</v>
      </c>
      <c r="EK184" s="19" t="n">
        <v>3</v>
      </c>
      <c r="EL184" s="9" t="n">
        <v>0</v>
      </c>
      <c r="EM184" s="9" t="n">
        <f aca="false">(EI184+EJ184+EK184+EL184)/4</f>
        <v>1.25</v>
      </c>
      <c r="EN184" s="9" t="n">
        <f aca="false">(EI184/DR184)</f>
        <v>0</v>
      </c>
      <c r="EO184" s="9" t="n">
        <f aca="false">(EJ184/DS184)</f>
        <v>0.142857142857143</v>
      </c>
      <c r="EP184" s="9" t="n">
        <f aca="false">(EK184/DT184)</f>
        <v>0.0882352941176471</v>
      </c>
      <c r="EQ184" s="9" t="n">
        <f aca="false">(EL184/DU184)</f>
        <v>0</v>
      </c>
      <c r="ER184" s="9" t="n">
        <f aca="false">EM184/DV184</f>
        <v>0.0602409638554217</v>
      </c>
      <c r="ES184" s="9" t="n">
        <f aca="false">(100*ER184)</f>
        <v>6.02409638554217</v>
      </c>
      <c r="ET184" s="9" t="n">
        <v>1</v>
      </c>
      <c r="EU184" s="18" t="n">
        <v>0</v>
      </c>
      <c r="EV184" s="9" t="n">
        <v>0</v>
      </c>
      <c r="EW184" s="9" t="n">
        <v>1</v>
      </c>
      <c r="EX184" s="9" t="n">
        <v>0</v>
      </c>
      <c r="EY184" s="11" t="n">
        <f aca="false">(EU184+EV184+EW184+EX184)/4</f>
        <v>0.25</v>
      </c>
      <c r="EZ184" s="11" t="n">
        <f aca="false">(EU184/DR184)</f>
        <v>0</v>
      </c>
      <c r="FA184" s="11" t="n">
        <f aca="false">(EV184/DS184)</f>
        <v>0</v>
      </c>
      <c r="FB184" s="11" t="n">
        <f aca="false">(EW184/DT184)</f>
        <v>0.0294117647058824</v>
      </c>
      <c r="FC184" s="11" t="n">
        <f aca="false">(EX184/DU184)</f>
        <v>0</v>
      </c>
      <c r="FD184" s="11" t="n">
        <f aca="false">(EY184/DV184)</f>
        <v>0.0120481927710843</v>
      </c>
      <c r="FE184" s="11" t="n">
        <f aca="false">(100*FD184)</f>
        <v>1.20481927710843</v>
      </c>
      <c r="FF184" s="9" t="n">
        <v>1</v>
      </c>
      <c r="FG184" s="9" t="n">
        <v>0</v>
      </c>
      <c r="FH184" s="9" t="n">
        <v>0</v>
      </c>
      <c r="FI184" s="9" t="n">
        <v>0</v>
      </c>
      <c r="FJ184" s="9" t="n">
        <v>0</v>
      </c>
      <c r="FK184" s="11" t="n">
        <f aca="false">(FG184+FH184+FI184+FJ184)/4</f>
        <v>0</v>
      </c>
      <c r="FL184" s="11" t="n">
        <f aca="false">(FG184/DR184)</f>
        <v>0</v>
      </c>
      <c r="FM184" s="11" t="n">
        <f aca="false">(FH184/DS184)</f>
        <v>0</v>
      </c>
      <c r="FN184" s="11" t="n">
        <f aca="false">(FI184/DT184)</f>
        <v>0</v>
      </c>
      <c r="FO184" s="11" t="n">
        <f aca="false">(FJ184/DU184)</f>
        <v>0</v>
      </c>
      <c r="FP184" s="11" t="n">
        <f aca="false">(FK184/DV184)</f>
        <v>0</v>
      </c>
      <c r="FQ184" s="11" t="n">
        <f aca="false">(100*FP184)</f>
        <v>0</v>
      </c>
      <c r="FR184" s="9" t="n">
        <v>0</v>
      </c>
      <c r="FS184" s="9" t="n">
        <v>71.5</v>
      </c>
      <c r="FT184" s="9" t="n">
        <v>68.8</v>
      </c>
      <c r="FU184" s="9" t="n">
        <v>54.9</v>
      </c>
      <c r="FV184" s="9" t="n">
        <v>74.6</v>
      </c>
      <c r="FW184" s="11" t="n">
        <f aca="false">(FS184+FT184+FU184+FV184)/4</f>
        <v>67.45</v>
      </c>
      <c r="FX184" s="9" t="n">
        <v>0</v>
      </c>
      <c r="FY184" s="9" t="n">
        <v>0</v>
      </c>
      <c r="FZ184" s="9" t="n">
        <v>0</v>
      </c>
      <c r="GA184" s="9" t="n">
        <v>0</v>
      </c>
      <c r="GB184" s="11" t="n">
        <f aca="false">(FX184+FY184+FZ184+GA184)/4</f>
        <v>0</v>
      </c>
      <c r="GC184" s="9" t="n">
        <v>0</v>
      </c>
      <c r="GD184" s="9" t="n">
        <v>1</v>
      </c>
      <c r="GE184" s="9" t="n">
        <v>0</v>
      </c>
      <c r="GF184" s="9" t="n">
        <v>1</v>
      </c>
      <c r="GG184" s="11" t="n">
        <f aca="false">(GC184+GD184+GE184+GF184)/4</f>
        <v>0.5</v>
      </c>
      <c r="GH184" s="9" t="n">
        <v>0</v>
      </c>
      <c r="GI184" s="9" t="n">
        <v>1</v>
      </c>
      <c r="GJ184" s="9" t="n">
        <v>0</v>
      </c>
      <c r="GK184" s="9" t="n">
        <v>0</v>
      </c>
      <c r="GL184" s="11" t="n">
        <f aca="false">(GH184+GI184+GJ184+GK184)/4</f>
        <v>0.25</v>
      </c>
      <c r="GM184" s="9" t="n">
        <v>20</v>
      </c>
      <c r="GN184" s="9" t="n">
        <v>8</v>
      </c>
      <c r="GO184" s="9" t="n">
        <v>16</v>
      </c>
      <c r="GP184" s="9" t="n">
        <v>6</v>
      </c>
      <c r="GQ184" s="11" t="n">
        <f aca="false">(GM184+GN184+GO184+GP184)/4</f>
        <v>12.5</v>
      </c>
      <c r="GR184" s="9" t="n">
        <v>17</v>
      </c>
      <c r="GS184" s="9" t="n">
        <v>32</v>
      </c>
      <c r="GT184" s="9" t="n">
        <v>0</v>
      </c>
      <c r="GU184" s="9" t="n">
        <v>1</v>
      </c>
      <c r="GV184" s="11" t="n">
        <f aca="false">(GR184+GS184+GT184+GU184)/4</f>
        <v>12.5</v>
      </c>
      <c r="GW184" s="9" t="n">
        <v>0</v>
      </c>
      <c r="GX184" s="9" t="n">
        <v>0</v>
      </c>
      <c r="GY184" s="9" t="n">
        <v>0</v>
      </c>
      <c r="GZ184" s="9" t="n">
        <v>0</v>
      </c>
      <c r="HA184" s="11" t="n">
        <f aca="false">(GW184+GX184+GY184+GZ184)/4</f>
        <v>0</v>
      </c>
      <c r="HB184" s="9" t="n">
        <f aca="false">(GW184/GR184)</f>
        <v>0</v>
      </c>
      <c r="HC184" s="9" t="n">
        <f aca="false">(GX184/GS184)</f>
        <v>0</v>
      </c>
      <c r="HD184" s="9" t="e">
        <f aca="false">(GY184/GT184)</f>
        <v>#DIV/0!</v>
      </c>
      <c r="HE184" s="9" t="n">
        <f aca="false">(GZ184/GU184)/4</f>
        <v>0</v>
      </c>
      <c r="HF184" s="9" t="e">
        <f aca="false">(HB184+HC184+HD184+HE184)/4</f>
        <v>#DIV/0!</v>
      </c>
      <c r="HG184" s="9" t="e">
        <f aca="false">(100*HF184)</f>
        <v>#DIV/0!</v>
      </c>
      <c r="HH184" s="18"/>
      <c r="HI184" s="9" t="n">
        <v>0</v>
      </c>
      <c r="HJ184" s="9" t="n">
        <v>2</v>
      </c>
      <c r="HK184" s="9" t="n">
        <v>0</v>
      </c>
      <c r="HL184" s="19" t="n">
        <v>0</v>
      </c>
      <c r="HM184" s="9" t="n">
        <f aca="false">(HI184+HJ184+HK184+HL184)/4</f>
        <v>0.5</v>
      </c>
      <c r="HN184" s="9" t="n">
        <f aca="false">(HI184/GR184)</f>
        <v>0</v>
      </c>
      <c r="HO184" s="9" t="n">
        <f aca="false">(HJ184/GS184)</f>
        <v>0.0625</v>
      </c>
      <c r="HP184" s="9" t="e">
        <f aca="false">(HK184/GT184)</f>
        <v>#DIV/0!</v>
      </c>
      <c r="HQ184" s="9" t="n">
        <f aca="false">(HL184/GU184)</f>
        <v>0</v>
      </c>
      <c r="HR184" s="9" t="n">
        <f aca="false">(HM184/GV184)</f>
        <v>0.04</v>
      </c>
      <c r="HS184" s="9" t="n">
        <f aca="false">(100*HR184)</f>
        <v>4</v>
      </c>
      <c r="HT184" s="18" t="n">
        <v>1</v>
      </c>
      <c r="HU184" s="9" t="n">
        <v>2</v>
      </c>
      <c r="HV184" s="9" t="n">
        <v>0</v>
      </c>
      <c r="HW184" s="9" t="n">
        <v>0</v>
      </c>
      <c r="HX184" s="19" t="n">
        <v>0</v>
      </c>
      <c r="HY184" s="9" t="n">
        <f aca="false">(HU184+HV184+HW184+HX184)/4</f>
        <v>0.5</v>
      </c>
      <c r="HZ184" s="9" t="n">
        <f aca="false">(HU184/GR184)</f>
        <v>0.117647058823529</v>
      </c>
      <c r="IA184" s="9" t="n">
        <f aca="false">HV184/GS184</f>
        <v>0</v>
      </c>
      <c r="IB184" s="9" t="e">
        <f aca="false">(HW184/GT184)</f>
        <v>#DIV/0!</v>
      </c>
      <c r="IC184" s="9" t="n">
        <f aca="false">(HX184/GU184)</f>
        <v>0</v>
      </c>
      <c r="ID184" s="9" t="n">
        <f aca="false">(HY184/GV184)</f>
        <v>0.04</v>
      </c>
      <c r="IE184" s="9" t="n">
        <f aca="false">(100*ID184)</f>
        <v>4</v>
      </c>
      <c r="IF184" s="18" t="n">
        <v>1</v>
      </c>
      <c r="IG184" s="9" t="n">
        <v>0</v>
      </c>
      <c r="IH184" s="9" t="n">
        <v>0</v>
      </c>
      <c r="II184" s="19" t="n">
        <v>0</v>
      </c>
      <c r="IJ184" s="9" t="n">
        <v>0</v>
      </c>
      <c r="IK184" s="9" t="n">
        <f aca="false">(IG184+IH184+II184+IJ184)/4</f>
        <v>0</v>
      </c>
      <c r="IL184" s="9" t="n">
        <f aca="false">(IG184/GM184)</f>
        <v>0</v>
      </c>
      <c r="IM184" s="9" t="n">
        <f aca="false">(IH184/GN184)</f>
        <v>0</v>
      </c>
      <c r="IN184" s="9" t="n">
        <f aca="false">(II184/GO184)</f>
        <v>0</v>
      </c>
      <c r="IO184" s="9" t="n">
        <f aca="false">(IJ184/GP184)</f>
        <v>0</v>
      </c>
      <c r="IP184" s="9" t="n">
        <f aca="false">(IK184/GQ184)</f>
        <v>0</v>
      </c>
      <c r="IQ184" s="9" t="n">
        <f aca="false">(100*IP184)</f>
        <v>0</v>
      </c>
      <c r="IR184" s="18" t="n">
        <v>0</v>
      </c>
      <c r="IS184" s="9" t="n">
        <v>69.8</v>
      </c>
      <c r="IT184" s="9" t="n">
        <v>66.7</v>
      </c>
      <c r="IU184" s="19" t="n">
        <v>66.3</v>
      </c>
      <c r="IV184" s="9" t="n">
        <v>63.4</v>
      </c>
      <c r="IW184" s="9" t="n">
        <f aca="false">(IS184+IT184+IU184+IV184)/4</f>
        <v>66.55</v>
      </c>
      <c r="IX184" s="16" t="n">
        <v>45239</v>
      </c>
      <c r="IY184" s="10" t="s">
        <v>268</v>
      </c>
    </row>
    <row r="185" customFormat="false" ht="15.75" hidden="false" customHeight="true" outlineLevel="0" collapsed="false">
      <c r="A185" s="9" t="s">
        <v>343</v>
      </c>
      <c r="B185" s="10" t="s">
        <v>684</v>
      </c>
      <c r="C185" s="10" t="s">
        <v>626</v>
      </c>
      <c r="D185" s="9" t="n">
        <v>2</v>
      </c>
      <c r="E185" s="9" t="n">
        <v>62</v>
      </c>
      <c r="F185" s="10" t="s">
        <v>685</v>
      </c>
      <c r="G185" s="10" t="s">
        <v>320</v>
      </c>
      <c r="H185" s="9" t="n">
        <v>21</v>
      </c>
      <c r="I185" s="9" t="n">
        <v>4</v>
      </c>
      <c r="J185" s="12" t="s">
        <v>264</v>
      </c>
      <c r="K185" s="13" t="s">
        <v>686</v>
      </c>
      <c r="L185" s="13" t="s">
        <v>687</v>
      </c>
      <c r="M185" s="32" t="n">
        <v>1312</v>
      </c>
      <c r="N185" s="15" t="n">
        <v>45155</v>
      </c>
      <c r="O185" s="10" t="s">
        <v>294</v>
      </c>
      <c r="P185" s="9"/>
      <c r="Q185" s="9" t="n">
        <v>2.14</v>
      </c>
      <c r="R185" s="9" t="n">
        <v>12</v>
      </c>
      <c r="S185" s="9" t="n">
        <v>-15</v>
      </c>
      <c r="T185" s="9" t="n">
        <v>110</v>
      </c>
      <c r="U185" s="9"/>
      <c r="V185" s="9" t="n">
        <f aca="false">(19.5/100)</f>
        <v>0.195</v>
      </c>
      <c r="W185" s="9" t="s">
        <v>688</v>
      </c>
      <c r="X185" s="9" t="n">
        <v>0</v>
      </c>
      <c r="Y185" s="9" t="n">
        <v>0</v>
      </c>
      <c r="Z185" s="9" t="n">
        <v>0</v>
      </c>
      <c r="AA185" s="9" t="n">
        <v>0</v>
      </c>
      <c r="AB185" s="11" t="n">
        <f aca="false">(X185+Y185+Z185+AA185)/4</f>
        <v>0</v>
      </c>
      <c r="AC185" s="9" t="n">
        <v>1</v>
      </c>
      <c r="AD185" s="9" t="n">
        <v>1</v>
      </c>
      <c r="AE185" s="9" t="n">
        <v>1</v>
      </c>
      <c r="AF185" s="9" t="n">
        <v>1</v>
      </c>
      <c r="AG185" s="11" t="n">
        <f aca="false">(AC185+AD185+AE185+AF185)/4</f>
        <v>1</v>
      </c>
      <c r="AH185" s="9" t="n">
        <v>1</v>
      </c>
      <c r="AI185" s="9" t="n">
        <v>1</v>
      </c>
      <c r="AJ185" s="9" t="n">
        <v>1</v>
      </c>
      <c r="AK185" s="9" t="n">
        <v>1</v>
      </c>
      <c r="AL185" s="11" t="n">
        <f aca="false">(AH185+AI185+AJ185+AK185)/4</f>
        <v>1</v>
      </c>
      <c r="AM185" s="9" t="n">
        <v>16</v>
      </c>
      <c r="AN185" s="9" t="n">
        <v>16</v>
      </c>
      <c r="AO185" s="9" t="n">
        <v>37</v>
      </c>
      <c r="AP185" s="9" t="n">
        <v>68</v>
      </c>
      <c r="AQ185" s="11" t="n">
        <f aca="false">(AM185+AN185+AO185+AP185)/4</f>
        <v>34.25</v>
      </c>
      <c r="AR185" s="9" t="n">
        <v>9</v>
      </c>
      <c r="AS185" s="9" t="n">
        <v>8</v>
      </c>
      <c r="AT185" s="9" t="n">
        <v>11</v>
      </c>
      <c r="AU185" s="9" t="n">
        <v>9</v>
      </c>
      <c r="AV185" s="11" t="n">
        <f aca="false">(AR185+AS185+AT185+AU185)/4</f>
        <v>9.25</v>
      </c>
      <c r="AW185" s="9" t="n">
        <v>0</v>
      </c>
      <c r="AX185" s="9" t="n">
        <v>0</v>
      </c>
      <c r="AY185" s="9" t="n">
        <v>0</v>
      </c>
      <c r="AZ185" s="9" t="n">
        <v>0</v>
      </c>
      <c r="BA185" s="11" t="n">
        <f aca="false">(AW185+AX185+AY185+AZ185)/4</f>
        <v>0</v>
      </c>
      <c r="BB185" s="11" t="n">
        <f aca="false">(AW185/AR185)</f>
        <v>0</v>
      </c>
      <c r="BC185" s="11" t="n">
        <f aca="false">(AX185/AS185)</f>
        <v>0</v>
      </c>
      <c r="BD185" s="11" t="n">
        <f aca="false">(AY185/AT185)</f>
        <v>0</v>
      </c>
      <c r="BE185" s="11" t="n">
        <f aca="false">(AZ185/AU185)</f>
        <v>0</v>
      </c>
      <c r="BF185" s="11" t="n">
        <f aca="false">(BA185/AV185)</f>
        <v>0</v>
      </c>
      <c r="BG185" s="11" t="n">
        <f aca="false">(BF185*100)</f>
        <v>0</v>
      </c>
      <c r="BH185" s="9" t="n">
        <v>0</v>
      </c>
      <c r="BI185" s="9" t="n">
        <v>1</v>
      </c>
      <c r="BJ185" s="9" t="n">
        <v>2</v>
      </c>
      <c r="BK185" s="9" t="n">
        <v>3</v>
      </c>
      <c r="BL185" s="9" t="n">
        <v>2</v>
      </c>
      <c r="BM185" s="11" t="n">
        <f aca="false">(BI185+BJ185+BK185+BL185)/4</f>
        <v>2</v>
      </c>
      <c r="BN185" s="11" t="n">
        <f aca="false">(BI185/AR185)</f>
        <v>0.111111111111111</v>
      </c>
      <c r="BO185" s="11" t="n">
        <f aca="false">(BJ185/AS185)</f>
        <v>0.25</v>
      </c>
      <c r="BP185" s="11" t="n">
        <f aca="false">(BK185/AT185)</f>
        <v>0.272727272727273</v>
      </c>
      <c r="BQ185" s="11" t="n">
        <f aca="false">(BL185/AU185)</f>
        <v>0.222222222222222</v>
      </c>
      <c r="BR185" s="11" t="n">
        <f aca="false">(BM185/AV185)</f>
        <v>0.216216216216216</v>
      </c>
      <c r="BS185" s="11" t="n">
        <f aca="false">(100*BR185)</f>
        <v>21.6216216216216</v>
      </c>
      <c r="BT185" s="9" t="n">
        <v>2</v>
      </c>
      <c r="BU185" s="9" t="n">
        <v>0</v>
      </c>
      <c r="BV185" s="9" t="n">
        <v>0</v>
      </c>
      <c r="BW185" s="9" t="n">
        <v>0</v>
      </c>
      <c r="BX185" s="9" t="n">
        <v>0</v>
      </c>
      <c r="BY185" s="11" t="n">
        <f aca="false">(BU185+BV185+BW185+BX185)/4</f>
        <v>0</v>
      </c>
      <c r="BZ185" s="11" t="n">
        <f aca="false">(BU185/AR185)</f>
        <v>0</v>
      </c>
      <c r="CA185" s="11" t="n">
        <f aca="false">(BV185/AS185)</f>
        <v>0</v>
      </c>
      <c r="CB185" s="11" t="n">
        <f aca="false">(BW185/AT185)</f>
        <v>0</v>
      </c>
      <c r="CC185" s="11" t="n">
        <f aca="false">(BX185/AU185)</f>
        <v>0</v>
      </c>
      <c r="CD185" s="11" t="n">
        <f aca="false">(BY185/AV185)</f>
        <v>0</v>
      </c>
      <c r="CE185" s="11" t="n">
        <f aca="false">(100*CD185)</f>
        <v>0</v>
      </c>
      <c r="CF185" s="9" t="n">
        <v>0</v>
      </c>
      <c r="CG185" s="9" t="n">
        <v>4</v>
      </c>
      <c r="CH185" s="9" t="n">
        <v>3</v>
      </c>
      <c r="CI185" s="9" t="n">
        <v>8</v>
      </c>
      <c r="CJ185" s="9" t="n">
        <v>14</v>
      </c>
      <c r="CK185" s="11" t="n">
        <f aca="false">(CG185+CH185+CI185+CJ185)/4</f>
        <v>7.25</v>
      </c>
      <c r="CL185" s="11" t="n">
        <f aca="false">(CG185/AM185)</f>
        <v>0.25</v>
      </c>
      <c r="CM185" s="11" t="n">
        <f aca="false">(CH185/AN185)</f>
        <v>0.1875</v>
      </c>
      <c r="CN185" s="11" t="n">
        <f aca="false">(CI185/AO185)</f>
        <v>0.216216216216216</v>
      </c>
      <c r="CO185" s="9" t="n">
        <f aca="false">(CJ185/AP185)</f>
        <v>0.205882352941176</v>
      </c>
      <c r="CP185" s="9" t="n">
        <f aca="false">(CK185/AQ185)</f>
        <v>0.211678832116788</v>
      </c>
      <c r="CQ185" s="9" t="n">
        <f aca="false">(100*CP185)</f>
        <v>21.1678832116788</v>
      </c>
      <c r="CR185" s="18" t="n">
        <v>2</v>
      </c>
      <c r="CS185" s="9" t="n">
        <v>48.9</v>
      </c>
      <c r="CT185" s="9" t="n">
        <v>46.9</v>
      </c>
      <c r="CU185" s="9" t="n">
        <v>55.6</v>
      </c>
      <c r="CV185" s="9" t="n">
        <v>63.9</v>
      </c>
      <c r="CW185" s="11" t="n">
        <f aca="false">(CS185+CT185+CU185+CV185)/4</f>
        <v>53.825</v>
      </c>
      <c r="CX185" s="9" t="n">
        <v>0</v>
      </c>
      <c r="CY185" s="9" t="n">
        <v>0</v>
      </c>
      <c r="CZ185" s="9" t="n">
        <v>0</v>
      </c>
      <c r="DA185" s="9" t="n">
        <v>0</v>
      </c>
      <c r="DB185" s="11" t="n">
        <f aca="false">(CX185+CY185+CZ185+DA185)/4</f>
        <v>0</v>
      </c>
      <c r="DC185" s="9" t="n">
        <v>1</v>
      </c>
      <c r="DD185" s="9" t="n">
        <v>1</v>
      </c>
      <c r="DE185" s="9" t="n">
        <v>1</v>
      </c>
      <c r="DF185" s="9" t="n">
        <v>1</v>
      </c>
      <c r="DG185" s="11" t="n">
        <f aca="false">(DC185+DD185+DE185+DF185)/4</f>
        <v>1</v>
      </c>
      <c r="DH185" s="9" t="n">
        <v>1</v>
      </c>
      <c r="DI185" s="9" t="n">
        <v>1</v>
      </c>
      <c r="DJ185" s="9" t="n">
        <v>1</v>
      </c>
      <c r="DK185" s="9" t="n">
        <v>1</v>
      </c>
      <c r="DL185" s="11" t="n">
        <f aca="false">(DH185+DI185+DJ185+DK185)/4</f>
        <v>1</v>
      </c>
      <c r="DM185" s="9" t="n">
        <v>65</v>
      </c>
      <c r="DN185" s="9" t="n">
        <v>68</v>
      </c>
      <c r="DO185" s="9" t="n">
        <v>7</v>
      </c>
      <c r="DP185" s="9" t="n">
        <v>85</v>
      </c>
      <c r="DQ185" s="11" t="n">
        <f aca="false">(DM185+DN185+DO185+DP185)/4</f>
        <v>56.25</v>
      </c>
      <c r="DR185" s="9" t="n">
        <v>12</v>
      </c>
      <c r="DS185" s="9" t="n">
        <v>16</v>
      </c>
      <c r="DT185" s="9" t="n">
        <v>11</v>
      </c>
      <c r="DU185" s="9" t="n">
        <v>17</v>
      </c>
      <c r="DV185" s="11" t="n">
        <f aca="false">(DR185+DS185+DT185+DU185)/4</f>
        <v>14</v>
      </c>
      <c r="DW185" s="9" t="n">
        <v>0</v>
      </c>
      <c r="DX185" s="9" t="n">
        <v>0</v>
      </c>
      <c r="DY185" s="9" t="n">
        <v>0</v>
      </c>
      <c r="DZ185" s="9" t="n">
        <v>0</v>
      </c>
      <c r="EA185" s="11" t="n">
        <f aca="false">(DW185+DX185+DY185+DZ185)/4</f>
        <v>0</v>
      </c>
      <c r="EB185" s="11" t="n">
        <f aca="false">(DW185/DR185)</f>
        <v>0</v>
      </c>
      <c r="EC185" s="11" t="n">
        <f aca="false">(DX185/DS185)</f>
        <v>0</v>
      </c>
      <c r="ED185" s="11" t="n">
        <f aca="false">(DY185/DT185)</f>
        <v>0</v>
      </c>
      <c r="EE185" s="11" t="n">
        <f aca="false">(DZ185/DU185)</f>
        <v>0</v>
      </c>
      <c r="EF185" s="11" t="n">
        <f aca="false">(EA185/DV185)</f>
        <v>0</v>
      </c>
      <c r="EG185" s="11" t="n">
        <f aca="false">(100*EF185)</f>
        <v>0</v>
      </c>
      <c r="EH185" s="9" t="n">
        <v>0</v>
      </c>
      <c r="EI185" s="9" t="n">
        <v>5</v>
      </c>
      <c r="EJ185" s="9" t="n">
        <v>2</v>
      </c>
      <c r="EK185" s="19" t="n">
        <v>2</v>
      </c>
      <c r="EL185" s="9" t="n">
        <v>1</v>
      </c>
      <c r="EM185" s="9" t="n">
        <f aca="false">(EI185+EJ185+EK185+EL185)/4</f>
        <v>2.5</v>
      </c>
      <c r="EN185" s="9" t="n">
        <f aca="false">(EI185/DR185)</f>
        <v>0.416666666666667</v>
      </c>
      <c r="EO185" s="9" t="n">
        <f aca="false">(EJ185/DS185)</f>
        <v>0.125</v>
      </c>
      <c r="EP185" s="9" t="n">
        <f aca="false">(EK185/DT185)</f>
        <v>0.181818181818182</v>
      </c>
      <c r="EQ185" s="9" t="n">
        <f aca="false">(EL185/DU185)</f>
        <v>0.0588235294117647</v>
      </c>
      <c r="ER185" s="9" t="n">
        <f aca="false">EM185/DV185</f>
        <v>0.178571428571429</v>
      </c>
      <c r="ES185" s="9" t="n">
        <f aca="false">(100*ER185)</f>
        <v>17.8571428571429</v>
      </c>
      <c r="ET185" s="9" t="n">
        <v>2</v>
      </c>
      <c r="EU185" s="18" t="n">
        <v>0</v>
      </c>
      <c r="EV185" s="9" t="n">
        <v>0</v>
      </c>
      <c r="EW185" s="9" t="n">
        <v>0</v>
      </c>
      <c r="EX185" s="9" t="n">
        <v>3</v>
      </c>
      <c r="EY185" s="11" t="n">
        <f aca="false">(EU185+EV185+EW185+EX185)/4</f>
        <v>0.75</v>
      </c>
      <c r="EZ185" s="11" t="n">
        <f aca="false">(EU185/DR185)</f>
        <v>0</v>
      </c>
      <c r="FA185" s="11" t="n">
        <f aca="false">(EV185/DS185)</f>
        <v>0</v>
      </c>
      <c r="FB185" s="11" t="n">
        <f aca="false">(EW185/DT185)</f>
        <v>0</v>
      </c>
      <c r="FC185" s="11" t="n">
        <f aca="false">(EX185/DU185)</f>
        <v>0.176470588235294</v>
      </c>
      <c r="FD185" s="11" t="n">
        <f aca="false">(EY185/DV185)</f>
        <v>0.0535714285714286</v>
      </c>
      <c r="FE185" s="11" t="n">
        <f aca="false">(100*FD185)</f>
        <v>5.35714285714286</v>
      </c>
      <c r="FF185" s="9" t="n">
        <v>1</v>
      </c>
      <c r="FG185" s="9" t="n">
        <v>2</v>
      </c>
      <c r="FH185" s="9" t="n">
        <v>3</v>
      </c>
      <c r="FI185" s="9" t="n">
        <v>5</v>
      </c>
      <c r="FJ185" s="9" t="n">
        <v>7</v>
      </c>
      <c r="FK185" s="11" t="n">
        <f aca="false">(FG185+FH185+FI185+FJ185)/4</f>
        <v>4.25</v>
      </c>
      <c r="FL185" s="11" t="n">
        <f aca="false">(FG185/DR185)</f>
        <v>0.166666666666667</v>
      </c>
      <c r="FM185" s="11" t="n">
        <f aca="false">(FH185/DS185)</f>
        <v>0.1875</v>
      </c>
      <c r="FN185" s="11" t="n">
        <f aca="false">(FI185/DT185)</f>
        <v>0.454545454545455</v>
      </c>
      <c r="FO185" s="11" t="n">
        <f aca="false">(FJ185/DU185)</f>
        <v>0.411764705882353</v>
      </c>
      <c r="FP185" s="11" t="n">
        <f aca="false">(FK185/DV185)</f>
        <v>0.303571428571429</v>
      </c>
      <c r="FQ185" s="11" t="n">
        <f aca="false">(100*FP185)</f>
        <v>30.3571428571429</v>
      </c>
      <c r="FR185" s="9" t="n">
        <v>3</v>
      </c>
      <c r="FS185" s="9" t="n">
        <v>52.8</v>
      </c>
      <c r="FT185" s="9" t="n">
        <v>61.1</v>
      </c>
      <c r="FU185" s="9" t="n">
        <v>55.8</v>
      </c>
      <c r="FV185" s="9" t="n">
        <v>54.4</v>
      </c>
      <c r="FW185" s="11" t="n">
        <f aca="false">(FS185+FT185+FU185+FV185)/4</f>
        <v>56.025</v>
      </c>
      <c r="FX185" s="9" t="n">
        <v>0</v>
      </c>
      <c r="FY185" s="9" t="n">
        <v>0</v>
      </c>
      <c r="FZ185" s="9" t="n">
        <v>0</v>
      </c>
      <c r="GA185" s="9" t="n">
        <v>0</v>
      </c>
      <c r="GB185" s="11" t="n">
        <f aca="false">(FX185+FY185+FZ185+GA185)/4</f>
        <v>0</v>
      </c>
      <c r="GC185" s="9" t="n">
        <v>1</v>
      </c>
      <c r="GD185" s="9" t="n">
        <v>1</v>
      </c>
      <c r="GE185" s="9" t="n">
        <v>0</v>
      </c>
      <c r="GF185" s="9" t="n">
        <v>1</v>
      </c>
      <c r="GG185" s="11" t="n">
        <f aca="false">(GC185+GD185+GE185+GF185)/4</f>
        <v>0.75</v>
      </c>
      <c r="GH185" s="9" t="n">
        <v>1</v>
      </c>
      <c r="GI185" s="9" t="n">
        <v>0</v>
      </c>
      <c r="GJ185" s="9" t="n">
        <v>0</v>
      </c>
      <c r="GK185" s="9" t="n">
        <v>1</v>
      </c>
      <c r="GL185" s="11" t="n">
        <f aca="false">(GH185+GI185+GJ185+GK185)/4</f>
        <v>0.5</v>
      </c>
      <c r="GM185" s="9" t="n">
        <v>94</v>
      </c>
      <c r="GN185" s="9" t="n">
        <v>53</v>
      </c>
      <c r="GO185" s="9" t="n">
        <v>0</v>
      </c>
      <c r="GP185" s="9" t="n">
        <v>83</v>
      </c>
      <c r="GQ185" s="11" t="n">
        <f aca="false">(GM185+GN185+GO185+GP185)/4</f>
        <v>57.5</v>
      </c>
      <c r="GR185" s="9" t="n">
        <v>20</v>
      </c>
      <c r="GS185" s="9" t="n">
        <v>17</v>
      </c>
      <c r="GT185" s="9" t="n">
        <v>16</v>
      </c>
      <c r="GU185" s="9" t="n">
        <v>19</v>
      </c>
      <c r="GV185" s="11" t="n">
        <f aca="false">(GR185+GS185+GT185+GU185)/4</f>
        <v>18</v>
      </c>
      <c r="GW185" s="9" t="n">
        <v>0</v>
      </c>
      <c r="GX185" s="9" t="n">
        <v>0</v>
      </c>
      <c r="GY185" s="9" t="n">
        <v>0</v>
      </c>
      <c r="GZ185" s="9" t="n">
        <v>0</v>
      </c>
      <c r="HA185" s="11" t="n">
        <f aca="false">(GW185+GX185+GY185+GZ185)/4</f>
        <v>0</v>
      </c>
      <c r="HB185" s="9" t="n">
        <f aca="false">(GW185/GR185)</f>
        <v>0</v>
      </c>
      <c r="HC185" s="9" t="n">
        <f aca="false">(GX185/GS185)</f>
        <v>0</v>
      </c>
      <c r="HD185" s="9" t="n">
        <f aca="false">(GY185/GT185)</f>
        <v>0</v>
      </c>
      <c r="HE185" s="9" t="n">
        <f aca="false">(GZ185/GU185)/4</f>
        <v>0</v>
      </c>
      <c r="HF185" s="9" t="n">
        <f aca="false">(HB185+HC185+HD185+HE185)/4</f>
        <v>0</v>
      </c>
      <c r="HG185" s="9" t="n">
        <f aca="false">(100*HF185)</f>
        <v>0</v>
      </c>
      <c r="HH185" s="18" t="n">
        <v>0</v>
      </c>
      <c r="HI185" s="9" t="n">
        <v>1</v>
      </c>
      <c r="HJ185" s="9" t="n">
        <v>5</v>
      </c>
      <c r="HK185" s="9" t="n">
        <v>0</v>
      </c>
      <c r="HL185" s="19" t="n">
        <v>2</v>
      </c>
      <c r="HM185" s="9" t="n">
        <f aca="false">(HI185+HJ185+HK185+HL185)/4</f>
        <v>2</v>
      </c>
      <c r="HN185" s="9" t="n">
        <f aca="false">(HI185/GR185)</f>
        <v>0.05</v>
      </c>
      <c r="HO185" s="9" t="n">
        <f aca="false">(HJ185/GS185)</f>
        <v>0.294117647058824</v>
      </c>
      <c r="HP185" s="9" t="n">
        <f aca="false">(HK185/GT185)</f>
        <v>0</v>
      </c>
      <c r="HQ185" s="9" t="n">
        <f aca="false">(HL185/GU185)</f>
        <v>0.105263157894737</v>
      </c>
      <c r="HR185" s="9" t="n">
        <f aca="false">(HM185/GV185)</f>
        <v>0.111111111111111</v>
      </c>
      <c r="HS185" s="9" t="n">
        <f aca="false">(100*HR185)</f>
        <v>11.1111111111111</v>
      </c>
      <c r="HT185" s="18" t="n">
        <v>2</v>
      </c>
      <c r="HU185" s="9" t="n">
        <v>0</v>
      </c>
      <c r="HV185" s="9" t="n">
        <v>0</v>
      </c>
      <c r="HW185" s="9" t="n">
        <v>0</v>
      </c>
      <c r="HX185" s="19" t="n">
        <v>3</v>
      </c>
      <c r="HY185" s="9" t="n">
        <f aca="false">(HU185+HV185+HW185+HX185)/4</f>
        <v>0.75</v>
      </c>
      <c r="HZ185" s="9" t="n">
        <f aca="false">(HU185/GR185)</f>
        <v>0</v>
      </c>
      <c r="IA185" s="9" t="n">
        <f aca="false">HV185/GS185</f>
        <v>0</v>
      </c>
      <c r="IB185" s="9" t="n">
        <f aca="false">(HW185/GT185)</f>
        <v>0</v>
      </c>
      <c r="IC185" s="9" t="n">
        <f aca="false">(HX185/GU185)</f>
        <v>0.157894736842105</v>
      </c>
      <c r="ID185" s="9" t="n">
        <f aca="false">(HY185/GV185)</f>
        <v>0.0416666666666667</v>
      </c>
      <c r="IE185" s="9" t="n">
        <f aca="false">(100*ID185)</f>
        <v>4.16666666666667</v>
      </c>
      <c r="IF185" s="18" t="n">
        <v>1</v>
      </c>
      <c r="IG185" s="9" t="n">
        <v>1</v>
      </c>
      <c r="IH185" s="9" t="n">
        <v>0</v>
      </c>
      <c r="II185" s="19" t="n">
        <v>0</v>
      </c>
      <c r="IJ185" s="9" t="n">
        <v>13</v>
      </c>
      <c r="IK185" s="9" t="n">
        <f aca="false">(IG185+IH185+II185+IJ185)/4</f>
        <v>3.5</v>
      </c>
      <c r="IL185" s="9" t="n">
        <f aca="false">(IG185/GM185)</f>
        <v>0.0106382978723404</v>
      </c>
      <c r="IM185" s="9" t="n">
        <f aca="false">(IH185/GN185)</f>
        <v>0</v>
      </c>
      <c r="IN185" s="9" t="e">
        <f aca="false">(II185/GO185)</f>
        <v>#DIV/0!</v>
      </c>
      <c r="IO185" s="9" t="n">
        <f aca="false">(IJ185/GP185)</f>
        <v>0.156626506024096</v>
      </c>
      <c r="IP185" s="9" t="n">
        <f aca="false">(IK185/GQ185)</f>
        <v>0.0608695652173913</v>
      </c>
      <c r="IQ185" s="9" t="n">
        <f aca="false">(100*IP185)</f>
        <v>6.08695652173913</v>
      </c>
      <c r="IR185" s="18" t="n">
        <v>1</v>
      </c>
      <c r="IS185" s="9" t="n">
        <v>65.8</v>
      </c>
      <c r="IT185" s="9" t="n">
        <v>69.8</v>
      </c>
      <c r="IU185" s="19" t="n">
        <v>67.7</v>
      </c>
      <c r="IV185" s="9" t="n">
        <v>56</v>
      </c>
      <c r="IW185" s="9" t="n">
        <f aca="false">(IS185+IT185+IU185+IV185)/4</f>
        <v>64.825</v>
      </c>
      <c r="IX185" s="16" t="n">
        <v>45239</v>
      </c>
      <c r="IY185" s="10" t="s">
        <v>268</v>
      </c>
    </row>
    <row r="186" customFormat="false" ht="15.75" hidden="false" customHeight="true" outlineLevel="0" collapsed="false">
      <c r="A186" s="9" t="s">
        <v>343</v>
      </c>
      <c r="B186" s="10" t="s">
        <v>684</v>
      </c>
      <c r="C186" s="10" t="s">
        <v>626</v>
      </c>
      <c r="D186" s="9" t="n">
        <v>2</v>
      </c>
      <c r="E186" s="9" t="n">
        <v>62</v>
      </c>
      <c r="F186" s="10" t="s">
        <v>689</v>
      </c>
      <c r="G186" s="10" t="s">
        <v>397</v>
      </c>
      <c r="H186" s="9" t="n">
        <v>21</v>
      </c>
      <c r="I186" s="9" t="n">
        <v>10</v>
      </c>
      <c r="J186" s="12" t="s">
        <v>270</v>
      </c>
      <c r="K186" s="20"/>
      <c r="L186" s="20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 t="n">
        <v>0</v>
      </c>
      <c r="Y186" s="9" t="n">
        <v>0</v>
      </c>
      <c r="Z186" s="9" t="n">
        <v>0</v>
      </c>
      <c r="AA186" s="9" t="n">
        <v>0</v>
      </c>
      <c r="AB186" s="11" t="n">
        <f aca="false">(X186+Y186+Z186+AA186)/4</f>
        <v>0</v>
      </c>
      <c r="AC186" s="9" t="n">
        <v>0</v>
      </c>
      <c r="AD186" s="9" t="n">
        <v>0</v>
      </c>
      <c r="AE186" s="9" t="n">
        <v>1</v>
      </c>
      <c r="AF186" s="9" t="n">
        <v>0</v>
      </c>
      <c r="AG186" s="11" t="n">
        <f aca="false">(AC186+AD186+AE186+AF186)/4</f>
        <v>0.25</v>
      </c>
      <c r="AH186" s="9" t="n">
        <v>1</v>
      </c>
      <c r="AI186" s="9" t="n">
        <v>0</v>
      </c>
      <c r="AJ186" s="9" t="n">
        <v>1</v>
      </c>
      <c r="AK186" s="9" t="n">
        <v>1</v>
      </c>
      <c r="AL186" s="11" t="n">
        <f aca="false">(AH186+AI186+AJ186+AK186)/4</f>
        <v>0.75</v>
      </c>
      <c r="AM186" s="9" t="n">
        <v>33</v>
      </c>
      <c r="AN186" s="9" t="n">
        <v>13</v>
      </c>
      <c r="AO186" s="9" t="n">
        <v>6</v>
      </c>
      <c r="AP186" s="9" t="n">
        <v>45</v>
      </c>
      <c r="AQ186" s="11" t="n">
        <f aca="false">(AM186+AN186+AO186+AP186)/4</f>
        <v>24.25</v>
      </c>
      <c r="AR186" s="9" t="n">
        <v>17</v>
      </c>
      <c r="AS186" s="9" t="n">
        <v>30</v>
      </c>
      <c r="AT186" s="9" t="n">
        <v>27</v>
      </c>
      <c r="AU186" s="9" t="n">
        <v>10</v>
      </c>
      <c r="AV186" s="11" t="n">
        <f aca="false">(AR186+AS186+AT186+AU186)/4</f>
        <v>21</v>
      </c>
      <c r="AW186" s="9" t="n">
        <v>0</v>
      </c>
      <c r="AX186" s="9" t="n">
        <v>0</v>
      </c>
      <c r="AY186" s="9" t="n">
        <v>0</v>
      </c>
      <c r="AZ186" s="9" t="n">
        <v>0</v>
      </c>
      <c r="BA186" s="11" t="n">
        <f aca="false">(AW186+AX186+AY186+AZ186)/4</f>
        <v>0</v>
      </c>
      <c r="BB186" s="11" t="n">
        <f aca="false">(AW186/AR186)</f>
        <v>0</v>
      </c>
      <c r="BC186" s="11" t="n">
        <f aca="false">(AX186/AS186)</f>
        <v>0</v>
      </c>
      <c r="BD186" s="11" t="n">
        <f aca="false">(AY186/AT186)</f>
        <v>0</v>
      </c>
      <c r="BE186" s="11" t="n">
        <f aca="false">(AZ186/AU186)</f>
        <v>0</v>
      </c>
      <c r="BF186" s="11" t="n">
        <f aca="false">(BA186/AV186)</f>
        <v>0</v>
      </c>
      <c r="BG186" s="11" t="n">
        <f aca="false">(BF186*100)</f>
        <v>0</v>
      </c>
      <c r="BH186" s="9" t="n">
        <v>0</v>
      </c>
      <c r="BI186" s="9" t="n">
        <v>0</v>
      </c>
      <c r="BJ186" s="9" t="n">
        <v>0</v>
      </c>
      <c r="BK186" s="9" t="n">
        <v>3</v>
      </c>
      <c r="BL186" s="9" t="n">
        <v>0</v>
      </c>
      <c r="BM186" s="11" t="n">
        <f aca="false">(BI186+BJ186+BK186+BL186)/4</f>
        <v>0.75</v>
      </c>
      <c r="BN186" s="11" t="n">
        <f aca="false">(BI186/AR186)</f>
        <v>0</v>
      </c>
      <c r="BO186" s="11" t="n">
        <f aca="false">(BJ186/AS186)</f>
        <v>0</v>
      </c>
      <c r="BP186" s="11" t="n">
        <f aca="false">(BK186/AT186)</f>
        <v>0.111111111111111</v>
      </c>
      <c r="BQ186" s="11" t="n">
        <f aca="false">(BL186/AU186)</f>
        <v>0</v>
      </c>
      <c r="BR186" s="11" t="n">
        <f aca="false">(BM186/AV186)</f>
        <v>0.0357142857142857</v>
      </c>
      <c r="BS186" s="11" t="n">
        <f aca="false">(100*BR186)</f>
        <v>3.57142857142857</v>
      </c>
      <c r="BT186" s="9" t="n">
        <v>1</v>
      </c>
      <c r="BU186" s="9" t="n">
        <v>2</v>
      </c>
      <c r="BV186" s="9" t="n">
        <v>0</v>
      </c>
      <c r="BW186" s="9" t="n">
        <v>0</v>
      </c>
      <c r="BX186" s="9" t="n">
        <v>3</v>
      </c>
      <c r="BY186" s="11" t="n">
        <f aca="false">(BU186+BV186+BW186+BX186)/4</f>
        <v>1.25</v>
      </c>
      <c r="BZ186" s="11" t="n">
        <f aca="false">(BU186/AR186)</f>
        <v>0.117647058823529</v>
      </c>
      <c r="CA186" s="11" t="n">
        <f aca="false">(BV186/AS186)</f>
        <v>0</v>
      </c>
      <c r="CB186" s="11" t="n">
        <f aca="false">(BW186/AT186)</f>
        <v>0</v>
      </c>
      <c r="CC186" s="11" t="n">
        <f aca="false">(BX186/AU186)</f>
        <v>0.3</v>
      </c>
      <c r="CD186" s="11" t="n">
        <f aca="false">(BY186/AV186)</f>
        <v>0.0595238095238095</v>
      </c>
      <c r="CE186" s="11" t="n">
        <f aca="false">(100*CD186)</f>
        <v>5.95238095238095</v>
      </c>
      <c r="CF186" s="9" t="n">
        <v>1</v>
      </c>
      <c r="CG186" s="9" t="n">
        <v>0</v>
      </c>
      <c r="CH186" s="9" t="n">
        <v>0</v>
      </c>
      <c r="CI186" s="9" t="n">
        <v>2</v>
      </c>
      <c r="CJ186" s="9" t="n">
        <v>1</v>
      </c>
      <c r="CK186" s="11" t="n">
        <f aca="false">(CG186+CH186+CI186+CJ186)/4</f>
        <v>0.75</v>
      </c>
      <c r="CL186" s="11" t="n">
        <f aca="false">(CG186/AM186)</f>
        <v>0</v>
      </c>
      <c r="CM186" s="11" t="n">
        <f aca="false">(CH186/AN186)</f>
        <v>0</v>
      </c>
      <c r="CN186" s="11" t="n">
        <f aca="false">(CI186/AO186)</f>
        <v>0.333333333333333</v>
      </c>
      <c r="CO186" s="9" t="n">
        <f aca="false">(CJ186/AP186)</f>
        <v>0.0222222222222222</v>
      </c>
      <c r="CP186" s="9" t="n">
        <f aca="false">(CK186/AQ186)</f>
        <v>0.0309278350515464</v>
      </c>
      <c r="CQ186" s="9" t="n">
        <f aca="false">(100*CP186)</f>
        <v>3.09278350515464</v>
      </c>
      <c r="CR186" s="18" t="n">
        <v>1</v>
      </c>
      <c r="CS186" s="9" t="n">
        <v>41.7</v>
      </c>
      <c r="CT186" s="9" t="n">
        <v>54.7</v>
      </c>
      <c r="CU186" s="9" t="n">
        <v>52.2</v>
      </c>
      <c r="CV186" s="9" t="n">
        <v>46.2</v>
      </c>
      <c r="CW186" s="11" t="n">
        <f aca="false">(CS186+CT186+CU186+CV186)/4</f>
        <v>48.7</v>
      </c>
      <c r="CX186" s="9" t="n">
        <v>0</v>
      </c>
      <c r="CY186" s="9" t="n">
        <v>0</v>
      </c>
      <c r="CZ186" s="9" t="n">
        <v>0</v>
      </c>
      <c r="DA186" s="9" t="n">
        <v>0</v>
      </c>
      <c r="DB186" s="11" t="n">
        <f aca="false">(CX186+CY186+CZ186+DA186)/4</f>
        <v>0</v>
      </c>
      <c r="DC186" s="9" t="n">
        <v>1</v>
      </c>
      <c r="DD186" s="9" t="n">
        <v>0</v>
      </c>
      <c r="DE186" s="9" t="n">
        <v>1</v>
      </c>
      <c r="DF186" s="9" t="n">
        <v>0</v>
      </c>
      <c r="DG186" s="11" t="n">
        <f aca="false">(DC186+DD186+DE186+DF186)/4</f>
        <v>0.5</v>
      </c>
      <c r="DH186" s="9" t="n">
        <v>0</v>
      </c>
      <c r="DI186" s="9" t="n">
        <v>0</v>
      </c>
      <c r="DJ186" s="9" t="n">
        <v>0</v>
      </c>
      <c r="DK186" s="9" t="n">
        <v>1</v>
      </c>
      <c r="DL186" s="11" t="n">
        <f aca="false">(DH186+DI186+DJ186+DK186)/4</f>
        <v>0.25</v>
      </c>
      <c r="DM186" s="9" t="n">
        <v>68</v>
      </c>
      <c r="DN186" s="9" t="n">
        <v>84</v>
      </c>
      <c r="DO186" s="9" t="n">
        <v>25</v>
      </c>
      <c r="DP186" s="9" t="n">
        <v>66</v>
      </c>
      <c r="DQ186" s="11" t="n">
        <f aca="false">(DM186+DN186+DO186+DP186)/4</f>
        <v>60.75</v>
      </c>
      <c r="DR186" s="9" t="n">
        <v>17</v>
      </c>
      <c r="DS186" s="9" t="n">
        <v>14</v>
      </c>
      <c r="DT186" s="9" t="n">
        <v>8</v>
      </c>
      <c r="DU186" s="9" t="n">
        <v>7</v>
      </c>
      <c r="DV186" s="11" t="n">
        <f aca="false">(DR186+DS186+DT186+DU186)/4</f>
        <v>11.5</v>
      </c>
      <c r="DW186" s="9" t="n">
        <v>0</v>
      </c>
      <c r="DX186" s="9" t="n">
        <v>0</v>
      </c>
      <c r="DY186" s="9" t="n">
        <v>0</v>
      </c>
      <c r="DZ186" s="9" t="n">
        <v>0</v>
      </c>
      <c r="EA186" s="11" t="n">
        <f aca="false">(DW186+DX186+DY186+DZ186)/4</f>
        <v>0</v>
      </c>
      <c r="EB186" s="11" t="n">
        <f aca="false">(DW186/DR186)</f>
        <v>0</v>
      </c>
      <c r="EC186" s="11" t="n">
        <f aca="false">(DX186/DS186)</f>
        <v>0</v>
      </c>
      <c r="ED186" s="11" t="n">
        <f aca="false">(DY186/DT186)</f>
        <v>0</v>
      </c>
      <c r="EE186" s="11" t="n">
        <f aca="false">(DZ186/DU186)</f>
        <v>0</v>
      </c>
      <c r="EF186" s="11" t="n">
        <f aca="false">(EA186/DV186)</f>
        <v>0</v>
      </c>
      <c r="EG186" s="11" t="n">
        <f aca="false">(100*EF186)</f>
        <v>0</v>
      </c>
      <c r="EH186" s="9" t="n">
        <v>0</v>
      </c>
      <c r="EI186" s="9" t="n">
        <v>2</v>
      </c>
      <c r="EJ186" s="9" t="n">
        <v>0</v>
      </c>
      <c r="EK186" s="19" t="n">
        <v>4</v>
      </c>
      <c r="EL186" s="9" t="n">
        <v>0</v>
      </c>
      <c r="EM186" s="9" t="n">
        <f aca="false">(EI186+EJ186+EK186+EL186)/4</f>
        <v>1.5</v>
      </c>
      <c r="EN186" s="9" t="n">
        <f aca="false">(EI186/DR186)</f>
        <v>0.117647058823529</v>
      </c>
      <c r="EO186" s="9" t="n">
        <f aca="false">(EJ186/DS186)</f>
        <v>0</v>
      </c>
      <c r="EP186" s="9" t="n">
        <f aca="false">(EK186/DT186)</f>
        <v>0.5</v>
      </c>
      <c r="EQ186" s="9" t="n">
        <f aca="false">(EL186/DU186)</f>
        <v>0</v>
      </c>
      <c r="ER186" s="9" t="n">
        <f aca="false">EM186/DV186</f>
        <v>0.130434782608696</v>
      </c>
      <c r="ES186" s="9" t="n">
        <f aca="false">(100*ER186)</f>
        <v>13.0434782608696</v>
      </c>
      <c r="ET186" s="9" t="n">
        <v>2</v>
      </c>
      <c r="EU186" s="18" t="n">
        <v>0</v>
      </c>
      <c r="EV186" s="9" t="n">
        <v>0</v>
      </c>
      <c r="EW186" s="9" t="n">
        <v>0</v>
      </c>
      <c r="EX186" s="9" t="n">
        <v>0</v>
      </c>
      <c r="EY186" s="11" t="n">
        <f aca="false">(EU186+EV186+EW186+EX186)/4</f>
        <v>0</v>
      </c>
      <c r="EZ186" s="11" t="n">
        <f aca="false">(EU186/DR186)</f>
        <v>0</v>
      </c>
      <c r="FA186" s="11" t="n">
        <f aca="false">(EV186/DS186)</f>
        <v>0</v>
      </c>
      <c r="FB186" s="11" t="n">
        <f aca="false">(EW186/DT186)</f>
        <v>0</v>
      </c>
      <c r="FC186" s="11" t="n">
        <f aca="false">(EX186/DU186)</f>
        <v>0</v>
      </c>
      <c r="FD186" s="11" t="n">
        <f aca="false">(EY186/DV186)</f>
        <v>0</v>
      </c>
      <c r="FE186" s="11" t="n">
        <f aca="false">(100*FD186)</f>
        <v>0</v>
      </c>
      <c r="FF186" s="9" t="n">
        <v>0</v>
      </c>
      <c r="FG186" s="9" t="n">
        <v>0</v>
      </c>
      <c r="FH186" s="9" t="n">
        <v>0</v>
      </c>
      <c r="FI186" s="9" t="n">
        <v>0</v>
      </c>
      <c r="FJ186" s="9" t="n">
        <v>0</v>
      </c>
      <c r="FK186" s="11" t="n">
        <f aca="false">(FG186+FH186+FI186+FJ186)/4</f>
        <v>0</v>
      </c>
      <c r="FL186" s="11" t="n">
        <f aca="false">(FG186/DR186)</f>
        <v>0</v>
      </c>
      <c r="FM186" s="11" t="n">
        <f aca="false">(FH186/DS186)</f>
        <v>0</v>
      </c>
      <c r="FN186" s="11" t="n">
        <f aca="false">(FI186/DT186)</f>
        <v>0</v>
      </c>
      <c r="FO186" s="11" t="n">
        <f aca="false">(FJ186/DU186)</f>
        <v>0</v>
      </c>
      <c r="FP186" s="11" t="n">
        <f aca="false">(FK186/DV186)</f>
        <v>0</v>
      </c>
      <c r="FQ186" s="11" t="n">
        <f aca="false">(100*FP186)</f>
        <v>0</v>
      </c>
      <c r="FR186" s="9" t="n">
        <v>0</v>
      </c>
      <c r="FS186" s="9" t="n">
        <v>59</v>
      </c>
      <c r="FT186" s="9" t="n">
        <v>44.4</v>
      </c>
      <c r="FU186" s="9" t="n">
        <v>51.7</v>
      </c>
      <c r="FV186" s="9" t="n">
        <v>34.7</v>
      </c>
      <c r="FW186" s="11" t="n">
        <f aca="false">(FS186+FT186+FU186+FV186)/4</f>
        <v>47.45</v>
      </c>
      <c r="FX186" s="9" t="n">
        <v>0</v>
      </c>
      <c r="FY186" s="9" t="n">
        <v>0</v>
      </c>
      <c r="FZ186" s="9" t="n">
        <v>1</v>
      </c>
      <c r="GA186" s="9" t="n">
        <v>0</v>
      </c>
      <c r="GB186" s="11" t="n">
        <f aca="false">(FX186+FY186+FZ186+GA186)/4</f>
        <v>0.25</v>
      </c>
      <c r="GC186" s="9" t="n">
        <v>1</v>
      </c>
      <c r="GD186" s="9" t="n">
        <v>1</v>
      </c>
      <c r="GE186" s="9" t="n">
        <v>0</v>
      </c>
      <c r="GF186" s="9" t="n">
        <v>0</v>
      </c>
      <c r="GG186" s="11" t="n">
        <f aca="false">(GC186+GD186+GE186+GF186)/4</f>
        <v>0.5</v>
      </c>
      <c r="GH186" s="9" t="n">
        <v>0</v>
      </c>
      <c r="GI186" s="9" t="n">
        <v>0</v>
      </c>
      <c r="GJ186" s="9" t="n">
        <v>0</v>
      </c>
      <c r="GK186" s="9" t="n">
        <v>0</v>
      </c>
      <c r="GL186" s="11" t="n">
        <f aca="false">(GH186+GI186+GJ186+GK186)/4</f>
        <v>0</v>
      </c>
      <c r="GM186" s="9" t="n">
        <v>0</v>
      </c>
      <c r="GN186" s="9" t="n">
        <v>0</v>
      </c>
      <c r="GO186" s="9" t="n">
        <v>21</v>
      </c>
      <c r="GP186" s="9" t="n">
        <v>108</v>
      </c>
      <c r="GQ186" s="11" t="n">
        <f aca="false">(GM186+GN186+GO186+GP186)/4</f>
        <v>32.25</v>
      </c>
      <c r="GR186" s="9" t="n">
        <v>10</v>
      </c>
      <c r="GS186" s="9" t="n">
        <v>20</v>
      </c>
      <c r="GT186" s="9" t="n">
        <v>82</v>
      </c>
      <c r="GU186" s="9" t="n">
        <v>27</v>
      </c>
      <c r="GV186" s="11" t="n">
        <f aca="false">(GR186+GS186+GT186+GU186)/4</f>
        <v>34.75</v>
      </c>
      <c r="GW186" s="9" t="n">
        <v>0</v>
      </c>
      <c r="GX186" s="9" t="n">
        <v>0</v>
      </c>
      <c r="GY186" s="9" t="n">
        <v>1</v>
      </c>
      <c r="GZ186" s="9" t="n">
        <v>0</v>
      </c>
      <c r="HA186" s="11" t="n">
        <f aca="false">(GW186+GX186+GY186+GZ186)/4</f>
        <v>0.25</v>
      </c>
      <c r="HB186" s="9" t="n">
        <f aca="false">(GW186/GR186)</f>
        <v>0</v>
      </c>
      <c r="HC186" s="9" t="n">
        <f aca="false">(GX186/GS186)</f>
        <v>0</v>
      </c>
      <c r="HD186" s="9" t="n">
        <f aca="false">(GY186/GT186)</f>
        <v>0.0121951219512195</v>
      </c>
      <c r="HE186" s="9" t="n">
        <f aca="false">(GZ186/GU186)/4</f>
        <v>0</v>
      </c>
      <c r="HF186" s="9" t="n">
        <f aca="false">(HB186+HC186+HD186+HE186)/4</f>
        <v>0.00304878048780488</v>
      </c>
      <c r="HG186" s="9" t="n">
        <f aca="false">(100*HF186)</f>
        <v>0.304878048780488</v>
      </c>
      <c r="HH186" s="18" t="n">
        <v>1</v>
      </c>
      <c r="HI186" s="9" t="n">
        <v>1</v>
      </c>
      <c r="HJ186" s="9" t="n">
        <v>3</v>
      </c>
      <c r="HK186" s="9" t="n">
        <v>0</v>
      </c>
      <c r="HL186" s="19" t="n">
        <v>0</v>
      </c>
      <c r="HM186" s="9" t="n">
        <f aca="false">(HI186+HJ186+HK186+HL186)/4</f>
        <v>1</v>
      </c>
      <c r="HN186" s="9" t="n">
        <f aca="false">(HI186/GR186)</f>
        <v>0.1</v>
      </c>
      <c r="HO186" s="9" t="n">
        <f aca="false">(HJ186/GS186)</f>
        <v>0.15</v>
      </c>
      <c r="HP186" s="9" t="n">
        <f aca="false">(HK186/GT186)</f>
        <v>0</v>
      </c>
      <c r="HQ186" s="9" t="n">
        <f aca="false">(HL186/GU186)</f>
        <v>0</v>
      </c>
      <c r="HR186" s="9" t="n">
        <f aca="false">(HM186/GV186)</f>
        <v>0.0287769784172662</v>
      </c>
      <c r="HS186" s="9" t="n">
        <f aca="false">(100*HR186)</f>
        <v>2.87769784172662</v>
      </c>
      <c r="HT186" s="18" t="n">
        <v>1</v>
      </c>
      <c r="HU186" s="9" t="n">
        <v>0</v>
      </c>
      <c r="HV186" s="9" t="n">
        <v>0</v>
      </c>
      <c r="HW186" s="9" t="n">
        <v>0</v>
      </c>
      <c r="HX186" s="19" t="n">
        <v>0</v>
      </c>
      <c r="HY186" s="9" t="n">
        <f aca="false">(HU186+HV186+HW186+HX186)/4</f>
        <v>0</v>
      </c>
      <c r="HZ186" s="9" t="n">
        <f aca="false">(HU186/GR186)</f>
        <v>0</v>
      </c>
      <c r="IA186" s="9" t="n">
        <f aca="false">HV186/GS186</f>
        <v>0</v>
      </c>
      <c r="IB186" s="9" t="n">
        <f aca="false">(HW186/GT186)</f>
        <v>0</v>
      </c>
      <c r="IC186" s="9" t="n">
        <f aca="false">(HX186/GU186)</f>
        <v>0</v>
      </c>
      <c r="ID186" s="9" t="n">
        <f aca="false">(HY186/GV186)</f>
        <v>0</v>
      </c>
      <c r="IE186" s="9" t="n">
        <f aca="false">(100*ID186)</f>
        <v>0</v>
      </c>
      <c r="IF186" s="18" t="n">
        <v>0</v>
      </c>
      <c r="IG186" s="9" t="n">
        <v>0</v>
      </c>
      <c r="IH186" s="9" t="n">
        <v>0</v>
      </c>
      <c r="II186" s="19" t="n">
        <v>0</v>
      </c>
      <c r="IJ186" s="9" t="n">
        <v>6</v>
      </c>
      <c r="IK186" s="9" t="n">
        <f aca="false">(IG186+IH186+II186+IJ186)/4</f>
        <v>1.5</v>
      </c>
      <c r="IL186" s="9" t="e">
        <f aca="false">(IG186/GM186)</f>
        <v>#DIV/0!</v>
      </c>
      <c r="IM186" s="9" t="e">
        <f aca="false">(IH186/GN186)</f>
        <v>#DIV/0!</v>
      </c>
      <c r="IN186" s="9" t="n">
        <f aca="false">(II186/GO186)</f>
        <v>0</v>
      </c>
      <c r="IO186" s="9" t="n">
        <f aca="false">(IJ186/GP186)</f>
        <v>0.0555555555555556</v>
      </c>
      <c r="IP186" s="9" t="n">
        <f aca="false">(IK186/GQ186)</f>
        <v>0.0465116279069767</v>
      </c>
      <c r="IQ186" s="9" t="n">
        <f aca="false">(100*IP186)</f>
        <v>4.65116279069768</v>
      </c>
      <c r="IR186" s="18" t="n">
        <v>1</v>
      </c>
      <c r="IS186" s="9" t="n">
        <v>55.7</v>
      </c>
      <c r="IT186" s="9" t="n">
        <v>65.3</v>
      </c>
      <c r="IU186" s="19" t="n">
        <v>61.2</v>
      </c>
      <c r="IV186" s="9" t="n">
        <v>60.8</v>
      </c>
      <c r="IW186" s="9" t="n">
        <f aca="false">(IS186+IT186+IU186+IV186)/4</f>
        <v>60.75</v>
      </c>
      <c r="IX186" s="16" t="n">
        <v>45239</v>
      </c>
      <c r="IY186" s="10" t="s">
        <v>268</v>
      </c>
    </row>
    <row r="187" customFormat="false" ht="15.75" hidden="false" customHeight="true" outlineLevel="0" collapsed="false">
      <c r="A187" s="9" t="s">
        <v>343</v>
      </c>
      <c r="B187" s="10" t="s">
        <v>684</v>
      </c>
      <c r="C187" s="10" t="s">
        <v>626</v>
      </c>
      <c r="D187" s="9" t="n">
        <v>2</v>
      </c>
      <c r="E187" s="9" t="n">
        <v>62</v>
      </c>
      <c r="F187" s="10" t="s">
        <v>690</v>
      </c>
      <c r="G187" s="10" t="s">
        <v>320</v>
      </c>
      <c r="H187" s="9" t="n">
        <v>21</v>
      </c>
      <c r="I187" s="9" t="n">
        <v>21</v>
      </c>
      <c r="J187" s="10" t="s">
        <v>272</v>
      </c>
      <c r="K187" s="20"/>
      <c r="L187" s="20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 t="n">
        <v>0</v>
      </c>
      <c r="Y187" s="9" t="n">
        <v>1</v>
      </c>
      <c r="Z187" s="9" t="n">
        <v>0</v>
      </c>
      <c r="AA187" s="9" t="n">
        <v>0</v>
      </c>
      <c r="AB187" s="11" t="n">
        <f aca="false">(X187+Y187+Z187+AA187)/4</f>
        <v>0.25</v>
      </c>
      <c r="AC187" s="9" t="n">
        <v>0</v>
      </c>
      <c r="AD187" s="9" t="n">
        <v>1</v>
      </c>
      <c r="AE187" s="9" t="n">
        <v>0</v>
      </c>
      <c r="AF187" s="9" t="n">
        <v>1</v>
      </c>
      <c r="AG187" s="11" t="n">
        <f aca="false">(AC187+AD187+AE187+AF187)/4</f>
        <v>0.5</v>
      </c>
      <c r="AH187" s="9" t="n">
        <v>1</v>
      </c>
      <c r="AI187" s="9" t="n">
        <v>1</v>
      </c>
      <c r="AJ187" s="9" t="n">
        <v>1</v>
      </c>
      <c r="AK187" s="11" t="n">
        <v>1</v>
      </c>
      <c r="AL187" s="11" t="n">
        <f aca="false">(AH187+AI187+AJ187+AK187)/4</f>
        <v>1</v>
      </c>
      <c r="AM187" s="9" t="n">
        <v>12</v>
      </c>
      <c r="AN187" s="9" t="n">
        <v>0</v>
      </c>
      <c r="AO187" s="11" t="n">
        <v>10</v>
      </c>
      <c r="AP187" s="11" t="n">
        <v>99</v>
      </c>
      <c r="AQ187" s="11" t="n">
        <f aca="false">(AM187+AN187+AO187+AP187)/4</f>
        <v>30.25</v>
      </c>
      <c r="AR187" s="9" t="n">
        <v>23</v>
      </c>
      <c r="AS187" s="9" t="n">
        <v>14</v>
      </c>
      <c r="AT187" s="9" t="n">
        <v>57</v>
      </c>
      <c r="AU187" s="9" t="n">
        <v>54</v>
      </c>
      <c r="AV187" s="11" t="n">
        <f aca="false">(AR187+AS187+AT187+AU187)/4</f>
        <v>37</v>
      </c>
      <c r="AW187" s="9" t="n">
        <v>0</v>
      </c>
      <c r="AX187" s="9" t="n">
        <v>1</v>
      </c>
      <c r="AY187" s="9" t="n">
        <v>0</v>
      </c>
      <c r="AZ187" s="9" t="n">
        <v>0</v>
      </c>
      <c r="BA187" s="11" t="n">
        <f aca="false">(AW187+AX187+AY187+AZ187)/4</f>
        <v>0.25</v>
      </c>
      <c r="BB187" s="11" t="n">
        <f aca="false">(AW187/AR187)</f>
        <v>0</v>
      </c>
      <c r="BC187" s="11" t="n">
        <f aca="false">(AX187/AS187)</f>
        <v>0.0714285714285714</v>
      </c>
      <c r="BD187" s="11" t="n">
        <f aca="false">(AY187/AT187)</f>
        <v>0</v>
      </c>
      <c r="BE187" s="11" t="n">
        <f aca="false">(AZ187/AU187)</f>
        <v>0</v>
      </c>
      <c r="BF187" s="11" t="n">
        <f aca="false">(BA187/AV187)</f>
        <v>0.00675675675675676</v>
      </c>
      <c r="BG187" s="11" t="n">
        <f aca="false">(BF187*100)</f>
        <v>0.675675675675676</v>
      </c>
      <c r="BH187" s="9" t="n">
        <v>1</v>
      </c>
      <c r="BI187" s="9" t="n">
        <v>0</v>
      </c>
      <c r="BJ187" s="9" t="n">
        <v>3</v>
      </c>
      <c r="BK187" s="9" t="n">
        <v>0</v>
      </c>
      <c r="BL187" s="9" t="n">
        <v>5</v>
      </c>
      <c r="BM187" s="11" t="n">
        <f aca="false">(BI187+BJ187+BK187+BL187)/4</f>
        <v>2</v>
      </c>
      <c r="BN187" s="11" t="n">
        <f aca="false">(BI187/AR187)</f>
        <v>0</v>
      </c>
      <c r="BO187" s="11" t="n">
        <f aca="false">(BJ187/AS187)</f>
        <v>0.214285714285714</v>
      </c>
      <c r="BP187" s="11" t="n">
        <f aca="false">(BK187/AT187)</f>
        <v>0</v>
      </c>
      <c r="BQ187" s="11" t="n">
        <f aca="false">(BL187/AU187)</f>
        <v>0.0925925925925926</v>
      </c>
      <c r="BR187" s="11" t="n">
        <f aca="false">(BM187/AV187)</f>
        <v>0.0540540540540541</v>
      </c>
      <c r="BS187" s="11" t="n">
        <f aca="false">(100*BR187)</f>
        <v>5.40540540540541</v>
      </c>
      <c r="BT187" s="9" t="n">
        <v>1</v>
      </c>
      <c r="BU187" s="9" t="n">
        <v>0</v>
      </c>
      <c r="BV187" s="9" t="n">
        <v>0</v>
      </c>
      <c r="BW187" s="9" t="n">
        <v>1</v>
      </c>
      <c r="BX187" s="9" t="n">
        <v>2</v>
      </c>
      <c r="BY187" s="11" t="n">
        <f aca="false">(BU187+BV187+BW187+BX187)/4</f>
        <v>0.75</v>
      </c>
      <c r="BZ187" s="11" t="n">
        <f aca="false">(BU187/AR187)</f>
        <v>0</v>
      </c>
      <c r="CA187" s="11" t="n">
        <f aca="false">(BV187/AS187)</f>
        <v>0</v>
      </c>
      <c r="CB187" s="11" t="n">
        <f aca="false">(BW187/AT187)</f>
        <v>0.0175438596491228</v>
      </c>
      <c r="CC187" s="11" t="n">
        <f aca="false">(BX187/AU187)</f>
        <v>0.037037037037037</v>
      </c>
      <c r="CD187" s="11" t="n">
        <f aca="false">(BY187/AV187)</f>
        <v>0.0202702702702703</v>
      </c>
      <c r="CE187" s="11" t="n">
        <f aca="false">(100*CD187)</f>
        <v>2.02702702702703</v>
      </c>
      <c r="CF187" s="9" t="n">
        <v>1</v>
      </c>
      <c r="CG187" s="9" t="n">
        <v>1</v>
      </c>
      <c r="CH187" s="9" t="n">
        <v>2</v>
      </c>
      <c r="CI187" s="9" t="n">
        <v>0</v>
      </c>
      <c r="CJ187" s="9" t="n">
        <v>0</v>
      </c>
      <c r="CK187" s="11" t="n">
        <f aca="false">(CG187+CH187+CI187+CJ187)/4</f>
        <v>0.75</v>
      </c>
      <c r="CL187" s="11" t="n">
        <f aca="false">(CG187/AM187)</f>
        <v>0.0833333333333333</v>
      </c>
      <c r="CM187" s="11" t="e">
        <f aca="false">(CH187/AN187)</f>
        <v>#DIV/0!</v>
      </c>
      <c r="CN187" s="11" t="n">
        <f aca="false">(CI187/AO187)</f>
        <v>0</v>
      </c>
      <c r="CO187" s="9" t="n">
        <f aca="false">(CJ187/AP187)</f>
        <v>0</v>
      </c>
      <c r="CP187" s="9" t="n">
        <f aca="false">(CK187/AQ187)</f>
        <v>0.0247933884297521</v>
      </c>
      <c r="CQ187" s="9" t="n">
        <f aca="false">(100*CP187)</f>
        <v>2.47933884297521</v>
      </c>
      <c r="CR187" s="18" t="n">
        <v>1</v>
      </c>
      <c r="CS187" s="9" t="n">
        <v>57.8</v>
      </c>
      <c r="CT187" s="9" t="n">
        <v>65.8</v>
      </c>
      <c r="CU187" s="9" t="n">
        <v>56.1</v>
      </c>
      <c r="CV187" s="9" t="n">
        <v>66.7</v>
      </c>
      <c r="CW187" s="11" t="n">
        <f aca="false">(CS187+CT187+CU187+CV187)/4</f>
        <v>61.6</v>
      </c>
      <c r="CX187" s="9" t="n">
        <v>0</v>
      </c>
      <c r="CY187" s="9" t="n">
        <v>0</v>
      </c>
      <c r="CZ187" s="9" t="n">
        <v>0</v>
      </c>
      <c r="DA187" s="9" t="n">
        <v>0</v>
      </c>
      <c r="DB187" s="11" t="n">
        <f aca="false">(CX187+CY187+CZ187+DA187)/4</f>
        <v>0</v>
      </c>
      <c r="DC187" s="9" t="n">
        <v>1</v>
      </c>
      <c r="DD187" s="9" t="n">
        <v>1</v>
      </c>
      <c r="DE187" s="9" t="n">
        <v>1</v>
      </c>
      <c r="DF187" s="9" t="n">
        <v>1</v>
      </c>
      <c r="DG187" s="11" t="n">
        <f aca="false">(DC187+DD187+DE187+DF187)/4</f>
        <v>1</v>
      </c>
      <c r="DH187" s="9" t="n">
        <v>1</v>
      </c>
      <c r="DI187" s="9" t="n">
        <v>0</v>
      </c>
      <c r="DJ187" s="9" t="n">
        <v>1</v>
      </c>
      <c r="DK187" s="9" t="n">
        <v>1</v>
      </c>
      <c r="DL187" s="11" t="n">
        <f aca="false">(DH187+DI187+DJ187+DK187)/4</f>
        <v>0.75</v>
      </c>
      <c r="DM187" s="9" t="n">
        <v>4</v>
      </c>
      <c r="DN187" s="9" t="n">
        <v>120</v>
      </c>
      <c r="DO187" s="9" t="n">
        <v>14</v>
      </c>
      <c r="DP187" s="9" t="n">
        <v>76</v>
      </c>
      <c r="DQ187" s="11" t="n">
        <f aca="false">(DM187+DN187+DO187+DP187)/4</f>
        <v>53.5</v>
      </c>
      <c r="DR187" s="9" t="n">
        <v>7</v>
      </c>
      <c r="DS187" s="9" t="n">
        <v>42</v>
      </c>
      <c r="DT187" s="9" t="n">
        <v>10</v>
      </c>
      <c r="DU187" s="9" t="n">
        <v>17</v>
      </c>
      <c r="DV187" s="11" t="n">
        <f aca="false">(DR187+DS187+DT187+DU187)/4</f>
        <v>19</v>
      </c>
      <c r="DW187" s="9" t="n">
        <v>0</v>
      </c>
      <c r="DX187" s="9" t="n">
        <v>0</v>
      </c>
      <c r="DY187" s="9" t="n">
        <v>0</v>
      </c>
      <c r="DZ187" s="9" t="n">
        <v>0</v>
      </c>
      <c r="EA187" s="11" t="n">
        <f aca="false">(DW187+DX187+DY187+DZ187)/4</f>
        <v>0</v>
      </c>
      <c r="EB187" s="11" t="n">
        <f aca="false">(DW187/DR187)</f>
        <v>0</v>
      </c>
      <c r="EC187" s="11" t="n">
        <f aca="false">(DX187/DS187)</f>
        <v>0</v>
      </c>
      <c r="ED187" s="11" t="n">
        <f aca="false">(DY187/DT187)</f>
        <v>0</v>
      </c>
      <c r="EE187" s="11" t="n">
        <f aca="false">(DZ187/DU187)</f>
        <v>0</v>
      </c>
      <c r="EF187" s="11" t="n">
        <f aca="false">(EA187/DV187)</f>
        <v>0</v>
      </c>
      <c r="EG187" s="11" t="n">
        <f aca="false">(100*EF187)</f>
        <v>0</v>
      </c>
      <c r="EH187" s="9" t="n">
        <v>0</v>
      </c>
      <c r="EI187" s="9" t="n">
        <v>2</v>
      </c>
      <c r="EJ187" s="9" t="n">
        <v>2</v>
      </c>
      <c r="EK187" s="19" t="n">
        <v>1</v>
      </c>
      <c r="EL187" s="9" t="n">
        <v>6</v>
      </c>
      <c r="EM187" s="9" t="n">
        <f aca="false">(EI187+EJ187+EK187+EL187)/4</f>
        <v>2.75</v>
      </c>
      <c r="EN187" s="9" t="n">
        <f aca="false">(EI187/DR187)</f>
        <v>0.285714285714286</v>
      </c>
      <c r="EO187" s="9" t="n">
        <f aca="false">(EJ187/DS187)</f>
        <v>0.0476190476190476</v>
      </c>
      <c r="EP187" s="9" t="n">
        <f aca="false">(EK187/DT187)</f>
        <v>0.1</v>
      </c>
      <c r="EQ187" s="9" t="n">
        <f aca="false">(EL187/DU187)</f>
        <v>0.352941176470588</v>
      </c>
      <c r="ER187" s="9" t="n">
        <f aca="false">EM187/DV187</f>
        <v>0.144736842105263</v>
      </c>
      <c r="ES187" s="9" t="n">
        <f aca="false">(100*ER187)</f>
        <v>14.4736842105263</v>
      </c>
      <c r="ET187" s="9" t="n">
        <v>2</v>
      </c>
      <c r="EU187" s="18" t="n">
        <v>5</v>
      </c>
      <c r="EV187" s="9" t="n">
        <v>0</v>
      </c>
      <c r="EW187" s="9" t="n">
        <v>1</v>
      </c>
      <c r="EX187" s="9" t="n">
        <v>3</v>
      </c>
      <c r="EY187" s="11" t="n">
        <f aca="false">(EU187+EV187+EW187+EX187)/4</f>
        <v>2.25</v>
      </c>
      <c r="EZ187" s="11" t="n">
        <f aca="false">(EU187/DR187)</f>
        <v>0.714285714285714</v>
      </c>
      <c r="FA187" s="11" t="n">
        <f aca="false">(EV187/DS187)</f>
        <v>0</v>
      </c>
      <c r="FB187" s="11" t="n">
        <f aca="false">(EW187/DT187)</f>
        <v>0.1</v>
      </c>
      <c r="FC187" s="11" t="n">
        <f aca="false">(EX187/DU187)</f>
        <v>0.176470588235294</v>
      </c>
      <c r="FD187" s="11" t="n">
        <f aca="false">(EY187/DV187)</f>
        <v>0.118421052631579</v>
      </c>
      <c r="FE187" s="11" t="n">
        <f aca="false">(100*FD187)</f>
        <v>11.8421052631579</v>
      </c>
      <c r="FF187" s="9" t="n">
        <v>2</v>
      </c>
      <c r="FG187" s="9" t="n">
        <v>4</v>
      </c>
      <c r="FH187" s="9" t="n">
        <v>0</v>
      </c>
      <c r="FI187" s="9" t="n">
        <v>8</v>
      </c>
      <c r="FJ187" s="9" t="n">
        <v>6</v>
      </c>
      <c r="FK187" s="11" t="n">
        <f aca="false">(FG187+FH187+FI187+FJ187)/4</f>
        <v>4.5</v>
      </c>
      <c r="FL187" s="11" t="n">
        <f aca="false">(FG187/DR187)</f>
        <v>0.571428571428571</v>
      </c>
      <c r="FM187" s="11" t="n">
        <f aca="false">(FH187/DS187)</f>
        <v>0</v>
      </c>
      <c r="FN187" s="11" t="n">
        <f aca="false">(FI187/DT187)</f>
        <v>0.8</v>
      </c>
      <c r="FO187" s="11" t="n">
        <f aca="false">(FJ187/DU187)</f>
        <v>0.352941176470588</v>
      </c>
      <c r="FP187" s="11" t="n">
        <f aca="false">(FK187/DV187)</f>
        <v>0.236842105263158</v>
      </c>
      <c r="FQ187" s="11" t="n">
        <f aca="false">(100*FP187)</f>
        <v>23.6842105263158</v>
      </c>
      <c r="FR187" s="9" t="n">
        <v>2</v>
      </c>
      <c r="FS187" s="9" t="n">
        <v>53.2</v>
      </c>
      <c r="FT187" s="9" t="n">
        <v>48.8</v>
      </c>
      <c r="FU187" s="9" t="n">
        <v>51.8</v>
      </c>
      <c r="FV187" s="9" t="n">
        <v>51.2</v>
      </c>
      <c r="FW187" s="11" t="n">
        <f aca="false">(FS187+FT187+FU187+FV187)/4</f>
        <v>51.25</v>
      </c>
      <c r="FX187" s="9" t="n">
        <v>0</v>
      </c>
      <c r="FY187" s="9" t="n">
        <v>0</v>
      </c>
      <c r="FZ187" s="9" t="n">
        <v>0</v>
      </c>
      <c r="GA187" s="9" t="n">
        <v>0</v>
      </c>
      <c r="GB187" s="11" t="n">
        <f aca="false">(FX187+FY187+FZ187+GA187)/4</f>
        <v>0</v>
      </c>
      <c r="GC187" s="9" t="n">
        <v>1</v>
      </c>
      <c r="GD187" s="9" t="n">
        <v>1</v>
      </c>
      <c r="GE187" s="9" t="n">
        <v>1</v>
      </c>
      <c r="GF187" s="9" t="n">
        <v>0</v>
      </c>
      <c r="GG187" s="11" t="n">
        <f aca="false">(GC187+GD187+GE187+GF187)/4</f>
        <v>0.75</v>
      </c>
      <c r="GH187" s="9" t="n">
        <v>1</v>
      </c>
      <c r="GI187" s="9" t="n">
        <v>1</v>
      </c>
      <c r="GJ187" s="9" t="n">
        <v>1</v>
      </c>
      <c r="GK187" s="9" t="n">
        <v>0</v>
      </c>
      <c r="GL187" s="11" t="n">
        <f aca="false">(GH187+GI187+GJ187+GK187)/4</f>
        <v>0.75</v>
      </c>
      <c r="GM187" s="9" t="n">
        <v>70</v>
      </c>
      <c r="GN187" s="9" t="n">
        <v>18</v>
      </c>
      <c r="GO187" s="9" t="n">
        <v>18</v>
      </c>
      <c r="GP187" s="9" t="n">
        <v>162</v>
      </c>
      <c r="GQ187" s="11" t="n">
        <f aca="false">(GM187+GN187+GO187+GP187)/4</f>
        <v>67</v>
      </c>
      <c r="GR187" s="9" t="n">
        <v>28</v>
      </c>
      <c r="GS187" s="9" t="n">
        <v>16</v>
      </c>
      <c r="GT187" s="9" t="n">
        <v>24</v>
      </c>
      <c r="GU187" s="9" t="n">
        <v>0</v>
      </c>
      <c r="GV187" s="11" t="n">
        <f aca="false">(GR187+GS187+GT187+GU187)/4</f>
        <v>17</v>
      </c>
      <c r="GW187" s="9" t="n">
        <v>0</v>
      </c>
      <c r="GX187" s="9" t="n">
        <v>0</v>
      </c>
      <c r="GY187" s="9" t="n">
        <v>0</v>
      </c>
      <c r="GZ187" s="9" t="n">
        <v>0</v>
      </c>
      <c r="HA187" s="11" t="n">
        <f aca="false">(GW187+GX187+GY187+GZ187)/4</f>
        <v>0</v>
      </c>
      <c r="HB187" s="9" t="n">
        <f aca="false">(GW187/GR187)</f>
        <v>0</v>
      </c>
      <c r="HC187" s="9" t="n">
        <f aca="false">(GX187/GS187)</f>
        <v>0</v>
      </c>
      <c r="HD187" s="9" t="n">
        <f aca="false">(GY187/GT187)</f>
        <v>0</v>
      </c>
      <c r="HE187" s="9" t="e">
        <f aca="false">(GZ187/GU187)/4</f>
        <v>#DIV/0!</v>
      </c>
      <c r="HF187" s="9" t="e">
        <f aca="false">(HB187+HC187+HD187+HE187)/4</f>
        <v>#DIV/0!</v>
      </c>
      <c r="HG187" s="9" t="e">
        <f aca="false">(100*HF187)</f>
        <v>#DIV/0!</v>
      </c>
      <c r="HH187" s="18"/>
      <c r="HI187" s="9" t="n">
        <v>5</v>
      </c>
      <c r="HJ187" s="9" t="n">
        <v>2</v>
      </c>
      <c r="HK187" s="9" t="n">
        <v>3</v>
      </c>
      <c r="HL187" s="19" t="n">
        <v>0</v>
      </c>
      <c r="HM187" s="9" t="n">
        <f aca="false">(HI187+HJ187+HK187+HL187)/4</f>
        <v>2.5</v>
      </c>
      <c r="HN187" s="9" t="n">
        <f aca="false">(HI187/GR187)</f>
        <v>0.178571428571429</v>
      </c>
      <c r="HO187" s="9" t="n">
        <f aca="false">(HJ187/GS187)</f>
        <v>0.125</v>
      </c>
      <c r="HP187" s="9" t="n">
        <f aca="false">(HK187/GT187)</f>
        <v>0.125</v>
      </c>
      <c r="HQ187" s="9" t="e">
        <f aca="false">(HL187/GU187)</f>
        <v>#DIV/0!</v>
      </c>
      <c r="HR187" s="9" t="n">
        <f aca="false">(HM187/GV187)</f>
        <v>0.147058823529412</v>
      </c>
      <c r="HS187" s="9" t="n">
        <f aca="false">(100*HR187)</f>
        <v>14.7058823529412</v>
      </c>
      <c r="HT187" s="18" t="n">
        <v>2</v>
      </c>
      <c r="HU187" s="9" t="n">
        <v>0</v>
      </c>
      <c r="HV187" s="9" t="n">
        <v>0</v>
      </c>
      <c r="HW187" s="9" t="n">
        <v>3</v>
      </c>
      <c r="HX187" s="19" t="n">
        <v>0</v>
      </c>
      <c r="HY187" s="9" t="n">
        <f aca="false">(HU187+HV187+HW187+HX187)/4</f>
        <v>0.75</v>
      </c>
      <c r="HZ187" s="9" t="n">
        <f aca="false">(HU187/GR187)</f>
        <v>0</v>
      </c>
      <c r="IA187" s="9" t="n">
        <f aca="false">HV187/GS187</f>
        <v>0</v>
      </c>
      <c r="IB187" s="9" t="n">
        <f aca="false">(HW187/GT187)</f>
        <v>0.125</v>
      </c>
      <c r="IC187" s="9" t="e">
        <f aca="false">(HX187/GU187)</f>
        <v>#DIV/0!</v>
      </c>
      <c r="ID187" s="9" t="n">
        <f aca="false">(HY187/GV187)</f>
        <v>0.0441176470588235</v>
      </c>
      <c r="IE187" s="9" t="n">
        <f aca="false">(100*ID187)</f>
        <v>4.41176470588235</v>
      </c>
      <c r="IF187" s="18" t="n">
        <v>1</v>
      </c>
      <c r="IG187" s="9" t="n">
        <v>5</v>
      </c>
      <c r="IH187" s="9" t="n">
        <v>3</v>
      </c>
      <c r="II187" s="19" t="n">
        <v>0</v>
      </c>
      <c r="IJ187" s="9" t="n">
        <v>0</v>
      </c>
      <c r="IK187" s="9" t="n">
        <f aca="false">(IG187+IH187+II187+IJ187)/4</f>
        <v>2</v>
      </c>
      <c r="IL187" s="9" t="n">
        <f aca="false">(IG187/GM187)</f>
        <v>0.0714285714285714</v>
      </c>
      <c r="IM187" s="9" t="n">
        <f aca="false">(IH187/GN187)</f>
        <v>0.166666666666667</v>
      </c>
      <c r="IN187" s="9" t="n">
        <f aca="false">(II187/GO187)</f>
        <v>0</v>
      </c>
      <c r="IO187" s="9" t="n">
        <f aca="false">(IJ187/GP187)</f>
        <v>0</v>
      </c>
      <c r="IP187" s="9" t="n">
        <f aca="false">(IK187/GQ187)</f>
        <v>0.0298507462686567</v>
      </c>
      <c r="IQ187" s="9" t="n">
        <f aca="false">(100*IP187)</f>
        <v>2.98507462686567</v>
      </c>
      <c r="IR187" s="18" t="n">
        <v>1</v>
      </c>
      <c r="IS187" s="9" t="n">
        <v>66.9</v>
      </c>
      <c r="IT187" s="9" t="n">
        <v>73.4</v>
      </c>
      <c r="IU187" s="19" t="n">
        <v>44.7</v>
      </c>
      <c r="IV187" s="9" t="n">
        <v>67.5</v>
      </c>
      <c r="IW187" s="9" t="n">
        <f aca="false">(IS187+IT187+IU187+IV187)/4</f>
        <v>63.125</v>
      </c>
      <c r="IX187" s="16" t="n">
        <v>45239</v>
      </c>
      <c r="IY187" s="10" t="s">
        <v>268</v>
      </c>
    </row>
    <row r="188" customFormat="false" ht="15.75" hidden="false" customHeight="true" outlineLevel="0" collapsed="false">
      <c r="A188" s="9" t="s">
        <v>343</v>
      </c>
      <c r="B188" s="10" t="s">
        <v>691</v>
      </c>
      <c r="C188" s="10" t="s">
        <v>626</v>
      </c>
      <c r="D188" s="9" t="n">
        <v>3</v>
      </c>
      <c r="E188" s="9" t="n">
        <v>63</v>
      </c>
      <c r="F188" s="10" t="s">
        <v>692</v>
      </c>
      <c r="G188" s="10" t="s">
        <v>297</v>
      </c>
      <c r="H188" s="9" t="n">
        <v>21</v>
      </c>
      <c r="I188" s="9" t="n">
        <v>4</v>
      </c>
      <c r="J188" s="12" t="s">
        <v>264</v>
      </c>
      <c r="K188" s="23" t="s">
        <v>693</v>
      </c>
      <c r="L188" s="13" t="s">
        <v>694</v>
      </c>
      <c r="M188" s="32" t="n">
        <v>1316</v>
      </c>
      <c r="N188" s="15" t="n">
        <v>45155</v>
      </c>
      <c r="O188" s="10" t="s">
        <v>294</v>
      </c>
      <c r="P188" s="9"/>
      <c r="Q188" s="9" t="n">
        <v>10.96</v>
      </c>
      <c r="R188" s="9" t="n">
        <v>10</v>
      </c>
      <c r="S188" s="9" t="n">
        <v>-20</v>
      </c>
      <c r="T188" s="9" t="n">
        <v>120</v>
      </c>
      <c r="U188" s="9"/>
      <c r="V188" s="9" t="n">
        <f aca="false">(15.5/100)</f>
        <v>0.155</v>
      </c>
      <c r="W188" s="9" t="s">
        <v>695</v>
      </c>
      <c r="X188" s="9" t="n">
        <v>0</v>
      </c>
      <c r="Y188" s="9" t="n">
        <v>0</v>
      </c>
      <c r="Z188" s="9" t="n">
        <v>0</v>
      </c>
      <c r="AA188" s="9" t="n">
        <v>0</v>
      </c>
      <c r="AB188" s="11" t="n">
        <f aca="false">(X188+Y188+Z188+AA188)/4</f>
        <v>0</v>
      </c>
      <c r="AC188" s="9" t="n">
        <v>0</v>
      </c>
      <c r="AD188" s="9" t="n">
        <v>0</v>
      </c>
      <c r="AE188" s="9" t="n">
        <v>1</v>
      </c>
      <c r="AF188" s="9" t="n">
        <v>1</v>
      </c>
      <c r="AG188" s="11" t="n">
        <f aca="false">(AC188+AD188+AE188+AF188)/4</f>
        <v>0.5</v>
      </c>
      <c r="AH188" s="9" t="n">
        <v>1</v>
      </c>
      <c r="AI188" s="9" t="n">
        <v>1</v>
      </c>
      <c r="AJ188" s="9" t="n">
        <v>1</v>
      </c>
      <c r="AK188" s="9" t="n">
        <v>0</v>
      </c>
      <c r="AL188" s="11" t="n">
        <f aca="false">(AH188+AI188+AJ188+AK188)/4</f>
        <v>0.75</v>
      </c>
      <c r="AM188" s="9" t="n">
        <v>25</v>
      </c>
      <c r="AN188" s="9" t="n">
        <v>26</v>
      </c>
      <c r="AO188" s="9" t="n">
        <v>32</v>
      </c>
      <c r="AP188" s="9" t="n">
        <v>32</v>
      </c>
      <c r="AQ188" s="11" t="n">
        <f aca="false">(AM188+AN188+AO188+AP188)/4</f>
        <v>28.75</v>
      </c>
      <c r="AR188" s="9" t="n">
        <v>12</v>
      </c>
      <c r="AS188" s="9" t="n">
        <v>26</v>
      </c>
      <c r="AT188" s="9" t="n">
        <v>23</v>
      </c>
      <c r="AU188" s="9" t="n">
        <v>5</v>
      </c>
      <c r="AV188" s="11" t="n">
        <f aca="false">(AR188+AS188+AT188+AU188)/4</f>
        <v>16.5</v>
      </c>
      <c r="AW188" s="9" t="n">
        <v>0</v>
      </c>
      <c r="AX188" s="9" t="n">
        <v>0</v>
      </c>
      <c r="AY188" s="9" t="n">
        <v>0</v>
      </c>
      <c r="AZ188" s="9" t="n">
        <v>0</v>
      </c>
      <c r="BA188" s="11" t="n">
        <f aca="false">(AW188+AX188+AY188+AZ188)/4</f>
        <v>0</v>
      </c>
      <c r="BB188" s="11" t="n">
        <f aca="false">(AW188/AR188)</f>
        <v>0</v>
      </c>
      <c r="BC188" s="11" t="n">
        <f aca="false">(AX188/AS188)</f>
        <v>0</v>
      </c>
      <c r="BD188" s="11" t="n">
        <f aca="false">(AY188/AT188)</f>
        <v>0</v>
      </c>
      <c r="BE188" s="11" t="n">
        <f aca="false">(AZ188/AU188)</f>
        <v>0</v>
      </c>
      <c r="BF188" s="11" t="n">
        <f aca="false">(BA188/AV188)</f>
        <v>0</v>
      </c>
      <c r="BG188" s="11" t="n">
        <f aca="false">(BF188*100)</f>
        <v>0</v>
      </c>
      <c r="BH188" s="9" t="n">
        <v>0</v>
      </c>
      <c r="BI188" s="9" t="n">
        <v>0</v>
      </c>
      <c r="BJ188" s="9" t="n">
        <v>0</v>
      </c>
      <c r="BK188" s="9" t="n">
        <v>4</v>
      </c>
      <c r="BL188" s="9" t="n">
        <v>4</v>
      </c>
      <c r="BM188" s="11" t="n">
        <f aca="false">(BI188+BJ188+BK188+BL188)/4</f>
        <v>2</v>
      </c>
      <c r="BN188" s="11" t="n">
        <f aca="false">(BI188/AR188)</f>
        <v>0</v>
      </c>
      <c r="BO188" s="11" t="n">
        <f aca="false">(BJ188/AS188)</f>
        <v>0</v>
      </c>
      <c r="BP188" s="11" t="n">
        <f aca="false">(BK188/AT188)</f>
        <v>0.173913043478261</v>
      </c>
      <c r="BQ188" s="11" t="n">
        <f aca="false">(BL188/AU188)</f>
        <v>0.8</v>
      </c>
      <c r="BR188" s="11" t="n">
        <f aca="false">(BM188/AV188)</f>
        <v>0.121212121212121</v>
      </c>
      <c r="BS188" s="11" t="n">
        <f aca="false">(100*BR188)</f>
        <v>12.1212121212121</v>
      </c>
      <c r="BT188" s="9" t="n">
        <v>2</v>
      </c>
      <c r="BU188" s="9" t="n">
        <v>1</v>
      </c>
      <c r="BV188" s="9" t="n">
        <v>2</v>
      </c>
      <c r="BW188" s="9" t="n">
        <v>2</v>
      </c>
      <c r="BX188" s="9" t="n">
        <v>0</v>
      </c>
      <c r="BY188" s="11" t="n">
        <f aca="false">(BU188+BV188+BW188+BX188)/4</f>
        <v>1.25</v>
      </c>
      <c r="BZ188" s="11" t="n">
        <f aca="false">(BU188/AR188)</f>
        <v>0.0833333333333333</v>
      </c>
      <c r="CA188" s="11" t="n">
        <f aca="false">(BV188/AS188)</f>
        <v>0.0769230769230769</v>
      </c>
      <c r="CB188" s="11" t="n">
        <f aca="false">(BW188/AT188)</f>
        <v>0.0869565217391304</v>
      </c>
      <c r="CC188" s="11" t="n">
        <f aca="false">(BX188/AU188)</f>
        <v>0</v>
      </c>
      <c r="CD188" s="11" t="n">
        <f aca="false">(BY188/AV188)</f>
        <v>0.0757575757575758</v>
      </c>
      <c r="CE188" s="11" t="n">
        <f aca="false">(100*CD188)</f>
        <v>7.57575757575758</v>
      </c>
      <c r="CF188" s="9" t="n">
        <v>1</v>
      </c>
      <c r="CG188" s="9" t="n">
        <v>0</v>
      </c>
      <c r="CH188" s="9" t="n">
        <v>0</v>
      </c>
      <c r="CI188" s="9" t="n">
        <v>0</v>
      </c>
      <c r="CJ188" s="9" t="n">
        <v>0</v>
      </c>
      <c r="CK188" s="11" t="n">
        <f aca="false">(CG188+CH188+CI188+CJ188)/4</f>
        <v>0</v>
      </c>
      <c r="CL188" s="11" t="n">
        <f aca="false">(CG188/AM188)</f>
        <v>0</v>
      </c>
      <c r="CM188" s="11" t="n">
        <f aca="false">(CH188/AN188)</f>
        <v>0</v>
      </c>
      <c r="CN188" s="11" t="n">
        <f aca="false">(CI188/AO188)</f>
        <v>0</v>
      </c>
      <c r="CO188" s="9" t="n">
        <f aca="false">(CJ188/AP188)</f>
        <v>0</v>
      </c>
      <c r="CP188" s="9" t="n">
        <f aca="false">(CK188/AQ188)</f>
        <v>0</v>
      </c>
      <c r="CQ188" s="9" t="n">
        <f aca="false">(100*CP188)</f>
        <v>0</v>
      </c>
      <c r="CR188" s="18" t="n">
        <v>0</v>
      </c>
      <c r="CS188" s="9" t="n">
        <v>69.9</v>
      </c>
      <c r="CT188" s="9" t="n">
        <v>50.7</v>
      </c>
      <c r="CU188" s="9" t="n">
        <v>56.4</v>
      </c>
      <c r="CV188" s="9" t="n">
        <v>54.7</v>
      </c>
      <c r="CW188" s="11" t="n">
        <f aca="false">(CS188+CT188+CU188+CV188)/4</f>
        <v>57.925</v>
      </c>
      <c r="CX188" s="9" t="n">
        <v>0</v>
      </c>
      <c r="CY188" s="9" t="n">
        <v>0</v>
      </c>
      <c r="CZ188" s="9" t="n">
        <v>0</v>
      </c>
      <c r="DA188" s="9" t="n">
        <v>0</v>
      </c>
      <c r="DB188" s="11" t="n">
        <f aca="false">(CX188+CY188+CZ188+DA188)/4</f>
        <v>0</v>
      </c>
      <c r="DC188" s="9" t="n">
        <v>1</v>
      </c>
      <c r="DD188" s="9" t="n">
        <v>1</v>
      </c>
      <c r="DE188" s="9" t="n">
        <v>0</v>
      </c>
      <c r="DF188" s="9" t="n">
        <v>1</v>
      </c>
      <c r="DG188" s="11" t="n">
        <f aca="false">(DC188+DD188+DE188+DF188)/4</f>
        <v>0.75</v>
      </c>
      <c r="DH188" s="9" t="n">
        <v>1</v>
      </c>
      <c r="DI188" s="9" t="n">
        <v>1</v>
      </c>
      <c r="DJ188" s="9" t="n">
        <v>1</v>
      </c>
      <c r="DK188" s="9" t="n">
        <v>1</v>
      </c>
      <c r="DL188" s="11" t="n">
        <f aca="false">(DH188+DI188+DJ188+DK188)/4</f>
        <v>1</v>
      </c>
      <c r="DM188" s="9" t="n">
        <v>30</v>
      </c>
      <c r="DN188" s="9" t="n">
        <v>36</v>
      </c>
      <c r="DO188" s="9" t="n">
        <v>18</v>
      </c>
      <c r="DP188" s="9" t="n">
        <v>70</v>
      </c>
      <c r="DQ188" s="11" t="n">
        <f aca="false">(DM188+DN188+DO188+DP188)/4</f>
        <v>38.5</v>
      </c>
      <c r="DR188" s="9" t="n">
        <v>14</v>
      </c>
      <c r="DS188" s="9" t="n">
        <v>36</v>
      </c>
      <c r="DT188" s="9" t="n">
        <v>12</v>
      </c>
      <c r="DU188" s="9" t="n">
        <v>27</v>
      </c>
      <c r="DV188" s="11" t="n">
        <f aca="false">(DR188+DS188+DT188+DU188)/4</f>
        <v>22.25</v>
      </c>
      <c r="DW188" s="9" t="n">
        <v>0</v>
      </c>
      <c r="DX188" s="9" t="n">
        <v>0</v>
      </c>
      <c r="DY188" s="9" t="n">
        <v>0</v>
      </c>
      <c r="DZ188" s="9" t="n">
        <v>0</v>
      </c>
      <c r="EA188" s="11" t="n">
        <f aca="false">(DW188+DX188+DY188+DZ188)/4</f>
        <v>0</v>
      </c>
      <c r="EB188" s="11" t="n">
        <f aca="false">(DW188/DR188)</f>
        <v>0</v>
      </c>
      <c r="EC188" s="11" t="n">
        <f aca="false">(DX188/DS188)</f>
        <v>0</v>
      </c>
      <c r="ED188" s="11" t="n">
        <f aca="false">(DY188/DT188)</f>
        <v>0</v>
      </c>
      <c r="EE188" s="11" t="n">
        <f aca="false">(DZ188/DU188)</f>
        <v>0</v>
      </c>
      <c r="EF188" s="11" t="n">
        <f aca="false">(EA188/DV188)</f>
        <v>0</v>
      </c>
      <c r="EG188" s="11" t="n">
        <f aca="false">(100*EF188)</f>
        <v>0</v>
      </c>
      <c r="EH188" s="9" t="n">
        <v>0</v>
      </c>
      <c r="EI188" s="9" t="n">
        <v>2</v>
      </c>
      <c r="EJ188" s="9" t="n">
        <v>3</v>
      </c>
      <c r="EK188" s="19" t="n">
        <v>0</v>
      </c>
      <c r="EL188" s="9" t="n">
        <v>2</v>
      </c>
      <c r="EM188" s="9" t="n">
        <f aca="false">(EI188+EJ188+EK188+EL188)/4</f>
        <v>1.75</v>
      </c>
      <c r="EN188" s="9" t="n">
        <f aca="false">(EI188/DR188)</f>
        <v>0.142857142857143</v>
      </c>
      <c r="EO188" s="9" t="n">
        <f aca="false">(EJ188/DS188)</f>
        <v>0.0833333333333333</v>
      </c>
      <c r="EP188" s="9" t="n">
        <f aca="false">(EK188/DT188)</f>
        <v>0</v>
      </c>
      <c r="EQ188" s="9" t="n">
        <f aca="false">(EL188/DU188)</f>
        <v>0.0740740740740741</v>
      </c>
      <c r="ER188" s="9" t="n">
        <f aca="false">EM188/DV188</f>
        <v>0.0786516853932584</v>
      </c>
      <c r="ES188" s="9" t="n">
        <f aca="false">(100*ER188)</f>
        <v>7.86516853932584</v>
      </c>
      <c r="ET188" s="9" t="n">
        <v>1</v>
      </c>
      <c r="EU188" s="18" t="n">
        <v>2</v>
      </c>
      <c r="EV188" s="9" t="n">
        <v>3</v>
      </c>
      <c r="EW188" s="9" t="n">
        <v>1</v>
      </c>
      <c r="EX188" s="9" t="n">
        <v>3</v>
      </c>
      <c r="EY188" s="11" t="n">
        <f aca="false">(EU188+EV188+EW188+EX188)/4</f>
        <v>2.25</v>
      </c>
      <c r="EZ188" s="11" t="n">
        <f aca="false">(EU188/DR188)</f>
        <v>0.142857142857143</v>
      </c>
      <c r="FA188" s="11" t="n">
        <f aca="false">(EV188/DS188)</f>
        <v>0.0833333333333333</v>
      </c>
      <c r="FB188" s="11" t="n">
        <f aca="false">(EW188/DT188)</f>
        <v>0.0833333333333333</v>
      </c>
      <c r="FC188" s="11" t="n">
        <f aca="false">(EX188/DU188)</f>
        <v>0.111111111111111</v>
      </c>
      <c r="FD188" s="11" t="n">
        <f aca="false">(EY188/DV188)</f>
        <v>0.101123595505618</v>
      </c>
      <c r="FE188" s="11" t="n">
        <f aca="false">(100*FD188)</f>
        <v>10.1123595505618</v>
      </c>
      <c r="FF188" s="9" t="n">
        <v>2</v>
      </c>
      <c r="FG188" s="9" t="n">
        <v>0</v>
      </c>
      <c r="FH188" s="9" t="n">
        <v>0</v>
      </c>
      <c r="FI188" s="9" t="n">
        <v>0</v>
      </c>
      <c r="FJ188" s="9" t="n">
        <v>0</v>
      </c>
      <c r="FK188" s="11" t="n">
        <f aca="false">(FG188+FH188+FI188+FJ188)/4</f>
        <v>0</v>
      </c>
      <c r="FL188" s="11" t="n">
        <f aca="false">(FG188/DR188)</f>
        <v>0</v>
      </c>
      <c r="FM188" s="11" t="n">
        <f aca="false">(FH188/DS188)</f>
        <v>0</v>
      </c>
      <c r="FN188" s="11" t="n">
        <f aca="false">(FI188/DT188)</f>
        <v>0</v>
      </c>
      <c r="FO188" s="11" t="n">
        <f aca="false">(FJ188/DU188)</f>
        <v>0</v>
      </c>
      <c r="FP188" s="11" t="n">
        <f aca="false">(FK188/DV188)</f>
        <v>0</v>
      </c>
      <c r="FQ188" s="11" t="n">
        <f aca="false">(100*FP188)</f>
        <v>0</v>
      </c>
      <c r="FR188" s="9" t="n">
        <v>0</v>
      </c>
      <c r="FS188" s="9"/>
      <c r="FT188" s="9"/>
      <c r="FU188" s="9"/>
      <c r="FV188" s="9"/>
      <c r="FW188" s="11" t="n">
        <f aca="false">(FS188+FT188+FU188+FV188)/4</f>
        <v>0</v>
      </c>
      <c r="FX188" s="9" t="n">
        <v>0</v>
      </c>
      <c r="FY188" s="9" t="n">
        <v>0</v>
      </c>
      <c r="FZ188" s="9" t="n">
        <v>0</v>
      </c>
      <c r="GA188" s="9" t="n">
        <v>0</v>
      </c>
      <c r="GB188" s="11" t="n">
        <f aca="false">(FX188+FY188+FZ188+GA188)/4</f>
        <v>0</v>
      </c>
      <c r="GC188" s="9" t="n">
        <v>1</v>
      </c>
      <c r="GD188" s="9" t="n">
        <v>1</v>
      </c>
      <c r="GE188" s="9" t="n">
        <v>0</v>
      </c>
      <c r="GF188" s="9" t="n">
        <v>1</v>
      </c>
      <c r="GG188" s="11" t="n">
        <f aca="false">(GC188+GD188+GE188+GF188)/4</f>
        <v>0.75</v>
      </c>
      <c r="GH188" s="9" t="n">
        <v>1</v>
      </c>
      <c r="GI188" s="9" t="n">
        <v>1</v>
      </c>
      <c r="GJ188" s="9" t="n">
        <v>1</v>
      </c>
      <c r="GK188" s="9" t="n">
        <v>1</v>
      </c>
      <c r="GL188" s="11" t="n">
        <f aca="false">(GH188+GI188+GJ188+GK188)/4</f>
        <v>1</v>
      </c>
      <c r="GM188" s="9" t="n">
        <v>25</v>
      </c>
      <c r="GN188" s="9" t="n">
        <v>12</v>
      </c>
      <c r="GO188" s="9" t="n">
        <v>37</v>
      </c>
      <c r="GP188" s="9" t="n">
        <v>16</v>
      </c>
      <c r="GQ188" s="11" t="n">
        <f aca="false">(GM188+GN188+GO188+GP188)/4</f>
        <v>22.5</v>
      </c>
      <c r="GR188" s="9" t="n">
        <v>25</v>
      </c>
      <c r="GS188" s="9" t="n">
        <v>19</v>
      </c>
      <c r="GT188" s="9" t="n">
        <v>22</v>
      </c>
      <c r="GU188" s="9" t="n">
        <v>12</v>
      </c>
      <c r="GV188" s="11" t="n">
        <f aca="false">(GR188+GS188+GT188+GU188)/4</f>
        <v>19.5</v>
      </c>
      <c r="GW188" s="9" t="n">
        <v>0</v>
      </c>
      <c r="GX188" s="9" t="n">
        <v>0</v>
      </c>
      <c r="GY188" s="9" t="n">
        <v>0</v>
      </c>
      <c r="GZ188" s="9" t="n">
        <v>0</v>
      </c>
      <c r="HA188" s="11" t="n">
        <f aca="false">(GW188+GX188+GY188+GZ188)/4</f>
        <v>0</v>
      </c>
      <c r="HB188" s="9" t="n">
        <f aca="false">(GW188/GR188)</f>
        <v>0</v>
      </c>
      <c r="HC188" s="9" t="n">
        <f aca="false">(GX188/GS188)</f>
        <v>0</v>
      </c>
      <c r="HD188" s="9" t="n">
        <f aca="false">(GY188/GT188)</f>
        <v>0</v>
      </c>
      <c r="HE188" s="9" t="n">
        <f aca="false">(GZ188/GU188)/4</f>
        <v>0</v>
      </c>
      <c r="HF188" s="9" t="n">
        <f aca="false">(HB188+HC188+HD188+HE188)/4</f>
        <v>0</v>
      </c>
      <c r="HG188" s="9" t="n">
        <f aca="false">(100*HF188)</f>
        <v>0</v>
      </c>
      <c r="HH188" s="18" t="n">
        <v>0</v>
      </c>
      <c r="HI188" s="9" t="n">
        <v>3</v>
      </c>
      <c r="HJ188" s="9" t="n">
        <v>3</v>
      </c>
      <c r="HK188" s="9" t="n">
        <v>0</v>
      </c>
      <c r="HL188" s="19" t="n">
        <v>2</v>
      </c>
      <c r="HM188" s="9" t="n">
        <f aca="false">(HI188+HJ188+HK188+HL188)/4</f>
        <v>2</v>
      </c>
      <c r="HN188" s="9" t="n">
        <f aca="false">(HI188/GR188)</f>
        <v>0.12</v>
      </c>
      <c r="HO188" s="9" t="n">
        <f aca="false">(HJ188/GS188)</f>
        <v>0.157894736842105</v>
      </c>
      <c r="HP188" s="9" t="n">
        <f aca="false">(HK188/GT188)</f>
        <v>0</v>
      </c>
      <c r="HQ188" s="9" t="n">
        <f aca="false">(HL188/GU188)</f>
        <v>0.166666666666667</v>
      </c>
      <c r="HR188" s="9" t="n">
        <f aca="false">(HM188/GV188)</f>
        <v>0.102564102564103</v>
      </c>
      <c r="HS188" s="9" t="n">
        <f aca="false">(100*HR188)</f>
        <v>10.2564102564103</v>
      </c>
      <c r="HT188" s="18" t="n">
        <v>2</v>
      </c>
      <c r="HU188" s="9" t="n">
        <v>0</v>
      </c>
      <c r="HV188" s="9" t="n">
        <v>0</v>
      </c>
      <c r="HW188" s="9" t="n">
        <v>0</v>
      </c>
      <c r="HX188" s="19" t="n">
        <v>0</v>
      </c>
      <c r="HY188" s="9" t="n">
        <f aca="false">(HU188+HV188+HW188+HX188)/4</f>
        <v>0</v>
      </c>
      <c r="HZ188" s="9" t="n">
        <f aca="false">(HU188/GR188)</f>
        <v>0</v>
      </c>
      <c r="IA188" s="9" t="n">
        <f aca="false">HV188/GS188</f>
        <v>0</v>
      </c>
      <c r="IB188" s="9" t="n">
        <f aca="false">(HW188/GT188)</f>
        <v>0</v>
      </c>
      <c r="IC188" s="9" t="n">
        <f aca="false">(HX188/GU188)</f>
        <v>0</v>
      </c>
      <c r="ID188" s="9" t="n">
        <f aca="false">(HY188/GV188)</f>
        <v>0</v>
      </c>
      <c r="IE188" s="9" t="n">
        <f aca="false">(100*ID188)</f>
        <v>0</v>
      </c>
      <c r="IF188" s="18" t="n">
        <v>0</v>
      </c>
      <c r="IG188" s="9" t="n">
        <v>1</v>
      </c>
      <c r="IH188" s="9" t="n">
        <v>4</v>
      </c>
      <c r="II188" s="19" t="n">
        <v>2</v>
      </c>
      <c r="IJ188" s="9" t="n">
        <v>2</v>
      </c>
      <c r="IK188" s="9" t="n">
        <f aca="false">(IG188+IH188+II188+IJ188)/4</f>
        <v>2.25</v>
      </c>
      <c r="IL188" s="9" t="n">
        <f aca="false">(IG188/GM188)</f>
        <v>0.04</v>
      </c>
      <c r="IM188" s="9" t="n">
        <f aca="false">(IH188/GN188)</f>
        <v>0.333333333333333</v>
      </c>
      <c r="IN188" s="9" t="n">
        <f aca="false">(II188/GO188)</f>
        <v>0.0540540540540541</v>
      </c>
      <c r="IO188" s="9" t="n">
        <f aca="false">(IJ188/GP188)</f>
        <v>0.125</v>
      </c>
      <c r="IP188" s="9" t="n">
        <f aca="false">(IK188/GQ188)</f>
        <v>0.1</v>
      </c>
      <c r="IQ188" s="9" t="n">
        <f aca="false">(100*IP188)</f>
        <v>10</v>
      </c>
      <c r="IR188" s="18" t="n">
        <v>2</v>
      </c>
      <c r="IS188" s="9"/>
      <c r="IT188" s="9"/>
      <c r="IU188" s="19"/>
      <c r="IV188" s="9"/>
      <c r="IW188" s="9" t="n">
        <f aca="false">(IS188+IT188+IU188+IV188)/4</f>
        <v>0</v>
      </c>
      <c r="IX188" s="16" t="n">
        <v>45239</v>
      </c>
      <c r="IY188" s="10" t="s">
        <v>268</v>
      </c>
    </row>
    <row r="189" customFormat="false" ht="15.75" hidden="false" customHeight="true" outlineLevel="0" collapsed="false">
      <c r="A189" s="9" t="s">
        <v>343</v>
      </c>
      <c r="B189" s="10" t="s">
        <v>691</v>
      </c>
      <c r="C189" s="10" t="s">
        <v>626</v>
      </c>
      <c r="D189" s="9" t="n">
        <v>3</v>
      </c>
      <c r="E189" s="9" t="n">
        <v>63</v>
      </c>
      <c r="F189" s="10" t="s">
        <v>696</v>
      </c>
      <c r="G189" s="10" t="s">
        <v>397</v>
      </c>
      <c r="H189" s="9" t="n">
        <v>21</v>
      </c>
      <c r="I189" s="9" t="n">
        <v>10</v>
      </c>
      <c r="J189" s="12" t="s">
        <v>270</v>
      </c>
      <c r="K189" s="20"/>
      <c r="L189" s="20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 t="n">
        <v>0</v>
      </c>
      <c r="Y189" s="9" t="n">
        <v>0</v>
      </c>
      <c r="Z189" s="9" t="n">
        <v>0</v>
      </c>
      <c r="AA189" s="9" t="n">
        <v>0</v>
      </c>
      <c r="AB189" s="11" t="n">
        <f aca="false">(X189+Y189+Z189+AA189)/4</f>
        <v>0</v>
      </c>
      <c r="AC189" s="9" t="n">
        <v>1</v>
      </c>
      <c r="AD189" s="9" t="n">
        <v>1</v>
      </c>
      <c r="AE189" s="9" t="n">
        <v>1</v>
      </c>
      <c r="AF189" s="9" t="n">
        <v>1</v>
      </c>
      <c r="AG189" s="11" t="n">
        <f aca="false">(AC189+AD189+AE189+AF189)/4</f>
        <v>1</v>
      </c>
      <c r="AH189" s="9" t="n">
        <v>1</v>
      </c>
      <c r="AI189" s="9" t="n">
        <v>0</v>
      </c>
      <c r="AJ189" s="9" t="n">
        <v>0</v>
      </c>
      <c r="AK189" s="9" t="n">
        <v>1</v>
      </c>
      <c r="AL189" s="11" t="n">
        <f aca="false">(AH189+AI189+AJ189+AK189)/4</f>
        <v>0.5</v>
      </c>
      <c r="AM189" s="9" t="n">
        <v>12</v>
      </c>
      <c r="AN189" s="9" t="n">
        <v>0</v>
      </c>
      <c r="AO189" s="9" t="n">
        <v>0</v>
      </c>
      <c r="AP189" s="9" t="n">
        <v>4</v>
      </c>
      <c r="AQ189" s="11" t="n">
        <f aca="false">(AM189+AN189+AO189+AP189)/4</f>
        <v>4</v>
      </c>
      <c r="AR189" s="9" t="n">
        <v>21</v>
      </c>
      <c r="AS189" s="9" t="n">
        <v>7</v>
      </c>
      <c r="AT189" s="9" t="n">
        <v>11</v>
      </c>
      <c r="AU189" s="9" t="n">
        <v>43</v>
      </c>
      <c r="AV189" s="11" t="n">
        <f aca="false">(AR189+AS189+AT189+AU189)/4</f>
        <v>20.5</v>
      </c>
      <c r="AW189" s="9" t="n">
        <v>0</v>
      </c>
      <c r="AX189" s="9" t="n">
        <v>0</v>
      </c>
      <c r="AY189" s="9" t="n">
        <v>0</v>
      </c>
      <c r="AZ189" s="9" t="n">
        <v>0</v>
      </c>
      <c r="BA189" s="11" t="n">
        <f aca="false">(AW189+AX189+AY189+AZ189)/4</f>
        <v>0</v>
      </c>
      <c r="BB189" s="11" t="n">
        <f aca="false">(AW189/AR189)</f>
        <v>0</v>
      </c>
      <c r="BC189" s="11" t="n">
        <f aca="false">(AX189/AS189)</f>
        <v>0</v>
      </c>
      <c r="BD189" s="11" t="n">
        <f aca="false">(AY189/AT189)</f>
        <v>0</v>
      </c>
      <c r="BE189" s="11" t="n">
        <f aca="false">(AZ189/AU189)</f>
        <v>0</v>
      </c>
      <c r="BF189" s="11" t="n">
        <f aca="false">(BA189/AV189)</f>
        <v>0</v>
      </c>
      <c r="BG189" s="11" t="n">
        <f aca="false">(BF189*100)</f>
        <v>0</v>
      </c>
      <c r="BH189" s="9" t="n">
        <v>0</v>
      </c>
      <c r="BI189" s="9" t="n">
        <v>2</v>
      </c>
      <c r="BJ189" s="9" t="n">
        <v>1</v>
      </c>
      <c r="BK189" s="9" t="n">
        <v>4</v>
      </c>
      <c r="BL189" s="9" t="n">
        <v>6</v>
      </c>
      <c r="BM189" s="11" t="n">
        <f aca="false">(BI189+BJ189+BK189+BL189)/4</f>
        <v>3.25</v>
      </c>
      <c r="BN189" s="11" t="n">
        <f aca="false">(BI189/AR189)</f>
        <v>0.0952380952380952</v>
      </c>
      <c r="BO189" s="11" t="n">
        <f aca="false">(BJ189/AS189)</f>
        <v>0.142857142857143</v>
      </c>
      <c r="BP189" s="11" t="n">
        <f aca="false">(BK189/AT189)</f>
        <v>0.363636363636364</v>
      </c>
      <c r="BQ189" s="11" t="n">
        <f aca="false">(BL189/AU189)</f>
        <v>0.13953488372093</v>
      </c>
      <c r="BR189" s="11" t="n">
        <f aca="false">(BM189/AV189)</f>
        <v>0.158536585365854</v>
      </c>
      <c r="BS189" s="11" t="n">
        <f aca="false">(100*BR189)</f>
        <v>15.8536585365854</v>
      </c>
      <c r="BT189" s="9" t="n">
        <v>2</v>
      </c>
      <c r="BU189" s="9" t="n">
        <v>0</v>
      </c>
      <c r="BV189" s="9" t="n">
        <v>0</v>
      </c>
      <c r="BW189" s="9" t="n">
        <v>0</v>
      </c>
      <c r="BX189" s="9" t="n">
        <v>0</v>
      </c>
      <c r="BY189" s="11" t="n">
        <f aca="false">(BU189+BV189+BW189+BX189)/4</f>
        <v>0</v>
      </c>
      <c r="BZ189" s="11" t="n">
        <f aca="false">(BU189/AR189)</f>
        <v>0</v>
      </c>
      <c r="CA189" s="11" t="n">
        <f aca="false">(BV189/AS189)</f>
        <v>0</v>
      </c>
      <c r="CB189" s="11" t="n">
        <f aca="false">(BW189/AT189)</f>
        <v>0</v>
      </c>
      <c r="CC189" s="11" t="n">
        <f aca="false">(BX189/AU189)</f>
        <v>0</v>
      </c>
      <c r="CD189" s="11" t="n">
        <f aca="false">(BY189/AV189)</f>
        <v>0</v>
      </c>
      <c r="CE189" s="11" t="n">
        <f aca="false">(100*CD189)</f>
        <v>0</v>
      </c>
      <c r="CF189" s="9" t="n">
        <v>0</v>
      </c>
      <c r="CG189" s="9" t="n">
        <v>2</v>
      </c>
      <c r="CH189" s="9" t="n">
        <v>0</v>
      </c>
      <c r="CI189" s="9" t="n">
        <v>0</v>
      </c>
      <c r="CJ189" s="9" t="n">
        <v>0</v>
      </c>
      <c r="CK189" s="11" t="n">
        <f aca="false">(CG189+CH189+CI189+CJ189)/4</f>
        <v>0.5</v>
      </c>
      <c r="CL189" s="11" t="n">
        <f aca="false">(CG189/AM189)</f>
        <v>0.166666666666667</v>
      </c>
      <c r="CM189" s="11" t="e">
        <f aca="false">(CH189/AN189)</f>
        <v>#DIV/0!</v>
      </c>
      <c r="CN189" s="11" t="e">
        <f aca="false">(CI189/AO189)</f>
        <v>#DIV/0!</v>
      </c>
      <c r="CO189" s="9" t="n">
        <f aca="false">(CJ189/AP189)</f>
        <v>0</v>
      </c>
      <c r="CP189" s="9" t="n">
        <f aca="false">(CK189/AQ189)</f>
        <v>0.125</v>
      </c>
      <c r="CQ189" s="9" t="n">
        <f aca="false">(100*CP189)</f>
        <v>12.5</v>
      </c>
      <c r="CR189" s="18" t="n">
        <v>3</v>
      </c>
      <c r="CS189" s="9" t="n">
        <v>61</v>
      </c>
      <c r="CT189" s="9" t="n">
        <v>75</v>
      </c>
      <c r="CU189" s="9" t="n">
        <v>49.7</v>
      </c>
      <c r="CV189" s="9" t="n">
        <v>56.6</v>
      </c>
      <c r="CW189" s="11" t="n">
        <f aca="false">(CS189+CT189+CU189+CV189)/4</f>
        <v>60.575</v>
      </c>
      <c r="CX189" s="9" t="n">
        <v>0</v>
      </c>
      <c r="CY189" s="9" t="n">
        <v>0</v>
      </c>
      <c r="CZ189" s="9" t="n">
        <v>0</v>
      </c>
      <c r="DA189" s="9" t="n">
        <v>0</v>
      </c>
      <c r="DB189" s="11" t="n">
        <f aca="false">(CX189+CY189+CZ189+DA189)/4</f>
        <v>0</v>
      </c>
      <c r="DC189" s="9" t="n">
        <v>1</v>
      </c>
      <c r="DD189" s="9" t="n">
        <v>1</v>
      </c>
      <c r="DE189" s="9" t="n">
        <v>1</v>
      </c>
      <c r="DF189" s="9" t="n">
        <v>1</v>
      </c>
      <c r="DG189" s="11" t="n">
        <f aca="false">(DC189+DD189+DE189+DF189)/4</f>
        <v>1</v>
      </c>
      <c r="DH189" s="9" t="n">
        <v>1</v>
      </c>
      <c r="DI189" s="9" t="n">
        <v>0</v>
      </c>
      <c r="DJ189" s="9" t="n">
        <v>0</v>
      </c>
      <c r="DK189" s="9" t="n">
        <v>1</v>
      </c>
      <c r="DL189" s="11" t="n">
        <f aca="false">(DH189+DI189+DJ189+DK189)/4</f>
        <v>0.5</v>
      </c>
      <c r="DM189" s="9" t="n">
        <v>1</v>
      </c>
      <c r="DN189" s="9" t="n">
        <v>7</v>
      </c>
      <c r="DO189" s="9" t="n">
        <v>0</v>
      </c>
      <c r="DP189" s="9" t="n">
        <v>12</v>
      </c>
      <c r="DQ189" s="11" t="n">
        <f aca="false">(DM189+DN189+DO189+DP189)/4</f>
        <v>5</v>
      </c>
      <c r="DR189" s="9" t="n">
        <v>5</v>
      </c>
      <c r="DS189" s="9" t="n">
        <v>20</v>
      </c>
      <c r="DT189" s="9" t="n">
        <v>8</v>
      </c>
      <c r="DU189" s="9" t="n">
        <v>14</v>
      </c>
      <c r="DV189" s="11" t="n">
        <f aca="false">(DR189+DS189+DT189+DU189)/4</f>
        <v>11.75</v>
      </c>
      <c r="DW189" s="9" t="n">
        <v>0</v>
      </c>
      <c r="DX189" s="9" t="n">
        <v>0</v>
      </c>
      <c r="DY189" s="9" t="n">
        <v>0</v>
      </c>
      <c r="DZ189" s="9" t="n">
        <v>0</v>
      </c>
      <c r="EA189" s="11" t="n">
        <f aca="false">(DW189+DX189+DY189+DZ189)/4</f>
        <v>0</v>
      </c>
      <c r="EB189" s="11" t="n">
        <f aca="false">(DW189/DR189)</f>
        <v>0</v>
      </c>
      <c r="EC189" s="11" t="n">
        <f aca="false">(DX189/DS189)</f>
        <v>0</v>
      </c>
      <c r="ED189" s="11" t="n">
        <f aca="false">(DY189/DT189)</f>
        <v>0</v>
      </c>
      <c r="EE189" s="11" t="n">
        <f aca="false">(DZ189/DU189)</f>
        <v>0</v>
      </c>
      <c r="EF189" s="11" t="n">
        <f aca="false">(EA189/DV189)</f>
        <v>0</v>
      </c>
      <c r="EG189" s="11" t="n">
        <f aca="false">(100*EF189)</f>
        <v>0</v>
      </c>
      <c r="EH189" s="9" t="n">
        <v>0</v>
      </c>
      <c r="EI189" s="9" t="n">
        <v>2</v>
      </c>
      <c r="EJ189" s="9" t="n">
        <v>3</v>
      </c>
      <c r="EK189" s="19" t="n">
        <v>1</v>
      </c>
      <c r="EL189" s="9" t="n">
        <v>3</v>
      </c>
      <c r="EM189" s="9" t="n">
        <f aca="false">(EI189+EJ189+EK189+EL189)/4</f>
        <v>2.25</v>
      </c>
      <c r="EN189" s="9" t="n">
        <f aca="false">(EI189/DR189)</f>
        <v>0.4</v>
      </c>
      <c r="EO189" s="9" t="n">
        <f aca="false">(EJ189/DS189)</f>
        <v>0.15</v>
      </c>
      <c r="EP189" s="9" t="n">
        <f aca="false">(EK189/DT189)</f>
        <v>0.125</v>
      </c>
      <c r="EQ189" s="9" t="n">
        <f aca="false">(EL189/DU189)</f>
        <v>0.214285714285714</v>
      </c>
      <c r="ER189" s="9" t="n">
        <f aca="false">EM189/DV189</f>
        <v>0.191489361702128</v>
      </c>
      <c r="ES189" s="9" t="n">
        <f aca="false">(100*ER189)</f>
        <v>19.1489361702128</v>
      </c>
      <c r="ET189" s="9" t="n">
        <v>2</v>
      </c>
      <c r="EU189" s="18" t="n">
        <v>0</v>
      </c>
      <c r="EV189" s="9" t="n">
        <v>0</v>
      </c>
      <c r="EW189" s="9" t="n">
        <v>0</v>
      </c>
      <c r="EX189" s="9" t="n">
        <v>0</v>
      </c>
      <c r="EY189" s="11" t="n">
        <f aca="false">(EU189+EV189+EW189+EX189)/4</f>
        <v>0</v>
      </c>
      <c r="EZ189" s="11" t="n">
        <f aca="false">(EU189/DR189)</f>
        <v>0</v>
      </c>
      <c r="FA189" s="11" t="n">
        <f aca="false">(EV189/DS189)</f>
        <v>0</v>
      </c>
      <c r="FB189" s="11" t="n">
        <f aca="false">(EW189/DT189)</f>
        <v>0</v>
      </c>
      <c r="FC189" s="11" t="n">
        <f aca="false">(EX189/DU189)</f>
        <v>0</v>
      </c>
      <c r="FD189" s="11" t="n">
        <f aca="false">(EY189/DV189)</f>
        <v>0</v>
      </c>
      <c r="FE189" s="11" t="n">
        <f aca="false">(100*FD189)</f>
        <v>0</v>
      </c>
      <c r="FF189" s="9" t="n">
        <v>0</v>
      </c>
      <c r="FG189" s="9" t="n">
        <v>0</v>
      </c>
      <c r="FH189" s="9" t="n">
        <v>0</v>
      </c>
      <c r="FI189" s="9" t="n">
        <v>0</v>
      </c>
      <c r="FJ189" s="9" t="n">
        <v>4</v>
      </c>
      <c r="FK189" s="11" t="n">
        <f aca="false">(FG189+FH189+FI189+FJ189)/4</f>
        <v>1</v>
      </c>
      <c r="FL189" s="11" t="n">
        <f aca="false">(FG189/DR189)</f>
        <v>0</v>
      </c>
      <c r="FM189" s="11" t="n">
        <f aca="false">(FH189/DS189)</f>
        <v>0</v>
      </c>
      <c r="FN189" s="11" t="n">
        <f aca="false">(FI189/DT189)</f>
        <v>0</v>
      </c>
      <c r="FO189" s="11" t="n">
        <f aca="false">(FJ189/DU189)</f>
        <v>0.285714285714286</v>
      </c>
      <c r="FP189" s="11" t="n">
        <f aca="false">(FK189/DV189)</f>
        <v>0.0851063829787234</v>
      </c>
      <c r="FQ189" s="11" t="n">
        <f aca="false">(100*FP189)</f>
        <v>8.51063829787234</v>
      </c>
      <c r="FR189" s="9" t="n">
        <v>2</v>
      </c>
      <c r="FS189" s="9"/>
      <c r="FT189" s="9"/>
      <c r="FU189" s="9"/>
      <c r="FV189" s="9"/>
      <c r="FW189" s="11" t="n">
        <f aca="false">(FS189+FT189+FU189+FV189)/4</f>
        <v>0</v>
      </c>
      <c r="FX189" s="9" t="n">
        <v>0</v>
      </c>
      <c r="FY189" s="9" t="n">
        <v>0</v>
      </c>
      <c r="FZ189" s="9" t="n">
        <v>0</v>
      </c>
      <c r="GA189" s="9" t="n">
        <v>0</v>
      </c>
      <c r="GB189" s="11" t="n">
        <f aca="false">(FX189+FY189+FZ189+GA189)/4</f>
        <v>0</v>
      </c>
      <c r="GC189" s="9" t="n">
        <v>1</v>
      </c>
      <c r="GD189" s="9" t="n">
        <v>1</v>
      </c>
      <c r="GE189" s="9" t="n">
        <v>0</v>
      </c>
      <c r="GF189" s="9" t="n">
        <v>1</v>
      </c>
      <c r="GG189" s="11" t="n">
        <f aca="false">(GC189+GD189+GE189+GF189)/4</f>
        <v>0.75</v>
      </c>
      <c r="GH189" s="9" t="n">
        <v>1</v>
      </c>
      <c r="GI189" s="9" t="n">
        <v>1</v>
      </c>
      <c r="GJ189" s="9" t="n">
        <v>1</v>
      </c>
      <c r="GK189" s="9" t="n">
        <v>1</v>
      </c>
      <c r="GL189" s="11" t="n">
        <f aca="false">(GH189+GI189+GJ189+GK189)/4</f>
        <v>1</v>
      </c>
      <c r="GM189" s="9" t="n">
        <v>1</v>
      </c>
      <c r="GN189" s="9" t="n">
        <v>6</v>
      </c>
      <c r="GO189" s="9" t="n">
        <v>25</v>
      </c>
      <c r="GP189" s="9" t="n">
        <v>8</v>
      </c>
      <c r="GQ189" s="11" t="n">
        <f aca="false">(GM189+GN189+GO189+GP189)/4</f>
        <v>10</v>
      </c>
      <c r="GR189" s="9" t="n">
        <v>17</v>
      </c>
      <c r="GS189" s="9" t="n">
        <v>22</v>
      </c>
      <c r="GT189" s="9" t="n">
        <v>11</v>
      </c>
      <c r="GU189" s="9" t="n">
        <v>11</v>
      </c>
      <c r="GV189" s="11" t="n">
        <f aca="false">(GR189+GS189+GT189+GU189)/4</f>
        <v>15.25</v>
      </c>
      <c r="GW189" s="9" t="n">
        <v>0</v>
      </c>
      <c r="GX189" s="9" t="n">
        <v>0</v>
      </c>
      <c r="GY189" s="9" t="n">
        <v>0</v>
      </c>
      <c r="GZ189" s="9" t="n">
        <v>0</v>
      </c>
      <c r="HA189" s="11" t="n">
        <f aca="false">(GW189+GX189+GY189+GZ189)/4</f>
        <v>0</v>
      </c>
      <c r="HB189" s="9" t="n">
        <f aca="false">(GW189/GR189)</f>
        <v>0</v>
      </c>
      <c r="HC189" s="9" t="n">
        <f aca="false">(GX189/GS189)</f>
        <v>0</v>
      </c>
      <c r="HD189" s="9" t="n">
        <f aca="false">(GY189/GT189)</f>
        <v>0</v>
      </c>
      <c r="HE189" s="9" t="n">
        <f aca="false">(GZ189/GU189)/4</f>
        <v>0</v>
      </c>
      <c r="HF189" s="9" t="n">
        <f aca="false">(HB189+HC189+HD189+HE189)/4</f>
        <v>0</v>
      </c>
      <c r="HG189" s="9" t="n">
        <f aca="false">(100*HF189)</f>
        <v>0</v>
      </c>
      <c r="HH189" s="18" t="n">
        <v>0</v>
      </c>
      <c r="HI189" s="9" t="n">
        <v>2</v>
      </c>
      <c r="HJ189" s="9" t="n">
        <v>4</v>
      </c>
      <c r="HK189" s="9" t="n">
        <v>3</v>
      </c>
      <c r="HL189" s="19" t="n">
        <v>4</v>
      </c>
      <c r="HM189" s="9" t="n">
        <f aca="false">(HI189+HJ189+HK189+HL189)/4</f>
        <v>3.25</v>
      </c>
      <c r="HN189" s="9" t="n">
        <f aca="false">(HI189/GR189)</f>
        <v>0.117647058823529</v>
      </c>
      <c r="HO189" s="9" t="n">
        <f aca="false">(HJ189/GS189)</f>
        <v>0.181818181818182</v>
      </c>
      <c r="HP189" s="9" t="n">
        <f aca="false">(HK189/GT189)</f>
        <v>0.272727272727273</v>
      </c>
      <c r="HQ189" s="9" t="n">
        <f aca="false">(HL189/GU189)</f>
        <v>0.363636363636364</v>
      </c>
      <c r="HR189" s="9" t="n">
        <f aca="false">(HM189/GV189)</f>
        <v>0.213114754098361</v>
      </c>
      <c r="HS189" s="9" t="n">
        <f aca="false">(100*HR189)</f>
        <v>21.3114754098361</v>
      </c>
      <c r="HT189" s="18" t="n">
        <v>2</v>
      </c>
      <c r="HU189" s="9" t="n">
        <v>0</v>
      </c>
      <c r="HV189" s="9" t="n">
        <v>0</v>
      </c>
      <c r="HW189" s="9" t="n">
        <v>0</v>
      </c>
      <c r="HX189" s="19" t="n">
        <v>0</v>
      </c>
      <c r="HY189" s="9" t="n">
        <f aca="false">(HU189+HV189+HW189+HX189)/4</f>
        <v>0</v>
      </c>
      <c r="HZ189" s="9" t="n">
        <f aca="false">(HU189/GR189)</f>
        <v>0</v>
      </c>
      <c r="IA189" s="9" t="n">
        <f aca="false">HV189/GS189</f>
        <v>0</v>
      </c>
      <c r="IB189" s="9" t="n">
        <f aca="false">(HW189/GT189)</f>
        <v>0</v>
      </c>
      <c r="IC189" s="9" t="n">
        <f aca="false">(HX189/GU189)</f>
        <v>0</v>
      </c>
      <c r="ID189" s="9" t="n">
        <f aca="false">(HY189/GV189)</f>
        <v>0</v>
      </c>
      <c r="IE189" s="9" t="n">
        <f aca="false">(100*ID189)</f>
        <v>0</v>
      </c>
      <c r="IF189" s="18" t="n">
        <v>0</v>
      </c>
      <c r="IG189" s="9" t="n">
        <v>1</v>
      </c>
      <c r="IH189" s="9" t="n">
        <v>1</v>
      </c>
      <c r="II189" s="19" t="n">
        <v>4</v>
      </c>
      <c r="IJ189" s="9" t="n">
        <v>4</v>
      </c>
      <c r="IK189" s="9" t="n">
        <f aca="false">(IG189+IH189+II189+IJ189)/4</f>
        <v>2.5</v>
      </c>
      <c r="IL189" s="9" t="n">
        <f aca="false">(IG189/GM189)</f>
        <v>1</v>
      </c>
      <c r="IM189" s="9" t="n">
        <f aca="false">(IH189/GN189)</f>
        <v>0.166666666666667</v>
      </c>
      <c r="IN189" s="9" t="n">
        <f aca="false">(II189/GO189)</f>
        <v>0.16</v>
      </c>
      <c r="IO189" s="9" t="n">
        <f aca="false">(IJ189/GP189)</f>
        <v>0.5</v>
      </c>
      <c r="IP189" s="9" t="n">
        <f aca="false">(IK189/GQ189)</f>
        <v>0.25</v>
      </c>
      <c r="IQ189" s="9" t="n">
        <f aca="false">(100*IP189)</f>
        <v>25</v>
      </c>
      <c r="IR189" s="18" t="n">
        <v>2</v>
      </c>
      <c r="IS189" s="9"/>
      <c r="IT189" s="9"/>
      <c r="IU189" s="19"/>
      <c r="IV189" s="9"/>
      <c r="IW189" s="9" t="n">
        <f aca="false">(IS189+IT189+IU189+IV189)/4</f>
        <v>0</v>
      </c>
      <c r="IX189" s="16" t="n">
        <v>45239</v>
      </c>
      <c r="IY189" s="10" t="s">
        <v>268</v>
      </c>
    </row>
    <row r="190" customFormat="false" ht="15.75" hidden="false" customHeight="true" outlineLevel="0" collapsed="false">
      <c r="A190" s="9" t="s">
        <v>343</v>
      </c>
      <c r="B190" s="10" t="s">
        <v>691</v>
      </c>
      <c r="C190" s="10" t="s">
        <v>626</v>
      </c>
      <c r="D190" s="9" t="n">
        <v>3</v>
      </c>
      <c r="E190" s="9" t="n">
        <v>63</v>
      </c>
      <c r="F190" s="10" t="s">
        <v>697</v>
      </c>
      <c r="G190" s="10" t="s">
        <v>297</v>
      </c>
      <c r="H190" s="9" t="n">
        <v>21</v>
      </c>
      <c r="I190" s="9" t="n">
        <v>20</v>
      </c>
      <c r="J190" s="10" t="s">
        <v>272</v>
      </c>
      <c r="K190" s="20"/>
      <c r="L190" s="20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 t="n">
        <v>0</v>
      </c>
      <c r="Y190" s="9" t="n">
        <v>0</v>
      </c>
      <c r="Z190" s="9" t="n">
        <v>0</v>
      </c>
      <c r="AA190" s="9" t="n">
        <v>0</v>
      </c>
      <c r="AB190" s="11" t="n">
        <f aca="false">(X190+Y190+Z190+AA190)/4</f>
        <v>0</v>
      </c>
      <c r="AC190" s="9" t="n">
        <v>1</v>
      </c>
      <c r="AD190" s="9" t="n">
        <v>1</v>
      </c>
      <c r="AE190" s="9" t="n">
        <v>1</v>
      </c>
      <c r="AF190" s="9" t="n">
        <v>1</v>
      </c>
      <c r="AG190" s="11" t="n">
        <f aca="false">(AC190+AD190+AE190+AF190)/4</f>
        <v>1</v>
      </c>
      <c r="AH190" s="9" t="n">
        <v>0</v>
      </c>
      <c r="AI190" s="9" t="n">
        <v>1</v>
      </c>
      <c r="AJ190" s="9" t="n">
        <v>1</v>
      </c>
      <c r="AK190" s="9" t="n">
        <v>1</v>
      </c>
      <c r="AL190" s="11" t="n">
        <f aca="false">(AH190+AI190+AJ190+AK190)/4</f>
        <v>0.75</v>
      </c>
      <c r="AM190" s="9" t="n">
        <v>20</v>
      </c>
      <c r="AN190" s="9" t="n">
        <v>26</v>
      </c>
      <c r="AO190" s="9" t="n">
        <v>5</v>
      </c>
      <c r="AP190" s="9" t="n">
        <v>52</v>
      </c>
      <c r="AQ190" s="11" t="n">
        <f aca="false">(AM190+AN190+AO190+AP190)/4</f>
        <v>25.75</v>
      </c>
      <c r="AR190" s="9" t="n">
        <v>16</v>
      </c>
      <c r="AS190" s="9" t="n">
        <v>12</v>
      </c>
      <c r="AT190" s="9" t="n">
        <v>19</v>
      </c>
      <c r="AU190" s="9" t="n">
        <v>24</v>
      </c>
      <c r="AV190" s="11" t="n">
        <f aca="false">(AR190+AS190+AT190+AU190)/4</f>
        <v>17.75</v>
      </c>
      <c r="AW190" s="9" t="n">
        <v>0</v>
      </c>
      <c r="AX190" s="9" t="n">
        <v>0</v>
      </c>
      <c r="AY190" s="9" t="n">
        <v>0</v>
      </c>
      <c r="AZ190" s="9" t="n">
        <v>0</v>
      </c>
      <c r="BA190" s="11" t="n">
        <f aca="false">(AW190+AX190+AY190+AZ190)/4</f>
        <v>0</v>
      </c>
      <c r="BB190" s="11" t="n">
        <f aca="false">(AW190/AR190)</f>
        <v>0</v>
      </c>
      <c r="BC190" s="11" t="n">
        <f aca="false">(AX190/AS190)</f>
        <v>0</v>
      </c>
      <c r="BD190" s="11" t="n">
        <f aca="false">(AY190/AT190)</f>
        <v>0</v>
      </c>
      <c r="BE190" s="11" t="n">
        <f aca="false">(AZ190/AU190)</f>
        <v>0</v>
      </c>
      <c r="BF190" s="11" t="n">
        <f aca="false">(BA190/AV190)</f>
        <v>0</v>
      </c>
      <c r="BG190" s="11" t="n">
        <f aca="false">(BF190*100)</f>
        <v>0</v>
      </c>
      <c r="BH190" s="9" t="n">
        <v>0</v>
      </c>
      <c r="BI190" s="9" t="n">
        <v>6</v>
      </c>
      <c r="BJ190" s="9" t="n">
        <v>5</v>
      </c>
      <c r="BK190" s="9" t="n">
        <v>3</v>
      </c>
      <c r="BL190" s="9" t="n">
        <v>3</v>
      </c>
      <c r="BM190" s="11" t="n">
        <f aca="false">(BI190+BJ190+BK190+BL190)/4</f>
        <v>4.25</v>
      </c>
      <c r="BN190" s="11" t="n">
        <f aca="false">(BI190/AR190)</f>
        <v>0.375</v>
      </c>
      <c r="BO190" s="11" t="n">
        <f aca="false">(BJ190/AS190)</f>
        <v>0.416666666666667</v>
      </c>
      <c r="BP190" s="11" t="n">
        <f aca="false">(BK190/AT190)</f>
        <v>0.157894736842105</v>
      </c>
      <c r="BQ190" s="11" t="n">
        <f aca="false">(BL190/AU190)</f>
        <v>0.125</v>
      </c>
      <c r="BR190" s="11" t="n">
        <f aca="false">(BM190/AV190)</f>
        <v>0.23943661971831</v>
      </c>
      <c r="BS190" s="11" t="n">
        <f aca="false">(100*BR190)</f>
        <v>23.943661971831</v>
      </c>
      <c r="BT190" s="9" t="n">
        <v>2</v>
      </c>
      <c r="BU190" s="9" t="n">
        <v>0</v>
      </c>
      <c r="BV190" s="9" t="n">
        <v>0</v>
      </c>
      <c r="BW190" s="9" t="n">
        <v>0</v>
      </c>
      <c r="BX190" s="9" t="n">
        <v>0</v>
      </c>
      <c r="BY190" s="11" t="n">
        <f aca="false">(BU190+BV190+BW190+BX190)/4</f>
        <v>0</v>
      </c>
      <c r="BZ190" s="11" t="n">
        <f aca="false">(BU190/AR190)</f>
        <v>0</v>
      </c>
      <c r="CA190" s="11" t="n">
        <f aca="false">(BV190/AS190)</f>
        <v>0</v>
      </c>
      <c r="CB190" s="11" t="n">
        <f aca="false">(BW190/AT190)</f>
        <v>0</v>
      </c>
      <c r="CC190" s="11" t="n">
        <f aca="false">(BX190/AU190)</f>
        <v>0</v>
      </c>
      <c r="CD190" s="11" t="n">
        <f aca="false">(BY190/AV190)</f>
        <v>0</v>
      </c>
      <c r="CE190" s="11" t="n">
        <f aca="false">(100*CD190)</f>
        <v>0</v>
      </c>
      <c r="CF190" s="9" t="n">
        <v>0</v>
      </c>
      <c r="CG190" s="9" t="n">
        <v>0</v>
      </c>
      <c r="CH190" s="9" t="n">
        <v>6</v>
      </c>
      <c r="CI190" s="9" t="n">
        <v>1</v>
      </c>
      <c r="CJ190" s="9" t="n">
        <v>4</v>
      </c>
      <c r="CK190" s="11" t="n">
        <f aca="false">(CG190+CH190+CI190+CJ190)/4</f>
        <v>2.75</v>
      </c>
      <c r="CL190" s="11" t="n">
        <f aca="false">(CG190/AM190)</f>
        <v>0</v>
      </c>
      <c r="CM190" s="11" t="n">
        <f aca="false">(CH190/AN190)</f>
        <v>0.230769230769231</v>
      </c>
      <c r="CN190" s="11" t="n">
        <f aca="false">(CI190/AO190)</f>
        <v>0.2</v>
      </c>
      <c r="CO190" s="9" t="n">
        <f aca="false">(CJ190/AP190)</f>
        <v>0.0769230769230769</v>
      </c>
      <c r="CP190" s="9" t="n">
        <f aca="false">(CK190/AQ190)</f>
        <v>0.106796116504854</v>
      </c>
      <c r="CQ190" s="9" t="n">
        <f aca="false">(100*CP190)</f>
        <v>10.6796116504854</v>
      </c>
      <c r="CR190" s="18" t="n">
        <v>2</v>
      </c>
      <c r="CS190" s="9" t="n">
        <v>52.4</v>
      </c>
      <c r="CT190" s="9" t="n">
        <v>56</v>
      </c>
      <c r="CU190" s="9" t="n">
        <v>58.2</v>
      </c>
      <c r="CV190" s="9" t="n">
        <v>57.8</v>
      </c>
      <c r="CW190" s="11" t="n">
        <f aca="false">(CS190+CT190+CU190+CV190)/4</f>
        <v>56.1</v>
      </c>
      <c r="CX190" s="9" t="n">
        <v>0</v>
      </c>
      <c r="CY190" s="9" t="n">
        <v>0</v>
      </c>
      <c r="CZ190" s="9" t="n">
        <v>0</v>
      </c>
      <c r="DA190" s="9" t="n">
        <v>0</v>
      </c>
      <c r="DB190" s="11" t="n">
        <f aca="false">(CX190+CY190+CZ190+DA190)/4</f>
        <v>0</v>
      </c>
      <c r="DC190" s="9" t="n">
        <v>1</v>
      </c>
      <c r="DD190" s="9" t="n">
        <v>1</v>
      </c>
      <c r="DE190" s="9" t="n">
        <v>1</v>
      </c>
      <c r="DF190" s="9" t="n">
        <v>1</v>
      </c>
      <c r="DG190" s="11" t="n">
        <f aca="false">(DC190+DD190+DE190+DF190)/4</f>
        <v>1</v>
      </c>
      <c r="DH190" s="9" t="n">
        <v>0</v>
      </c>
      <c r="DI190" s="9" t="n">
        <v>1</v>
      </c>
      <c r="DJ190" s="9" t="n">
        <v>1</v>
      </c>
      <c r="DK190" s="9" t="n">
        <v>1</v>
      </c>
      <c r="DL190" s="11" t="n">
        <f aca="false">(DH190+DI190+DJ190+DK190)/4</f>
        <v>0.75</v>
      </c>
      <c r="DM190" s="9" t="n">
        <v>40</v>
      </c>
      <c r="DN190" s="9" t="n">
        <v>14</v>
      </c>
      <c r="DO190" s="9" t="n">
        <v>7</v>
      </c>
      <c r="DP190" s="9" t="n">
        <v>36</v>
      </c>
      <c r="DQ190" s="11" t="n">
        <f aca="false">(DM190+DN190+DO190+DP190)/4</f>
        <v>24.25</v>
      </c>
      <c r="DR190" s="9" t="n">
        <v>9</v>
      </c>
      <c r="DS190" s="9" t="n">
        <v>15</v>
      </c>
      <c r="DT190" s="9" t="n">
        <v>34</v>
      </c>
      <c r="DU190" s="9" t="n">
        <v>9</v>
      </c>
      <c r="DV190" s="11" t="n">
        <f aca="false">(DR190+DS190+DT190+DU190)/4</f>
        <v>16.75</v>
      </c>
      <c r="DW190" s="9" t="n">
        <v>0</v>
      </c>
      <c r="DX190" s="9" t="n">
        <v>0</v>
      </c>
      <c r="DY190" s="9" t="n">
        <v>0</v>
      </c>
      <c r="DZ190" s="9" t="n">
        <v>0</v>
      </c>
      <c r="EA190" s="11" t="n">
        <f aca="false">(DW190+DX190+DY190+DZ190)/4</f>
        <v>0</v>
      </c>
      <c r="EB190" s="11" t="n">
        <f aca="false">(DW190/DR190)</f>
        <v>0</v>
      </c>
      <c r="EC190" s="11" t="n">
        <f aca="false">(DX190/DS190)</f>
        <v>0</v>
      </c>
      <c r="ED190" s="11" t="n">
        <f aca="false">(DY190/DT190)</f>
        <v>0</v>
      </c>
      <c r="EE190" s="11" t="n">
        <f aca="false">(DZ190/DU190)</f>
        <v>0</v>
      </c>
      <c r="EF190" s="11" t="n">
        <f aca="false">(EA190/DV190)</f>
        <v>0</v>
      </c>
      <c r="EG190" s="11" t="n">
        <f aca="false">(100*EF190)</f>
        <v>0</v>
      </c>
      <c r="EH190" s="9" t="n">
        <v>0</v>
      </c>
      <c r="EI190" s="9" t="n">
        <v>2</v>
      </c>
      <c r="EJ190" s="9" t="n">
        <v>2</v>
      </c>
      <c r="EK190" s="19" t="n">
        <v>3</v>
      </c>
      <c r="EL190" s="9" t="n">
        <v>4</v>
      </c>
      <c r="EM190" s="9" t="n">
        <f aca="false">(EI190+EJ190+EK190+EL190)/4</f>
        <v>2.75</v>
      </c>
      <c r="EN190" s="9" t="n">
        <f aca="false">(EI190/DR190)</f>
        <v>0.222222222222222</v>
      </c>
      <c r="EO190" s="9" t="n">
        <f aca="false">(EJ190/DS190)</f>
        <v>0.133333333333333</v>
      </c>
      <c r="EP190" s="9" t="n">
        <f aca="false">(EK190/DT190)</f>
        <v>0.0882352941176471</v>
      </c>
      <c r="EQ190" s="9" t="n">
        <f aca="false">(EL190/DU190)</f>
        <v>0.444444444444444</v>
      </c>
      <c r="ER190" s="9" t="n">
        <f aca="false">EM190/DV190</f>
        <v>0.164179104477612</v>
      </c>
      <c r="ES190" s="9" t="n">
        <f aca="false">(100*ER190)</f>
        <v>16.4179104477612</v>
      </c>
      <c r="ET190" s="9" t="n">
        <v>2</v>
      </c>
      <c r="EU190" s="18" t="n">
        <v>0</v>
      </c>
      <c r="EV190" s="9" t="n">
        <v>0</v>
      </c>
      <c r="EW190" s="9" t="n">
        <v>0</v>
      </c>
      <c r="EX190" s="9" t="n">
        <v>0</v>
      </c>
      <c r="EY190" s="11" t="n">
        <f aca="false">(EU190+EV190+EW190+EX190)/4</f>
        <v>0</v>
      </c>
      <c r="EZ190" s="11" t="n">
        <f aca="false">(EU190/DR190)</f>
        <v>0</v>
      </c>
      <c r="FA190" s="11" t="n">
        <f aca="false">(EV190/DS190)</f>
        <v>0</v>
      </c>
      <c r="FB190" s="11" t="n">
        <f aca="false">(EW190/DT190)</f>
        <v>0</v>
      </c>
      <c r="FC190" s="11" t="n">
        <f aca="false">(EX190/DU190)</f>
        <v>0</v>
      </c>
      <c r="FD190" s="11" t="n">
        <f aca="false">(EY190/DV190)</f>
        <v>0</v>
      </c>
      <c r="FE190" s="11" t="n">
        <f aca="false">(100*FD190)</f>
        <v>0</v>
      </c>
      <c r="FF190" s="9" t="n">
        <v>0</v>
      </c>
      <c r="FG190" s="9" t="n">
        <v>0</v>
      </c>
      <c r="FH190" s="9" t="n">
        <v>3</v>
      </c>
      <c r="FI190" s="9" t="n">
        <v>2</v>
      </c>
      <c r="FJ190" s="9" t="n">
        <v>4</v>
      </c>
      <c r="FK190" s="11" t="n">
        <f aca="false">(FG190+FH190+FI190+FJ190)/4</f>
        <v>2.25</v>
      </c>
      <c r="FL190" s="11" t="n">
        <f aca="false">(FG190/DR190)</f>
        <v>0</v>
      </c>
      <c r="FM190" s="11" t="n">
        <f aca="false">(FH190/DS190)</f>
        <v>0.2</v>
      </c>
      <c r="FN190" s="11" t="n">
        <f aca="false">(FI190/DT190)</f>
        <v>0.0588235294117647</v>
      </c>
      <c r="FO190" s="11" t="n">
        <f aca="false">(FJ190/DU190)</f>
        <v>0.444444444444444</v>
      </c>
      <c r="FP190" s="11" t="n">
        <f aca="false">(FK190/DV190)</f>
        <v>0.134328358208955</v>
      </c>
      <c r="FQ190" s="11" t="n">
        <f aca="false">(100*FP190)</f>
        <v>13.4328358208955</v>
      </c>
      <c r="FR190" s="9" t="n">
        <v>2</v>
      </c>
      <c r="FS190" s="9"/>
      <c r="FT190" s="9"/>
      <c r="FU190" s="9"/>
      <c r="FV190" s="9"/>
      <c r="FW190" s="11" t="n">
        <f aca="false">(FS190+FT190+FU190+FV190)/4</f>
        <v>0</v>
      </c>
      <c r="FX190" s="9" t="n">
        <v>0</v>
      </c>
      <c r="FY190" s="9" t="n">
        <v>0</v>
      </c>
      <c r="FZ190" s="9" t="n">
        <v>0</v>
      </c>
      <c r="GA190" s="9" t="n">
        <v>0</v>
      </c>
      <c r="GB190" s="11" t="n">
        <f aca="false">(FX190+FY190+FZ190+GA190)/4</f>
        <v>0</v>
      </c>
      <c r="GC190" s="9" t="n">
        <v>0</v>
      </c>
      <c r="GD190" s="9" t="n">
        <v>1</v>
      </c>
      <c r="GE190" s="9" t="n">
        <v>1</v>
      </c>
      <c r="GF190" s="9" t="n">
        <v>1</v>
      </c>
      <c r="GG190" s="11" t="n">
        <f aca="false">(GC190+GD190+GE190+GF190)/4</f>
        <v>0.75</v>
      </c>
      <c r="GH190" s="9" t="n">
        <v>1</v>
      </c>
      <c r="GI190" s="9" t="n">
        <v>1</v>
      </c>
      <c r="GJ190" s="9" t="n">
        <v>1</v>
      </c>
      <c r="GK190" s="9" t="n">
        <v>1</v>
      </c>
      <c r="GL190" s="11" t="n">
        <f aca="false">(GH190+GI190+GJ190+GK190)/4</f>
        <v>1</v>
      </c>
      <c r="GM190" s="9" t="n">
        <v>47</v>
      </c>
      <c r="GN190" s="9" t="n">
        <v>18</v>
      </c>
      <c r="GO190" s="9" t="n">
        <v>73</v>
      </c>
      <c r="GP190" s="9" t="n">
        <v>43</v>
      </c>
      <c r="GQ190" s="11" t="n">
        <f aca="false">(GM190+GN190+GO190+GP190)/4</f>
        <v>45.25</v>
      </c>
      <c r="GR190" s="9" t="n">
        <v>9</v>
      </c>
      <c r="GS190" s="9" t="n">
        <v>8</v>
      </c>
      <c r="GT190" s="9" t="n">
        <v>13</v>
      </c>
      <c r="GU190" s="9" t="n">
        <v>10</v>
      </c>
      <c r="GV190" s="11" t="n">
        <f aca="false">(GR190+GS190+GT190+GU190)/4</f>
        <v>10</v>
      </c>
      <c r="GW190" s="9" t="n">
        <v>0</v>
      </c>
      <c r="GX190" s="9" t="n">
        <v>0</v>
      </c>
      <c r="GY190" s="9" t="n">
        <v>0</v>
      </c>
      <c r="GZ190" s="9" t="n">
        <v>0</v>
      </c>
      <c r="HA190" s="11" t="n">
        <f aca="false">(GW190+GX190+GY190+GZ190)/4</f>
        <v>0</v>
      </c>
      <c r="HB190" s="9" t="n">
        <f aca="false">(GW190/GR190)</f>
        <v>0</v>
      </c>
      <c r="HC190" s="9" t="n">
        <f aca="false">(GX190/GS190)</f>
        <v>0</v>
      </c>
      <c r="HD190" s="9" t="n">
        <f aca="false">(GY190/GT190)</f>
        <v>0</v>
      </c>
      <c r="HE190" s="9" t="n">
        <f aca="false">(GZ190/GU190)/4</f>
        <v>0</v>
      </c>
      <c r="HF190" s="9" t="n">
        <f aca="false">(HB190+HC190+HD190+HE190)/4</f>
        <v>0</v>
      </c>
      <c r="HG190" s="9" t="n">
        <f aca="false">(100*HF190)</f>
        <v>0</v>
      </c>
      <c r="HH190" s="18" t="n">
        <v>0</v>
      </c>
      <c r="HI190" s="9" t="n">
        <v>0</v>
      </c>
      <c r="HJ190" s="9" t="n">
        <v>2</v>
      </c>
      <c r="HK190" s="9" t="n">
        <v>3</v>
      </c>
      <c r="HL190" s="19" t="n">
        <v>1</v>
      </c>
      <c r="HM190" s="9" t="n">
        <f aca="false">(HI190+HJ190+HK190+HL190)/4</f>
        <v>1.5</v>
      </c>
      <c r="HN190" s="9" t="n">
        <f aca="false">(HI190/GR190)</f>
        <v>0</v>
      </c>
      <c r="HO190" s="9" t="n">
        <f aca="false">(HJ190/GS190)</f>
        <v>0.25</v>
      </c>
      <c r="HP190" s="9" t="n">
        <f aca="false">(HK190/GT190)</f>
        <v>0.230769230769231</v>
      </c>
      <c r="HQ190" s="9" t="n">
        <f aca="false">(HL190/GU190)</f>
        <v>0.1</v>
      </c>
      <c r="HR190" s="9" t="n">
        <f aca="false">(HM190/GV190)</f>
        <v>0.15</v>
      </c>
      <c r="HS190" s="9" t="n">
        <f aca="false">(100*HR190)</f>
        <v>15</v>
      </c>
      <c r="HT190" s="18" t="n">
        <v>2</v>
      </c>
      <c r="HU190" s="9" t="n">
        <v>0</v>
      </c>
      <c r="HV190" s="9" t="n">
        <v>0</v>
      </c>
      <c r="HW190" s="9" t="n">
        <v>0</v>
      </c>
      <c r="HX190" s="19" t="n">
        <v>0</v>
      </c>
      <c r="HY190" s="9" t="n">
        <f aca="false">(HU190+HV190+HW190+HX190)/4</f>
        <v>0</v>
      </c>
      <c r="HZ190" s="9" t="n">
        <f aca="false">(HU190/GR190)</f>
        <v>0</v>
      </c>
      <c r="IA190" s="9" t="n">
        <f aca="false">HV190/GS190</f>
        <v>0</v>
      </c>
      <c r="IB190" s="9" t="n">
        <f aca="false">(HW190/GT190)</f>
        <v>0</v>
      </c>
      <c r="IC190" s="9" t="n">
        <f aca="false">(HX190/GU190)</f>
        <v>0</v>
      </c>
      <c r="ID190" s="9" t="n">
        <f aca="false">(HY190/GV190)</f>
        <v>0</v>
      </c>
      <c r="IE190" s="9" t="n">
        <f aca="false">(100*ID190)</f>
        <v>0</v>
      </c>
      <c r="IF190" s="18" t="n">
        <v>0</v>
      </c>
      <c r="IG190" s="9" t="n">
        <v>2</v>
      </c>
      <c r="IH190" s="9" t="n">
        <v>1</v>
      </c>
      <c r="II190" s="19" t="n">
        <v>4</v>
      </c>
      <c r="IJ190" s="9" t="n">
        <v>1</v>
      </c>
      <c r="IK190" s="9" t="n">
        <f aca="false">(IG190+IH190+II190+IJ190)/4</f>
        <v>2</v>
      </c>
      <c r="IL190" s="9" t="n">
        <f aca="false">(IG190/GM190)</f>
        <v>0.0425531914893617</v>
      </c>
      <c r="IM190" s="9" t="n">
        <f aca="false">(IH190/GN190)</f>
        <v>0.0555555555555556</v>
      </c>
      <c r="IN190" s="9" t="n">
        <f aca="false">(II190/GO190)</f>
        <v>0.0547945205479452</v>
      </c>
      <c r="IO190" s="9" t="n">
        <f aca="false">(IJ190/GP190)</f>
        <v>0.0232558139534884</v>
      </c>
      <c r="IP190" s="9" t="n">
        <f aca="false">(IK190/GQ190)</f>
        <v>0.0441988950276243</v>
      </c>
      <c r="IQ190" s="9" t="n">
        <f aca="false">(100*IP190)</f>
        <v>4.41988950276243</v>
      </c>
      <c r="IR190" s="18" t="n">
        <v>1</v>
      </c>
      <c r="IS190" s="9"/>
      <c r="IT190" s="9"/>
      <c r="IU190" s="19"/>
      <c r="IV190" s="9"/>
      <c r="IW190" s="9" t="n">
        <f aca="false">(IS190+IT190+IU190+IV190)/4</f>
        <v>0</v>
      </c>
      <c r="IX190" s="16" t="n">
        <v>45239</v>
      </c>
      <c r="IY190" s="10" t="s">
        <v>268</v>
      </c>
    </row>
    <row r="191" customFormat="false" ht="15.75" hidden="false" customHeight="true" outlineLevel="0" collapsed="false">
      <c r="A191" s="9" t="s">
        <v>343</v>
      </c>
      <c r="B191" s="10" t="s">
        <v>698</v>
      </c>
      <c r="C191" s="10" t="s">
        <v>626</v>
      </c>
      <c r="D191" s="9" t="n">
        <v>4</v>
      </c>
      <c r="E191" s="9" t="n">
        <v>64</v>
      </c>
      <c r="F191" s="10" t="s">
        <v>699</v>
      </c>
      <c r="G191" s="10" t="s">
        <v>297</v>
      </c>
      <c r="H191" s="9" t="n">
        <v>21</v>
      </c>
      <c r="I191" s="9" t="n">
        <v>3</v>
      </c>
      <c r="J191" s="12" t="s">
        <v>264</v>
      </c>
      <c r="K191" s="13" t="s">
        <v>700</v>
      </c>
      <c r="L191" s="13" t="s">
        <v>701</v>
      </c>
      <c r="M191" s="32" t="n">
        <v>1326</v>
      </c>
      <c r="N191" s="15" t="n">
        <v>45155</v>
      </c>
      <c r="O191" s="10" t="s">
        <v>294</v>
      </c>
      <c r="P191" s="9"/>
      <c r="Q191" s="9" t="n">
        <v>0.915</v>
      </c>
      <c r="R191" s="9" t="n">
        <v>14</v>
      </c>
      <c r="S191" s="9" t="n">
        <v>-10</v>
      </c>
      <c r="T191" s="9" t="n">
        <v>120</v>
      </c>
      <c r="U191" s="9"/>
      <c r="V191" s="9" t="n">
        <f aca="false">(43.5/100)</f>
        <v>0.435</v>
      </c>
      <c r="W191" s="9" t="s">
        <v>702</v>
      </c>
      <c r="X191" s="9" t="n">
        <v>1</v>
      </c>
      <c r="Y191" s="9" t="n">
        <v>0</v>
      </c>
      <c r="Z191" s="9" t="n">
        <v>0</v>
      </c>
      <c r="AA191" s="9" t="n">
        <v>0</v>
      </c>
      <c r="AB191" s="11" t="n">
        <f aca="false">(X191+Y191+Z191+AA191)/4</f>
        <v>0.25</v>
      </c>
      <c r="AC191" s="9" t="n">
        <v>1</v>
      </c>
      <c r="AD191" s="9" t="n">
        <v>1</v>
      </c>
      <c r="AE191" s="9" t="n">
        <v>1</v>
      </c>
      <c r="AF191" s="9" t="n">
        <v>1</v>
      </c>
      <c r="AG191" s="11" t="n">
        <f aca="false">(AC191+AD191+AE191+AF191)/4</f>
        <v>1</v>
      </c>
      <c r="AH191" s="9" t="n">
        <v>1</v>
      </c>
      <c r="AI191" s="9" t="n">
        <v>1</v>
      </c>
      <c r="AJ191" s="9" t="n">
        <v>1</v>
      </c>
      <c r="AK191" s="9" t="n">
        <v>1</v>
      </c>
      <c r="AL191" s="11" t="n">
        <f aca="false">(AH191+AI191+AJ191+AK191)/4</f>
        <v>1</v>
      </c>
      <c r="AM191" s="9" t="n">
        <v>4</v>
      </c>
      <c r="AN191" s="9" t="n">
        <v>33</v>
      </c>
      <c r="AO191" s="9" t="n">
        <v>50</v>
      </c>
      <c r="AP191" s="9" t="n">
        <v>6</v>
      </c>
      <c r="AQ191" s="11" t="n">
        <f aca="false">(AM191+AN191+AO191+AP191)/4</f>
        <v>23.25</v>
      </c>
      <c r="AR191" s="9" t="n">
        <v>6</v>
      </c>
      <c r="AS191" s="9" t="n">
        <v>17</v>
      </c>
      <c r="AT191" s="9" t="n">
        <v>32</v>
      </c>
      <c r="AU191" s="9" t="n">
        <v>5</v>
      </c>
      <c r="AV191" s="11" t="n">
        <f aca="false">(AR191+AS191+AT191+AU191)/4</f>
        <v>15</v>
      </c>
      <c r="AW191" s="9" t="n">
        <v>2</v>
      </c>
      <c r="AX191" s="9" t="n">
        <v>0</v>
      </c>
      <c r="AY191" s="9" t="n">
        <v>0</v>
      </c>
      <c r="AZ191" s="9" t="n">
        <v>0</v>
      </c>
      <c r="BA191" s="11" t="n">
        <f aca="false">(AW191+AX191+AY191+AZ191)/4</f>
        <v>0.5</v>
      </c>
      <c r="BB191" s="11" t="n">
        <f aca="false">(AW191/AR191)</f>
        <v>0.333333333333333</v>
      </c>
      <c r="BC191" s="11" t="n">
        <f aca="false">(AX191/AS191)</f>
        <v>0</v>
      </c>
      <c r="BD191" s="11" t="n">
        <f aca="false">(AY191/AT191)</f>
        <v>0</v>
      </c>
      <c r="BE191" s="11" t="n">
        <f aca="false">(AZ191/AU191)</f>
        <v>0</v>
      </c>
      <c r="BF191" s="11" t="n">
        <f aca="false">(BA191/AV191)</f>
        <v>0.0333333333333333</v>
      </c>
      <c r="BG191" s="11" t="n">
        <f aca="false">(BF191*100)</f>
        <v>3.33333333333333</v>
      </c>
      <c r="BH191" s="9" t="n">
        <v>1</v>
      </c>
      <c r="BI191" s="9" t="n">
        <v>4</v>
      </c>
      <c r="BJ191" s="9" t="n">
        <v>6</v>
      </c>
      <c r="BK191" s="9" t="n">
        <v>2</v>
      </c>
      <c r="BL191" s="9" t="n">
        <v>1</v>
      </c>
      <c r="BM191" s="11" t="n">
        <f aca="false">(BI191+BJ191+BK191+BL191)/4</f>
        <v>3.25</v>
      </c>
      <c r="BN191" s="11" t="n">
        <f aca="false">(BI191/AR191)</f>
        <v>0.666666666666667</v>
      </c>
      <c r="BO191" s="11" t="n">
        <f aca="false">(BJ191/AS191)</f>
        <v>0.352941176470588</v>
      </c>
      <c r="BP191" s="11" t="n">
        <f aca="false">(BK191/AT191)</f>
        <v>0.0625</v>
      </c>
      <c r="BQ191" s="11" t="n">
        <f aca="false">(BL191/AU191)</f>
        <v>0.2</v>
      </c>
      <c r="BR191" s="11" t="n">
        <f aca="false">(BM191/AV191)</f>
        <v>0.216666666666667</v>
      </c>
      <c r="BS191" s="11" t="n">
        <f aca="false">(100*BR191)</f>
        <v>21.6666666666667</v>
      </c>
      <c r="BT191" s="9" t="n">
        <v>2</v>
      </c>
      <c r="BU191" s="9" t="n">
        <v>0</v>
      </c>
      <c r="BV191" s="9" t="n">
        <v>0</v>
      </c>
      <c r="BW191" s="9" t="n">
        <v>0</v>
      </c>
      <c r="BX191" s="9" t="n">
        <v>0</v>
      </c>
      <c r="BY191" s="11" t="n">
        <f aca="false">(BU191+BV191+BW191+BX191)/4</f>
        <v>0</v>
      </c>
      <c r="BZ191" s="11" t="n">
        <f aca="false">(BU191/AR191)</f>
        <v>0</v>
      </c>
      <c r="CA191" s="11" t="n">
        <f aca="false">(BV191/AS191)</f>
        <v>0</v>
      </c>
      <c r="CB191" s="11" t="n">
        <f aca="false">(BW191/AT191)</f>
        <v>0</v>
      </c>
      <c r="CC191" s="11" t="n">
        <f aca="false">(BX191/AU191)</f>
        <v>0</v>
      </c>
      <c r="CD191" s="11" t="n">
        <f aca="false">(BY191/AV191)</f>
        <v>0</v>
      </c>
      <c r="CE191" s="11" t="n">
        <f aca="false">(100*CD191)</f>
        <v>0</v>
      </c>
      <c r="CF191" s="9" t="n">
        <v>0</v>
      </c>
      <c r="CG191" s="9" t="n">
        <v>2</v>
      </c>
      <c r="CH191" s="9" t="n">
        <v>2</v>
      </c>
      <c r="CI191" s="9" t="n">
        <v>3</v>
      </c>
      <c r="CJ191" s="9" t="n">
        <v>1</v>
      </c>
      <c r="CK191" s="11" t="n">
        <f aca="false">(CG191+CH191+CI191+CJ191)/4</f>
        <v>2</v>
      </c>
      <c r="CL191" s="11" t="n">
        <f aca="false">(CG191/AM191)</f>
        <v>0.5</v>
      </c>
      <c r="CM191" s="11" t="n">
        <f aca="false">(CH191/AN191)</f>
        <v>0.0606060606060606</v>
      </c>
      <c r="CN191" s="11" t="n">
        <f aca="false">(CI191/AO191)</f>
        <v>0.06</v>
      </c>
      <c r="CO191" s="9" t="n">
        <f aca="false">(CJ191/AP191)</f>
        <v>0.166666666666667</v>
      </c>
      <c r="CP191" s="9" t="n">
        <f aca="false">(CK191/AQ191)</f>
        <v>0.0860215053763441</v>
      </c>
      <c r="CQ191" s="9" t="n">
        <f aca="false">(100*CP191)</f>
        <v>8.60215053763441</v>
      </c>
      <c r="CR191" s="18" t="n">
        <v>2</v>
      </c>
      <c r="CS191" s="9" t="n">
        <v>60.7</v>
      </c>
      <c r="CT191" s="9" t="n">
        <v>61.4</v>
      </c>
      <c r="CU191" s="9" t="n">
        <v>64.9</v>
      </c>
      <c r="CV191" s="9" t="n">
        <v>51.5</v>
      </c>
      <c r="CW191" s="11" t="n">
        <f aca="false">(CS191+CT191+CU191+CV191)/4</f>
        <v>59.625</v>
      </c>
      <c r="CX191" s="9" t="n">
        <v>0</v>
      </c>
      <c r="CY191" s="9" t="n">
        <v>0</v>
      </c>
      <c r="CZ191" s="9" t="n">
        <v>0</v>
      </c>
      <c r="DA191" s="9" t="n">
        <v>0</v>
      </c>
      <c r="DB191" s="11" t="n">
        <f aca="false">(CX191+CY191+CZ191+DA191)/4</f>
        <v>0</v>
      </c>
      <c r="DC191" s="9" t="n">
        <v>1</v>
      </c>
      <c r="DD191" s="9" t="n">
        <v>1</v>
      </c>
      <c r="DE191" s="9" t="n">
        <v>1</v>
      </c>
      <c r="DF191" s="9" t="n">
        <v>1</v>
      </c>
      <c r="DG191" s="11" t="n">
        <f aca="false">(DC191+DD191+DE191+DF191)/4</f>
        <v>1</v>
      </c>
      <c r="DH191" s="9" t="n">
        <v>1</v>
      </c>
      <c r="DI191" s="9" t="n">
        <v>1</v>
      </c>
      <c r="DJ191" s="9" t="n">
        <v>1</v>
      </c>
      <c r="DK191" s="9" t="n">
        <v>1</v>
      </c>
      <c r="DL191" s="11" t="n">
        <f aca="false">(DH191+DI191+DJ191+DK191)/4</f>
        <v>1</v>
      </c>
      <c r="DM191" s="9" t="n">
        <v>57</v>
      </c>
      <c r="DN191" s="9" t="n">
        <v>26</v>
      </c>
      <c r="DO191" s="9" t="n">
        <v>104</v>
      </c>
      <c r="DP191" s="9" t="n">
        <v>62</v>
      </c>
      <c r="DQ191" s="11" t="n">
        <f aca="false">(DM191+DN191+DO191+DP191)/4</f>
        <v>62.25</v>
      </c>
      <c r="DR191" s="9" t="n">
        <v>35</v>
      </c>
      <c r="DS191" s="9" t="n">
        <v>7</v>
      </c>
      <c r="DT191" s="9" t="n">
        <v>8</v>
      </c>
      <c r="DU191" s="9" t="n">
        <v>28</v>
      </c>
      <c r="DV191" s="11" t="n">
        <f aca="false">(DR191+DS191+DT191+DU191)/4</f>
        <v>19.5</v>
      </c>
      <c r="DW191" s="9" t="n">
        <v>0</v>
      </c>
      <c r="DX191" s="9" t="n">
        <v>0</v>
      </c>
      <c r="DY191" s="9" t="n">
        <v>0</v>
      </c>
      <c r="DZ191" s="9" t="n">
        <v>0</v>
      </c>
      <c r="EA191" s="11" t="n">
        <f aca="false">(DW191+DX191+DY191+DZ191)/4</f>
        <v>0</v>
      </c>
      <c r="EB191" s="11" t="n">
        <f aca="false">(DW191/DR191)</f>
        <v>0</v>
      </c>
      <c r="EC191" s="11" t="n">
        <f aca="false">(DX191/DS191)</f>
        <v>0</v>
      </c>
      <c r="ED191" s="11" t="n">
        <f aca="false">(DY191/DT191)</f>
        <v>0</v>
      </c>
      <c r="EE191" s="11" t="n">
        <f aca="false">(DZ191/DU191)</f>
        <v>0</v>
      </c>
      <c r="EF191" s="11" t="n">
        <f aca="false">(EA191/DV191)</f>
        <v>0</v>
      </c>
      <c r="EG191" s="11" t="n">
        <f aca="false">(100*EF191)</f>
        <v>0</v>
      </c>
      <c r="EH191" s="9" t="n">
        <v>0</v>
      </c>
      <c r="EI191" s="9" t="n">
        <v>9</v>
      </c>
      <c r="EJ191" s="9" t="n">
        <v>1</v>
      </c>
      <c r="EK191" s="19" t="n">
        <v>2</v>
      </c>
      <c r="EL191" s="9" t="n">
        <v>2</v>
      </c>
      <c r="EM191" s="9" t="n">
        <f aca="false">(EI191+EJ191+EK191+EL191)/4</f>
        <v>3.5</v>
      </c>
      <c r="EN191" s="9" t="n">
        <f aca="false">(EI191/DR191)</f>
        <v>0.257142857142857</v>
      </c>
      <c r="EO191" s="9" t="n">
        <f aca="false">(EJ191/DS191)</f>
        <v>0.142857142857143</v>
      </c>
      <c r="EP191" s="9" t="n">
        <f aca="false">(EK191/DT191)</f>
        <v>0.25</v>
      </c>
      <c r="EQ191" s="9" t="n">
        <f aca="false">(EL191/DU191)</f>
        <v>0.0714285714285714</v>
      </c>
      <c r="ER191" s="9" t="n">
        <f aca="false">EM191/DV191</f>
        <v>0.17948717948718</v>
      </c>
      <c r="ES191" s="9" t="n">
        <f aca="false">(100*ER191)</f>
        <v>17.948717948718</v>
      </c>
      <c r="ET191" s="9" t="n">
        <v>2</v>
      </c>
      <c r="EU191" s="18" t="n">
        <v>0</v>
      </c>
      <c r="EV191" s="9" t="n">
        <v>1</v>
      </c>
      <c r="EW191" s="9" t="n">
        <v>0</v>
      </c>
      <c r="EX191" s="9" t="n">
        <v>0</v>
      </c>
      <c r="EY191" s="11" t="n">
        <f aca="false">(EU191+EV191+EW191+EX191)/4</f>
        <v>0.25</v>
      </c>
      <c r="EZ191" s="11" t="n">
        <f aca="false">(EU191/DR191)</f>
        <v>0</v>
      </c>
      <c r="FA191" s="11" t="n">
        <f aca="false">(EV191/DS191)</f>
        <v>0.142857142857143</v>
      </c>
      <c r="FB191" s="11" t="n">
        <f aca="false">(EW191/DT191)</f>
        <v>0</v>
      </c>
      <c r="FC191" s="11" t="n">
        <f aca="false">(EX191/DU191)</f>
        <v>0</v>
      </c>
      <c r="FD191" s="11" t="n">
        <f aca="false">(EY191/DV191)</f>
        <v>0.0128205128205128</v>
      </c>
      <c r="FE191" s="11" t="n">
        <f aca="false">(100*FD191)</f>
        <v>1.28205128205128</v>
      </c>
      <c r="FF191" s="9" t="n">
        <v>1</v>
      </c>
      <c r="FG191" s="9" t="n">
        <v>2</v>
      </c>
      <c r="FH191" s="9" t="n">
        <v>1</v>
      </c>
      <c r="FI191" s="9" t="n">
        <v>5</v>
      </c>
      <c r="FJ191" s="9" t="n">
        <v>1</v>
      </c>
      <c r="FK191" s="11" t="n">
        <f aca="false">(FG191+FH191+FI191+FJ191)/4</f>
        <v>2.25</v>
      </c>
      <c r="FL191" s="11" t="n">
        <f aca="false">(FG191/DR191)</f>
        <v>0.0571428571428571</v>
      </c>
      <c r="FM191" s="11" t="n">
        <f aca="false">(FH191/DS191)</f>
        <v>0.142857142857143</v>
      </c>
      <c r="FN191" s="11" t="n">
        <f aca="false">(FI191/DT191)</f>
        <v>0.625</v>
      </c>
      <c r="FO191" s="11" t="n">
        <f aca="false">(FJ191/DU191)</f>
        <v>0.0357142857142857</v>
      </c>
      <c r="FP191" s="11" t="n">
        <f aca="false">(FK191/DV191)</f>
        <v>0.115384615384615</v>
      </c>
      <c r="FQ191" s="11" t="n">
        <f aca="false">(100*FP191)</f>
        <v>11.5384615384615</v>
      </c>
      <c r="FR191" s="9" t="n">
        <v>2</v>
      </c>
      <c r="FS191" s="9" t="n">
        <v>60.7</v>
      </c>
      <c r="FT191" s="9" t="n">
        <v>61.4</v>
      </c>
      <c r="FU191" s="9" t="n">
        <v>64.9</v>
      </c>
      <c r="FV191" s="9" t="n">
        <v>51.5</v>
      </c>
      <c r="FW191" s="11" t="n">
        <f aca="false">(FS191+FT191+FU191+FV191)/4</f>
        <v>59.625</v>
      </c>
      <c r="FX191" s="9" t="n">
        <v>0</v>
      </c>
      <c r="FY191" s="9" t="n">
        <v>0</v>
      </c>
      <c r="FZ191" s="9" t="n">
        <v>0</v>
      </c>
      <c r="GA191" s="9" t="n">
        <v>0</v>
      </c>
      <c r="GB191" s="11" t="n">
        <f aca="false">(FX191+FY191+FZ191+GA191)/4</f>
        <v>0</v>
      </c>
      <c r="GC191" s="9" t="n">
        <v>1</v>
      </c>
      <c r="GD191" s="9" t="n">
        <v>1</v>
      </c>
      <c r="GE191" s="9" t="n">
        <v>1</v>
      </c>
      <c r="GF191" s="9" t="n">
        <v>1</v>
      </c>
      <c r="GG191" s="11" t="n">
        <f aca="false">(GC191+GD191+GE191+GF191)/4</f>
        <v>1</v>
      </c>
      <c r="GH191" s="9" t="n">
        <v>1</v>
      </c>
      <c r="GI191" s="9" t="n">
        <v>1</v>
      </c>
      <c r="GJ191" s="9" t="n">
        <v>1</v>
      </c>
      <c r="GK191" s="9" t="n">
        <v>0</v>
      </c>
      <c r="GL191" s="11" t="n">
        <f aca="false">(GH191+GI191+GJ191+GK191)/4</f>
        <v>0.75</v>
      </c>
      <c r="GM191" s="9" t="n">
        <v>78</v>
      </c>
      <c r="GN191" s="9" t="n">
        <v>146</v>
      </c>
      <c r="GO191" s="9" t="n">
        <v>94</v>
      </c>
      <c r="GP191" s="9" t="n">
        <v>20</v>
      </c>
      <c r="GQ191" s="11" t="n">
        <f aca="false">(GM191+GN191+GO191+GP191)/4</f>
        <v>84.5</v>
      </c>
      <c r="GR191" s="9" t="n">
        <v>10</v>
      </c>
      <c r="GS191" s="9" t="n">
        <v>26</v>
      </c>
      <c r="GT191" s="9" t="n">
        <v>22</v>
      </c>
      <c r="GU191" s="9" t="n">
        <v>11</v>
      </c>
      <c r="GV191" s="11" t="n">
        <f aca="false">(GR191+GS191+GT191+GU191)/4</f>
        <v>17.25</v>
      </c>
      <c r="GW191" s="9" t="n">
        <v>0</v>
      </c>
      <c r="GX191" s="9" t="n">
        <v>0</v>
      </c>
      <c r="GY191" s="9" t="n">
        <v>0</v>
      </c>
      <c r="GZ191" s="9" t="n">
        <v>0</v>
      </c>
      <c r="HA191" s="11" t="n">
        <f aca="false">(GW191+GX191+GY191+GZ191)/4</f>
        <v>0</v>
      </c>
      <c r="HB191" s="9" t="n">
        <f aca="false">(GW191/GR191)</f>
        <v>0</v>
      </c>
      <c r="HC191" s="9" t="n">
        <f aca="false">(GX191/GS191)</f>
        <v>0</v>
      </c>
      <c r="HD191" s="9" t="n">
        <f aca="false">(GY191/GT191)</f>
        <v>0</v>
      </c>
      <c r="HE191" s="9" t="n">
        <f aca="false">(GZ191/GU191)/4</f>
        <v>0</v>
      </c>
      <c r="HF191" s="9" t="n">
        <f aca="false">(HB191+HC191+HD191+HE191)/4</f>
        <v>0</v>
      </c>
      <c r="HG191" s="9" t="n">
        <f aca="false">(100*HF191)</f>
        <v>0</v>
      </c>
      <c r="HH191" s="18" t="n">
        <v>0</v>
      </c>
      <c r="HI191" s="9" t="n">
        <v>5</v>
      </c>
      <c r="HJ191" s="9" t="n">
        <v>4</v>
      </c>
      <c r="HK191" s="9" t="n">
        <v>3</v>
      </c>
      <c r="HL191" s="19" t="n">
        <v>2</v>
      </c>
      <c r="HM191" s="9" t="n">
        <f aca="false">(HI191+HJ191+HK191+HL191)/4</f>
        <v>3.5</v>
      </c>
      <c r="HN191" s="9" t="n">
        <f aca="false">(HI191/GR191)</f>
        <v>0.5</v>
      </c>
      <c r="HO191" s="9" t="n">
        <f aca="false">(HJ191/GS191)</f>
        <v>0.153846153846154</v>
      </c>
      <c r="HP191" s="9" t="n">
        <f aca="false">(HK191/GT191)</f>
        <v>0.136363636363636</v>
      </c>
      <c r="HQ191" s="9" t="n">
        <f aca="false">(HL191/GU191)</f>
        <v>0.181818181818182</v>
      </c>
      <c r="HR191" s="9" t="n">
        <f aca="false">(HM191/GV191)</f>
        <v>0.202898550724638</v>
      </c>
      <c r="HS191" s="9" t="n">
        <f aca="false">(100*HR191)</f>
        <v>20.2898550724638</v>
      </c>
      <c r="HT191" s="18" t="n">
        <v>2</v>
      </c>
      <c r="HU191" s="9" t="n">
        <v>0</v>
      </c>
      <c r="HV191" s="9" t="n">
        <v>3</v>
      </c>
      <c r="HW191" s="9" t="n">
        <v>2</v>
      </c>
      <c r="HX191" s="19" t="n">
        <v>0</v>
      </c>
      <c r="HY191" s="9" t="n">
        <f aca="false">(HU191+HV191+HW191+HX191)/4</f>
        <v>1.25</v>
      </c>
      <c r="HZ191" s="9" t="n">
        <f aca="false">(HU191/GR191)</f>
        <v>0</v>
      </c>
      <c r="IA191" s="9" t="n">
        <f aca="false">HV191/GS191</f>
        <v>0.115384615384615</v>
      </c>
      <c r="IB191" s="9" t="n">
        <f aca="false">(HW191/GT191)</f>
        <v>0.0909090909090909</v>
      </c>
      <c r="IC191" s="9" t="n">
        <f aca="false">(HX191/GU191)</f>
        <v>0</v>
      </c>
      <c r="ID191" s="9" t="n">
        <f aca="false">(HY191/GV191)</f>
        <v>0.072463768115942</v>
      </c>
      <c r="IE191" s="9" t="n">
        <f aca="false">(100*ID191)</f>
        <v>7.2463768115942</v>
      </c>
      <c r="IF191" s="18" t="n">
        <v>1</v>
      </c>
      <c r="IG191" s="9" t="n">
        <v>16</v>
      </c>
      <c r="IH191" s="9" t="n">
        <v>16</v>
      </c>
      <c r="II191" s="19" t="n">
        <v>4</v>
      </c>
      <c r="IJ191" s="9" t="n">
        <v>0</v>
      </c>
      <c r="IK191" s="9" t="n">
        <f aca="false">(IG191+IH191+II191+IJ191)/4</f>
        <v>9</v>
      </c>
      <c r="IL191" s="9" t="n">
        <f aca="false">(IG191/GM191)</f>
        <v>0.205128205128205</v>
      </c>
      <c r="IM191" s="9" t="n">
        <f aca="false">(IH191/GN191)</f>
        <v>0.10958904109589</v>
      </c>
      <c r="IN191" s="9" t="n">
        <f aca="false">(II191/GO191)</f>
        <v>0.0425531914893617</v>
      </c>
      <c r="IO191" s="9" t="n">
        <f aca="false">(IJ191/GP191)</f>
        <v>0</v>
      </c>
      <c r="IP191" s="9" t="n">
        <f aca="false">(IK191/GQ191)</f>
        <v>0.106508875739645</v>
      </c>
      <c r="IQ191" s="9" t="n">
        <f aca="false">(100*IP191)</f>
        <v>10.6508875739645</v>
      </c>
      <c r="IR191" s="18" t="n">
        <v>2</v>
      </c>
      <c r="IS191" s="9" t="n">
        <v>56.4</v>
      </c>
      <c r="IT191" s="9" t="n">
        <v>58</v>
      </c>
      <c r="IU191" s="19" t="n">
        <v>59.2</v>
      </c>
      <c r="IV191" s="9" t="n">
        <v>67.3</v>
      </c>
      <c r="IW191" s="9" t="n">
        <f aca="false">(IS191+IT191+IU191+IV191)/4</f>
        <v>60.225</v>
      </c>
      <c r="IX191" s="16" t="n">
        <v>45240</v>
      </c>
      <c r="IY191" s="10" t="s">
        <v>268</v>
      </c>
    </row>
    <row r="192" customFormat="false" ht="15.75" hidden="false" customHeight="true" outlineLevel="0" collapsed="false">
      <c r="A192" s="9" t="s">
        <v>343</v>
      </c>
      <c r="B192" s="10" t="s">
        <v>698</v>
      </c>
      <c r="C192" s="10" t="s">
        <v>626</v>
      </c>
      <c r="D192" s="9" t="n">
        <v>4</v>
      </c>
      <c r="E192" s="9" t="n">
        <v>64</v>
      </c>
      <c r="F192" s="10" t="s">
        <v>703</v>
      </c>
      <c r="G192" s="10" t="s">
        <v>280</v>
      </c>
      <c r="H192" s="9" t="n">
        <v>21</v>
      </c>
      <c r="I192" s="9" t="n">
        <v>10</v>
      </c>
      <c r="J192" s="12" t="s">
        <v>270</v>
      </c>
      <c r="K192" s="20"/>
      <c r="L192" s="20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 t="n">
        <v>1</v>
      </c>
      <c r="Y192" s="9" t="n">
        <v>0</v>
      </c>
      <c r="Z192" s="9" t="n">
        <v>0</v>
      </c>
      <c r="AA192" s="9" t="n">
        <v>1</v>
      </c>
      <c r="AB192" s="11" t="n">
        <f aca="false">(X192+Y192+Z192+AA192)/4</f>
        <v>0.5</v>
      </c>
      <c r="AC192" s="9" t="n">
        <v>0</v>
      </c>
      <c r="AD192" s="9" t="n">
        <v>1</v>
      </c>
      <c r="AE192" s="9" t="n">
        <v>0</v>
      </c>
      <c r="AF192" s="9" t="n">
        <v>1</v>
      </c>
      <c r="AG192" s="11" t="n">
        <f aca="false">(AC192+AD192+AE192+AF192)/4</f>
        <v>0.5</v>
      </c>
      <c r="AH192" s="9" t="n">
        <v>0</v>
      </c>
      <c r="AI192" s="9" t="n">
        <v>1</v>
      </c>
      <c r="AJ192" s="9" t="n">
        <v>1</v>
      </c>
      <c r="AK192" s="9" t="n">
        <v>1</v>
      </c>
      <c r="AL192" s="11" t="n">
        <f aca="false">(AH192+AI192+AJ192+AK192)/4</f>
        <v>0.75</v>
      </c>
      <c r="AM192" s="9" t="n">
        <v>32</v>
      </c>
      <c r="AN192" s="9" t="n">
        <v>43</v>
      </c>
      <c r="AO192" s="9" t="n">
        <v>60</v>
      </c>
      <c r="AP192" s="9" t="n">
        <v>67</v>
      </c>
      <c r="AQ192" s="11" t="n">
        <f aca="false">(AM192+AN192+AO192+AP192)/4</f>
        <v>50.5</v>
      </c>
      <c r="AR192" s="9" t="n">
        <v>5</v>
      </c>
      <c r="AS192" s="9" t="n">
        <v>47</v>
      </c>
      <c r="AT192" s="9" t="n">
        <v>12</v>
      </c>
      <c r="AU192" s="9" t="n">
        <v>12</v>
      </c>
      <c r="AV192" s="11" t="n">
        <f aca="false">(AR192+AS192+AT192+AU192)/4</f>
        <v>19</v>
      </c>
      <c r="AW192" s="9" t="n">
        <v>1</v>
      </c>
      <c r="AX192" s="9" t="n">
        <v>0</v>
      </c>
      <c r="AY192" s="9" t="n">
        <v>0</v>
      </c>
      <c r="AZ192" s="9" t="n">
        <v>10</v>
      </c>
      <c r="BA192" s="11" t="n">
        <f aca="false">(AW192+AX192+AY192+AZ192)/4</f>
        <v>2.75</v>
      </c>
      <c r="BB192" s="11" t="n">
        <f aca="false">(AW192/AR192)</f>
        <v>0.2</v>
      </c>
      <c r="BC192" s="11" t="n">
        <f aca="false">(AX192/AS192)</f>
        <v>0</v>
      </c>
      <c r="BD192" s="11" t="n">
        <f aca="false">(AY192/AT192)</f>
        <v>0</v>
      </c>
      <c r="BE192" s="11" t="n">
        <f aca="false">(AZ192/AU192)</f>
        <v>0.833333333333333</v>
      </c>
      <c r="BF192" s="11" t="n">
        <f aca="false">(BA192/AV192)</f>
        <v>0.144736842105263</v>
      </c>
      <c r="BG192" s="11" t="n">
        <f aca="false">(BF192*100)</f>
        <v>14.4736842105263</v>
      </c>
      <c r="BH192" s="9" t="n">
        <v>2</v>
      </c>
      <c r="BI192" s="9" t="n">
        <v>0</v>
      </c>
      <c r="BJ192" s="9" t="n">
        <v>10</v>
      </c>
      <c r="BK192" s="9" t="n">
        <v>0</v>
      </c>
      <c r="BL192" s="9" t="n">
        <v>5</v>
      </c>
      <c r="BM192" s="11" t="n">
        <f aca="false">(BI192+BJ192+BK192+BL192)/4</f>
        <v>3.75</v>
      </c>
      <c r="BN192" s="11" t="n">
        <f aca="false">(BI192/AR192)</f>
        <v>0</v>
      </c>
      <c r="BO192" s="11" t="n">
        <f aca="false">(BJ192/AS192)</f>
        <v>0.212765957446809</v>
      </c>
      <c r="BP192" s="11" t="n">
        <f aca="false">(BK192/AT192)</f>
        <v>0</v>
      </c>
      <c r="BQ192" s="11" t="n">
        <f aca="false">(BL192/AU192)</f>
        <v>0.416666666666667</v>
      </c>
      <c r="BR192" s="11" t="n">
        <f aca="false">(BM192/AV192)</f>
        <v>0.197368421052632</v>
      </c>
      <c r="BS192" s="11" t="n">
        <f aca="false">(100*BR192)</f>
        <v>19.7368421052632</v>
      </c>
      <c r="BT192" s="9" t="n">
        <v>2</v>
      </c>
      <c r="BU192" s="9" t="n">
        <v>0</v>
      </c>
      <c r="BV192" s="9" t="n">
        <v>0</v>
      </c>
      <c r="BW192" s="9" t="n">
        <v>0</v>
      </c>
      <c r="BX192" s="9" t="n">
        <v>0</v>
      </c>
      <c r="BY192" s="11" t="n">
        <f aca="false">(BU192+BV192+BW192+BX192)/4</f>
        <v>0</v>
      </c>
      <c r="BZ192" s="11" t="n">
        <f aca="false">(BU192/AR192)</f>
        <v>0</v>
      </c>
      <c r="CA192" s="11" t="n">
        <f aca="false">(BV192/AS192)</f>
        <v>0</v>
      </c>
      <c r="CB192" s="11" t="n">
        <f aca="false">(BW192/AT192)</f>
        <v>0</v>
      </c>
      <c r="CC192" s="11" t="n">
        <f aca="false">(BX192/AU192)</f>
        <v>0</v>
      </c>
      <c r="CD192" s="11" t="n">
        <f aca="false">(BY192/AV192)</f>
        <v>0</v>
      </c>
      <c r="CE192" s="11" t="n">
        <f aca="false">(100*CD192)</f>
        <v>0</v>
      </c>
      <c r="CF192" s="9" t="n">
        <v>0</v>
      </c>
      <c r="CG192" s="9" t="n">
        <v>0</v>
      </c>
      <c r="CH192" s="9" t="n">
        <v>6</v>
      </c>
      <c r="CI192" s="9" t="n">
        <v>3</v>
      </c>
      <c r="CJ192" s="9" t="n">
        <v>8</v>
      </c>
      <c r="CK192" s="11" t="n">
        <f aca="false">(CG192+CH192+CI192+CJ192)/4</f>
        <v>4.25</v>
      </c>
      <c r="CL192" s="11" t="n">
        <f aca="false">(CG192/AM192)</f>
        <v>0</v>
      </c>
      <c r="CM192" s="11" t="n">
        <f aca="false">(CH192/AN192)</f>
        <v>0.13953488372093</v>
      </c>
      <c r="CN192" s="11" t="n">
        <f aca="false">(CI192/AO192)</f>
        <v>0.05</v>
      </c>
      <c r="CO192" s="9" t="n">
        <f aca="false">(CJ192/AP192)</f>
        <v>0.119402985074627</v>
      </c>
      <c r="CP192" s="9" t="n">
        <f aca="false">(CK192/AQ192)</f>
        <v>0.0841584158415842</v>
      </c>
      <c r="CQ192" s="9" t="n">
        <f aca="false">(100*CP192)</f>
        <v>8.41584158415842</v>
      </c>
      <c r="CR192" s="18" t="n">
        <v>1</v>
      </c>
      <c r="CS192" s="9" t="n">
        <v>56.8</v>
      </c>
      <c r="CT192" s="9" t="n">
        <v>52.3</v>
      </c>
      <c r="CU192" s="9" t="n">
        <v>60.5</v>
      </c>
      <c r="CV192" s="9" t="n">
        <v>64.5</v>
      </c>
      <c r="CW192" s="11" t="n">
        <f aca="false">(CS192+CT192+CU192+CV192)/4</f>
        <v>58.525</v>
      </c>
      <c r="CX192" s="9" t="n">
        <v>1</v>
      </c>
      <c r="CY192" s="9" t="n">
        <v>1</v>
      </c>
      <c r="CZ192" s="9" t="n">
        <v>0</v>
      </c>
      <c r="DA192" s="9" t="n">
        <v>0</v>
      </c>
      <c r="DB192" s="11" t="n">
        <f aca="false">(CX192+CY192+CZ192+DA192)/4</f>
        <v>0.5</v>
      </c>
      <c r="DC192" s="9" t="n">
        <v>1</v>
      </c>
      <c r="DD192" s="9" t="n">
        <v>1</v>
      </c>
      <c r="DE192" s="9" t="n">
        <v>0</v>
      </c>
      <c r="DF192" s="9" t="n">
        <v>0</v>
      </c>
      <c r="DG192" s="11" t="n">
        <f aca="false">(DC192+DD192+DE192+DF192)/4</f>
        <v>0.5</v>
      </c>
      <c r="DH192" s="9" t="n">
        <v>1</v>
      </c>
      <c r="DI192" s="9" t="n">
        <v>1</v>
      </c>
      <c r="DJ192" s="9" t="n">
        <v>1</v>
      </c>
      <c r="DK192" s="9" t="n">
        <v>1</v>
      </c>
      <c r="DL192" s="11" t="n">
        <f aca="false">(DH192+DI192+DJ192+DK192)/4</f>
        <v>1</v>
      </c>
      <c r="DM192" s="9" t="n">
        <v>103</v>
      </c>
      <c r="DN192" s="9" t="n">
        <v>52</v>
      </c>
      <c r="DO192" s="9" t="n">
        <v>15</v>
      </c>
      <c r="DP192" s="9" t="n">
        <v>16</v>
      </c>
      <c r="DQ192" s="11" t="n">
        <f aca="false">(DM192+DN192+DO192+DP192)/4</f>
        <v>46.5</v>
      </c>
      <c r="DR192" s="9" t="n">
        <v>23</v>
      </c>
      <c r="DS192" s="9" t="n">
        <v>12</v>
      </c>
      <c r="DT192" s="9" t="n">
        <v>13</v>
      </c>
      <c r="DU192" s="9" t="n">
        <v>19</v>
      </c>
      <c r="DV192" s="11" t="n">
        <f aca="false">(DR192+DS192+DT192+DU192)/4</f>
        <v>16.75</v>
      </c>
      <c r="DW192" s="9" t="n">
        <v>1</v>
      </c>
      <c r="DX192" s="9" t="n">
        <v>2</v>
      </c>
      <c r="DY192" s="9" t="n">
        <v>0</v>
      </c>
      <c r="DZ192" s="9" t="n">
        <v>0</v>
      </c>
      <c r="EA192" s="11" t="n">
        <f aca="false">(DW192+DX192+DY192+DZ192)/4</f>
        <v>0.75</v>
      </c>
      <c r="EB192" s="11" t="n">
        <f aca="false">(DW192/DR192)</f>
        <v>0.0434782608695652</v>
      </c>
      <c r="EC192" s="11" t="n">
        <f aca="false">(DX192/DS192)</f>
        <v>0.166666666666667</v>
      </c>
      <c r="ED192" s="11" t="n">
        <f aca="false">(DY192/DT192)</f>
        <v>0</v>
      </c>
      <c r="EE192" s="11" t="n">
        <f aca="false">(DZ192/DU192)</f>
        <v>0</v>
      </c>
      <c r="EF192" s="11" t="n">
        <f aca="false">(EA192/DV192)</f>
        <v>0.0447761194029851</v>
      </c>
      <c r="EG192" s="11" t="n">
        <f aca="false">(100*EF192)</f>
        <v>4.47761194029851</v>
      </c>
      <c r="EH192" s="9" t="n">
        <v>1</v>
      </c>
      <c r="EI192" s="9" t="n">
        <v>5</v>
      </c>
      <c r="EJ192" s="9" t="n">
        <v>6</v>
      </c>
      <c r="EK192" s="19" t="n">
        <v>0</v>
      </c>
      <c r="EL192" s="9" t="n">
        <v>0</v>
      </c>
      <c r="EM192" s="9" t="n">
        <f aca="false">(EI192+EJ192+EK192+EL192)/4</f>
        <v>2.75</v>
      </c>
      <c r="EN192" s="9" t="n">
        <f aca="false">(EI192/DR192)</f>
        <v>0.217391304347826</v>
      </c>
      <c r="EO192" s="9" t="n">
        <f aca="false">(EJ192/DS192)</f>
        <v>0.5</v>
      </c>
      <c r="EP192" s="9" t="n">
        <f aca="false">(EK192/DT192)</f>
        <v>0</v>
      </c>
      <c r="EQ192" s="9" t="n">
        <f aca="false">(EL192/DU192)</f>
        <v>0</v>
      </c>
      <c r="ER192" s="9" t="n">
        <f aca="false">EM192/DV192</f>
        <v>0.164179104477612</v>
      </c>
      <c r="ES192" s="9" t="n">
        <f aca="false">(100*ER192)</f>
        <v>16.4179104477612</v>
      </c>
      <c r="ET192" s="9" t="n">
        <v>2</v>
      </c>
      <c r="EU192" s="18" t="n">
        <v>0</v>
      </c>
      <c r="EV192" s="9" t="n">
        <v>0</v>
      </c>
      <c r="EW192" s="9" t="n">
        <v>0</v>
      </c>
      <c r="EX192" s="9" t="n">
        <v>0</v>
      </c>
      <c r="EY192" s="11" t="n">
        <f aca="false">(EU192+EV192+EW192+EX192)/4</f>
        <v>0</v>
      </c>
      <c r="EZ192" s="11" t="n">
        <f aca="false">(EU192/DR192)</f>
        <v>0</v>
      </c>
      <c r="FA192" s="11" t="n">
        <f aca="false">(EV192/DS192)</f>
        <v>0</v>
      </c>
      <c r="FB192" s="11" t="n">
        <f aca="false">(EW192/DT192)</f>
        <v>0</v>
      </c>
      <c r="FC192" s="11" t="n">
        <f aca="false">(EX192/DU192)</f>
        <v>0</v>
      </c>
      <c r="FD192" s="11" t="n">
        <f aca="false">(EY192/DV192)</f>
        <v>0</v>
      </c>
      <c r="FE192" s="11" t="n">
        <f aca="false">(100*FD192)</f>
        <v>0</v>
      </c>
      <c r="FF192" s="9" t="n">
        <v>0</v>
      </c>
      <c r="FG192" s="9" t="n">
        <v>8</v>
      </c>
      <c r="FH192" s="9" t="n">
        <v>12</v>
      </c>
      <c r="FI192" s="9" t="n">
        <v>5</v>
      </c>
      <c r="FJ192" s="9" t="n">
        <v>6</v>
      </c>
      <c r="FK192" s="11" t="n">
        <f aca="false">(FG192+FH192+FI192+FJ192)/4</f>
        <v>7.75</v>
      </c>
      <c r="FL192" s="11" t="n">
        <f aca="false">(FG192/DR192)</f>
        <v>0.347826086956522</v>
      </c>
      <c r="FM192" s="11" t="n">
        <f aca="false">(FH192/DS192)</f>
        <v>1</v>
      </c>
      <c r="FN192" s="11" t="n">
        <f aca="false">(FI192/DT192)</f>
        <v>0.384615384615385</v>
      </c>
      <c r="FO192" s="11" t="n">
        <f aca="false">(FJ192/DU192)</f>
        <v>0.315789473684211</v>
      </c>
      <c r="FP192" s="11" t="n">
        <f aca="false">(FK192/DV192)</f>
        <v>0.462686567164179</v>
      </c>
      <c r="FQ192" s="11" t="n">
        <f aca="false">(100*FP192)</f>
        <v>46.2686567164179</v>
      </c>
      <c r="FR192" s="9" t="n">
        <v>3</v>
      </c>
      <c r="FS192" s="9" t="n">
        <v>64.2</v>
      </c>
      <c r="FT192" s="9" t="n">
        <v>63</v>
      </c>
      <c r="FU192" s="9" t="n">
        <v>24.5</v>
      </c>
      <c r="FV192" s="9" t="n">
        <v>54.5</v>
      </c>
      <c r="FW192" s="11" t="n">
        <f aca="false">(FS192+FT192+FU192+FV192)/4</f>
        <v>51.55</v>
      </c>
      <c r="FX192" s="9" t="n">
        <v>1</v>
      </c>
      <c r="FY192" s="9" t="n">
        <v>1</v>
      </c>
      <c r="FZ192" s="9" t="n">
        <v>0</v>
      </c>
      <c r="GA192" s="9" t="n">
        <v>1</v>
      </c>
      <c r="GB192" s="11" t="n">
        <f aca="false">(FX192+FY192+FZ192+GA192)/4</f>
        <v>0.75</v>
      </c>
      <c r="GC192" s="9" t="n">
        <v>1</v>
      </c>
      <c r="GD192" s="9" t="n">
        <v>1</v>
      </c>
      <c r="GE192" s="9" t="n">
        <v>0</v>
      </c>
      <c r="GF192" s="9" t="n">
        <v>1</v>
      </c>
      <c r="GG192" s="11" t="n">
        <f aca="false">(GC192+GD192+GE192+GF192)/4</f>
        <v>0.75</v>
      </c>
      <c r="GH192" s="9" t="n">
        <v>1</v>
      </c>
      <c r="GI192" s="9" t="n">
        <v>1</v>
      </c>
      <c r="GJ192" s="9" t="n">
        <v>1</v>
      </c>
      <c r="GK192" s="9" t="n">
        <v>0</v>
      </c>
      <c r="GL192" s="11" t="n">
        <f aca="false">(GH192+GI192+GJ192+GK192)/4</f>
        <v>0.75</v>
      </c>
      <c r="GM192" s="9" t="n">
        <v>52</v>
      </c>
      <c r="GN192" s="9" t="n">
        <v>36</v>
      </c>
      <c r="GO192" s="9" t="n">
        <v>145</v>
      </c>
      <c r="GP192" s="9" t="n">
        <v>15</v>
      </c>
      <c r="GQ192" s="11" t="n">
        <f aca="false">(GM192+GN192+GO192+GP192)/4</f>
        <v>62</v>
      </c>
      <c r="GR192" s="9" t="n">
        <v>11</v>
      </c>
      <c r="GS192" s="9" t="n">
        <v>16</v>
      </c>
      <c r="GT192" s="9" t="n">
        <v>12</v>
      </c>
      <c r="GU192" s="9" t="n">
        <v>13</v>
      </c>
      <c r="GV192" s="11" t="n">
        <f aca="false">(GR192+GS192+GT192+GU192)/4</f>
        <v>13</v>
      </c>
      <c r="GW192" s="9" t="n">
        <v>1</v>
      </c>
      <c r="GX192" s="9" t="n">
        <v>1</v>
      </c>
      <c r="GY192" s="9" t="n">
        <v>0</v>
      </c>
      <c r="GZ192" s="9" t="n">
        <v>1</v>
      </c>
      <c r="HA192" s="11" t="n">
        <f aca="false">(GW192+GX192+GY192+GZ192)/4</f>
        <v>0.75</v>
      </c>
      <c r="HB192" s="9" t="n">
        <f aca="false">(GW192/GR192)</f>
        <v>0.0909090909090909</v>
      </c>
      <c r="HC192" s="9" t="n">
        <f aca="false">(GX192/GS192)</f>
        <v>0.0625</v>
      </c>
      <c r="HD192" s="9" t="n">
        <f aca="false">(GY192/GT192)</f>
        <v>0</v>
      </c>
      <c r="HE192" s="9" t="n">
        <f aca="false">(GZ192/GU192)/4</f>
        <v>0.0192307692307692</v>
      </c>
      <c r="HF192" s="9" t="n">
        <f aca="false">(HB192+HC192+HD192+HE192)/4</f>
        <v>0.043159965034965</v>
      </c>
      <c r="HG192" s="9" t="n">
        <f aca="false">(100*HF192)</f>
        <v>4.3159965034965</v>
      </c>
      <c r="HH192" s="18" t="n">
        <v>1</v>
      </c>
      <c r="HI192" s="9" t="n">
        <v>1</v>
      </c>
      <c r="HJ192" s="9" t="n">
        <v>3</v>
      </c>
      <c r="HK192" s="9" t="n">
        <v>0</v>
      </c>
      <c r="HL192" s="19" t="n">
        <v>3</v>
      </c>
      <c r="HM192" s="9" t="n">
        <f aca="false">(HI192+HJ192+HK192+HL192)/4</f>
        <v>1.75</v>
      </c>
      <c r="HN192" s="9" t="n">
        <f aca="false">(HI192/GR192)</f>
        <v>0.0909090909090909</v>
      </c>
      <c r="HO192" s="9" t="n">
        <f aca="false">(HJ192/GS192)</f>
        <v>0.1875</v>
      </c>
      <c r="HP192" s="9" t="n">
        <f aca="false">(HK192/GT192)</f>
        <v>0</v>
      </c>
      <c r="HQ192" s="9" t="n">
        <f aca="false">(HL192/GU192)</f>
        <v>0.230769230769231</v>
      </c>
      <c r="HR192" s="9" t="n">
        <f aca="false">(HM192/GV192)</f>
        <v>0.134615384615385</v>
      </c>
      <c r="HS192" s="9" t="n">
        <f aca="false">(100*HR192)</f>
        <v>13.4615384615385</v>
      </c>
      <c r="HT192" s="18" t="n">
        <v>2</v>
      </c>
      <c r="HU192" s="9" t="n">
        <v>3</v>
      </c>
      <c r="HV192" s="9" t="n">
        <v>2</v>
      </c>
      <c r="HW192" s="9" t="n">
        <v>2</v>
      </c>
      <c r="HX192" s="19" t="n">
        <v>0</v>
      </c>
      <c r="HY192" s="9" t="n">
        <f aca="false">(HU192+HV192+HW192+HX192)/4</f>
        <v>1.75</v>
      </c>
      <c r="HZ192" s="9" t="n">
        <f aca="false">(HU192/GR192)</f>
        <v>0.272727272727273</v>
      </c>
      <c r="IA192" s="9" t="n">
        <f aca="false">HV192/GS192</f>
        <v>0.125</v>
      </c>
      <c r="IB192" s="9" t="n">
        <f aca="false">(HW192/GT192)</f>
        <v>0.166666666666667</v>
      </c>
      <c r="IC192" s="9" t="n">
        <f aca="false">(HX192/GU192)</f>
        <v>0</v>
      </c>
      <c r="ID192" s="9" t="n">
        <f aca="false">(HY192/GV192)</f>
        <v>0.134615384615385</v>
      </c>
      <c r="IE192" s="9" t="n">
        <f aca="false">(100*ID192)</f>
        <v>13.4615384615385</v>
      </c>
      <c r="IF192" s="18" t="n">
        <v>2</v>
      </c>
      <c r="IG192" s="9" t="n">
        <v>3</v>
      </c>
      <c r="IH192" s="9" t="n">
        <v>3</v>
      </c>
      <c r="II192" s="19" t="n">
        <v>1</v>
      </c>
      <c r="IJ192" s="9" t="n">
        <v>0</v>
      </c>
      <c r="IK192" s="9" t="n">
        <f aca="false">(IG192+IH192+II192+IJ192)/4</f>
        <v>1.75</v>
      </c>
      <c r="IL192" s="9" t="n">
        <f aca="false">(IG192/GM192)</f>
        <v>0.0576923076923077</v>
      </c>
      <c r="IM192" s="9" t="n">
        <f aca="false">(IH192/GN192)</f>
        <v>0.0833333333333333</v>
      </c>
      <c r="IN192" s="9" t="n">
        <f aca="false">(II192/GO192)</f>
        <v>0.00689655172413793</v>
      </c>
      <c r="IO192" s="9" t="n">
        <f aca="false">(IJ192/GP192)</f>
        <v>0</v>
      </c>
      <c r="IP192" s="9" t="n">
        <f aca="false">(IK192/GQ192)</f>
        <v>0.0282258064516129</v>
      </c>
      <c r="IQ192" s="9" t="n">
        <f aca="false">(100*IP192)</f>
        <v>2.82258064516129</v>
      </c>
      <c r="IR192" s="18" t="n">
        <v>1</v>
      </c>
      <c r="IS192" s="9" t="n">
        <v>63.5</v>
      </c>
      <c r="IT192" s="9" t="n">
        <v>57.9</v>
      </c>
      <c r="IU192" s="19" t="n">
        <v>62.5</v>
      </c>
      <c r="IV192" s="9" t="n">
        <v>52.5</v>
      </c>
      <c r="IW192" s="9" t="n">
        <f aca="false">(IS192+IT192+IU192+IV192)/4</f>
        <v>59.1</v>
      </c>
      <c r="IX192" s="16" t="n">
        <v>45240</v>
      </c>
      <c r="IY192" s="10" t="s">
        <v>268</v>
      </c>
    </row>
    <row r="193" customFormat="false" ht="15.75" hidden="false" customHeight="true" outlineLevel="0" collapsed="false">
      <c r="A193" s="9" t="s">
        <v>343</v>
      </c>
      <c r="B193" s="10" t="s">
        <v>698</v>
      </c>
      <c r="C193" s="10" t="s">
        <v>626</v>
      </c>
      <c r="D193" s="9" t="n">
        <v>4</v>
      </c>
      <c r="E193" s="9" t="n">
        <v>64</v>
      </c>
      <c r="F193" s="10" t="s">
        <v>704</v>
      </c>
      <c r="G193" s="10" t="s">
        <v>297</v>
      </c>
      <c r="H193" s="9" t="n">
        <v>21</v>
      </c>
      <c r="I193" s="9" t="n">
        <v>20</v>
      </c>
      <c r="J193" s="10" t="s">
        <v>272</v>
      </c>
      <c r="K193" s="20"/>
      <c r="L193" s="20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 t="n">
        <v>1</v>
      </c>
      <c r="Y193" s="9" t="n">
        <v>1</v>
      </c>
      <c r="Z193" s="9" t="n">
        <v>0</v>
      </c>
      <c r="AA193" s="9" t="n">
        <v>0</v>
      </c>
      <c r="AB193" s="11" t="n">
        <f aca="false">(X193+Y193+Z193+AA193)/4</f>
        <v>0.5</v>
      </c>
      <c r="AC193" s="9" t="n">
        <v>1</v>
      </c>
      <c r="AD193" s="9" t="n">
        <v>1</v>
      </c>
      <c r="AE193" s="9" t="n">
        <v>0</v>
      </c>
      <c r="AF193" s="9" t="n">
        <v>1</v>
      </c>
      <c r="AG193" s="11" t="n">
        <f aca="false">(AC193+AD193+AE193+AF193)/4</f>
        <v>0.75</v>
      </c>
      <c r="AH193" s="9" t="n">
        <v>1</v>
      </c>
      <c r="AI193" s="9" t="n">
        <v>0</v>
      </c>
      <c r="AJ193" s="9" t="n">
        <v>0</v>
      </c>
      <c r="AK193" s="9" t="n">
        <v>1</v>
      </c>
      <c r="AL193" s="11" t="n">
        <f aca="false">(AH193+AI193+AJ193+AK193)/4</f>
        <v>0.5</v>
      </c>
      <c r="AM193" s="9" t="n">
        <v>16</v>
      </c>
      <c r="AN193" s="9" t="n">
        <v>45</v>
      </c>
      <c r="AO193" s="9" t="n">
        <v>24</v>
      </c>
      <c r="AP193" s="9" t="n">
        <v>18</v>
      </c>
      <c r="AQ193" s="11" t="n">
        <f aca="false">(AM193+AN193+AO193+AP193)/4</f>
        <v>25.75</v>
      </c>
      <c r="AR193" s="9" t="n">
        <v>10</v>
      </c>
      <c r="AS193" s="9" t="n">
        <v>12</v>
      </c>
      <c r="AT193" s="9" t="n">
        <v>34</v>
      </c>
      <c r="AU193" s="9" t="n">
        <v>24</v>
      </c>
      <c r="AV193" s="11" t="n">
        <f aca="false">(AR193+AS193+AT193+AU193)/4</f>
        <v>20</v>
      </c>
      <c r="AW193" s="9" t="n">
        <v>1</v>
      </c>
      <c r="AX193" s="9" t="n">
        <v>1</v>
      </c>
      <c r="AY193" s="9" t="n">
        <v>0</v>
      </c>
      <c r="AZ193" s="9" t="n">
        <v>0</v>
      </c>
      <c r="BA193" s="11" t="n">
        <f aca="false">(AW193+AX193+AY193+AZ193)/4</f>
        <v>0.5</v>
      </c>
      <c r="BB193" s="11" t="n">
        <f aca="false">(AW193/AR193)</f>
        <v>0.1</v>
      </c>
      <c r="BC193" s="11" t="n">
        <f aca="false">(AX193/AS193)</f>
        <v>0.0833333333333333</v>
      </c>
      <c r="BD193" s="11" t="n">
        <f aca="false">(AY193/AT193)</f>
        <v>0</v>
      </c>
      <c r="BE193" s="11" t="n">
        <f aca="false">(AZ193/AU193)</f>
        <v>0</v>
      </c>
      <c r="BF193" s="11" t="n">
        <f aca="false">(BA193/AV193)</f>
        <v>0.025</v>
      </c>
      <c r="BG193" s="11" t="n">
        <f aca="false">(BF193*100)</f>
        <v>2.5</v>
      </c>
      <c r="BH193" s="9" t="n">
        <v>1</v>
      </c>
      <c r="BI193" s="9" t="n">
        <v>3</v>
      </c>
      <c r="BJ193" s="9" t="n">
        <v>5</v>
      </c>
      <c r="BK193" s="9" t="n">
        <v>0</v>
      </c>
      <c r="BL193" s="9" t="n">
        <v>2</v>
      </c>
      <c r="BM193" s="11" t="n">
        <f aca="false">(BI193+BJ193+BK193+BL193)/4</f>
        <v>2.5</v>
      </c>
      <c r="BN193" s="11" t="n">
        <f aca="false">(BI193/AR193)</f>
        <v>0.3</v>
      </c>
      <c r="BO193" s="11" t="n">
        <f aca="false">(BJ193/AS193)</f>
        <v>0.416666666666667</v>
      </c>
      <c r="BP193" s="11" t="n">
        <f aca="false">(BK193/AT193)</f>
        <v>0</v>
      </c>
      <c r="BQ193" s="11" t="n">
        <f aca="false">(BL193/AU193)</f>
        <v>0.0833333333333333</v>
      </c>
      <c r="BR193" s="11" t="n">
        <f aca="false">(BM193/AV193)</f>
        <v>0.125</v>
      </c>
      <c r="BS193" s="11" t="n">
        <f aca="false">(100*BR193)</f>
        <v>12.5</v>
      </c>
      <c r="BT193" s="9" t="n">
        <v>2</v>
      </c>
      <c r="BU193" s="9" t="n">
        <v>0</v>
      </c>
      <c r="BV193" s="9" t="n">
        <v>0</v>
      </c>
      <c r="BW193" s="9" t="n">
        <v>0</v>
      </c>
      <c r="BX193" s="9" t="n">
        <v>0</v>
      </c>
      <c r="BY193" s="11" t="n">
        <f aca="false">(BU193+BV193+BW193+BX193)/4</f>
        <v>0</v>
      </c>
      <c r="BZ193" s="11" t="n">
        <f aca="false">(BU193/AR193)</f>
        <v>0</v>
      </c>
      <c r="CA193" s="11" t="n">
        <f aca="false">(BV193/AS193)</f>
        <v>0</v>
      </c>
      <c r="CB193" s="11" t="n">
        <f aca="false">(BW193/AT193)</f>
        <v>0</v>
      </c>
      <c r="CC193" s="11" t="n">
        <f aca="false">(BX193/AU193)</f>
        <v>0</v>
      </c>
      <c r="CD193" s="11" t="n">
        <f aca="false">(BY193/AV193)</f>
        <v>0</v>
      </c>
      <c r="CE193" s="11" t="n">
        <f aca="false">(100*CD193)</f>
        <v>0</v>
      </c>
      <c r="CF193" s="9" t="n">
        <v>0</v>
      </c>
      <c r="CG193" s="9" t="n">
        <v>2</v>
      </c>
      <c r="CH193" s="9" t="n">
        <v>0</v>
      </c>
      <c r="CI193" s="9" t="n">
        <v>0</v>
      </c>
      <c r="CJ193" s="9" t="n">
        <v>4</v>
      </c>
      <c r="CK193" s="11" t="n">
        <f aca="false">(CG193+CH193+CI193+CJ193)/4</f>
        <v>1.5</v>
      </c>
      <c r="CL193" s="11" t="n">
        <f aca="false">(CG193/AM193)</f>
        <v>0.125</v>
      </c>
      <c r="CM193" s="11" t="n">
        <f aca="false">(CH193/AN193)</f>
        <v>0</v>
      </c>
      <c r="CN193" s="11" t="n">
        <f aca="false">(CI193/AO193)</f>
        <v>0</v>
      </c>
      <c r="CO193" s="9" t="n">
        <f aca="false">(CJ193/AP193)</f>
        <v>0.222222222222222</v>
      </c>
      <c r="CP193" s="9" t="n">
        <f aca="false">(CK193/AQ193)</f>
        <v>0.058252427184466</v>
      </c>
      <c r="CQ193" s="9" t="n">
        <f aca="false">(100*CP193)</f>
        <v>5.8252427184466</v>
      </c>
      <c r="CR193" s="18" t="n">
        <v>1</v>
      </c>
      <c r="CS193" s="9" t="n">
        <v>61.2</v>
      </c>
      <c r="CT193" s="9" t="n">
        <v>55.9</v>
      </c>
      <c r="CU193" s="9" t="n">
        <v>63.7</v>
      </c>
      <c r="CV193" s="9" t="n">
        <v>70.7</v>
      </c>
      <c r="CW193" s="11" t="n">
        <f aca="false">(CS193+CT193+CU193+CV193)/4</f>
        <v>62.875</v>
      </c>
      <c r="CX193" s="9" t="n">
        <v>0</v>
      </c>
      <c r="CY193" s="9" t="n">
        <v>0</v>
      </c>
      <c r="CZ193" s="9" t="n">
        <v>0</v>
      </c>
      <c r="DA193" s="9" t="n">
        <v>0</v>
      </c>
      <c r="DB193" s="11" t="n">
        <f aca="false">(CX193+CY193+CZ193+DA193)/4</f>
        <v>0</v>
      </c>
      <c r="DC193" s="9" t="n">
        <v>1</v>
      </c>
      <c r="DD193" s="9" t="n">
        <v>1</v>
      </c>
      <c r="DE193" s="9" t="n">
        <v>1</v>
      </c>
      <c r="DF193" s="9" t="n">
        <v>1</v>
      </c>
      <c r="DG193" s="11" t="n">
        <f aca="false">(DC193+DD193+DE193+DF193)/4</f>
        <v>1</v>
      </c>
      <c r="DH193" s="9" t="n">
        <v>1</v>
      </c>
      <c r="DI193" s="9" t="n">
        <v>1</v>
      </c>
      <c r="DJ193" s="9" t="n">
        <v>1</v>
      </c>
      <c r="DK193" s="9" t="n">
        <v>1</v>
      </c>
      <c r="DL193" s="11" t="n">
        <f aca="false">(DH193+DI193+DJ193+DK193)/4</f>
        <v>1</v>
      </c>
      <c r="DM193" s="9" t="n">
        <v>22</v>
      </c>
      <c r="DN193" s="9" t="n">
        <v>25</v>
      </c>
      <c r="DO193" s="9" t="n">
        <v>2</v>
      </c>
      <c r="DP193" s="9" t="n">
        <v>1</v>
      </c>
      <c r="DQ193" s="11" t="n">
        <f aca="false">(DM193+DN193+DO193+DP193)/4</f>
        <v>12.5</v>
      </c>
      <c r="DR193" s="9" t="n">
        <v>18</v>
      </c>
      <c r="DS193" s="9" t="n">
        <v>19</v>
      </c>
      <c r="DT193" s="9" t="n">
        <v>11</v>
      </c>
      <c r="DU193" s="9" t="n">
        <v>4</v>
      </c>
      <c r="DV193" s="11" t="n">
        <f aca="false">(DR193+DS193+DT193+DU193)/4</f>
        <v>13</v>
      </c>
      <c r="DW193" s="9" t="n">
        <v>0</v>
      </c>
      <c r="DX193" s="9" t="n">
        <v>0</v>
      </c>
      <c r="DY193" s="9" t="n">
        <v>0</v>
      </c>
      <c r="DZ193" s="9" t="n">
        <v>0</v>
      </c>
      <c r="EA193" s="11" t="n">
        <f aca="false">(DW193+DX193+DY193+DZ193)/4</f>
        <v>0</v>
      </c>
      <c r="EB193" s="11" t="n">
        <f aca="false">(DW193/DR193)</f>
        <v>0</v>
      </c>
      <c r="EC193" s="11" t="n">
        <f aca="false">(DX193/DS193)</f>
        <v>0</v>
      </c>
      <c r="ED193" s="11" t="n">
        <f aca="false">(DY193/DT193)</f>
        <v>0</v>
      </c>
      <c r="EE193" s="11" t="n">
        <f aca="false">(DZ193/DU193)</f>
        <v>0</v>
      </c>
      <c r="EF193" s="11" t="n">
        <f aca="false">(EA193/DV193)</f>
        <v>0</v>
      </c>
      <c r="EG193" s="11" t="n">
        <f aca="false">(100*EF193)</f>
        <v>0</v>
      </c>
      <c r="EH193" s="9" t="n">
        <v>0</v>
      </c>
      <c r="EI193" s="9" t="n">
        <v>3</v>
      </c>
      <c r="EJ193" s="9" t="n">
        <v>3</v>
      </c>
      <c r="EK193" s="19" t="n">
        <v>1</v>
      </c>
      <c r="EL193" s="9" t="n">
        <v>2</v>
      </c>
      <c r="EM193" s="9" t="n">
        <f aca="false">(EI193+EJ193+EK193+EL193)/4</f>
        <v>2.25</v>
      </c>
      <c r="EN193" s="9" t="n">
        <f aca="false">(EI193/DR193)</f>
        <v>0.166666666666667</v>
      </c>
      <c r="EO193" s="9" t="n">
        <f aca="false">(EJ193/DS193)</f>
        <v>0.157894736842105</v>
      </c>
      <c r="EP193" s="9" t="n">
        <f aca="false">(EK193/DT193)</f>
        <v>0.0909090909090909</v>
      </c>
      <c r="EQ193" s="9" t="n">
        <f aca="false">(EL193/DU193)</f>
        <v>0.5</v>
      </c>
      <c r="ER193" s="9" t="n">
        <f aca="false">EM193/DV193</f>
        <v>0.173076923076923</v>
      </c>
      <c r="ES193" s="9" t="n">
        <f aca="false">(100*ER193)</f>
        <v>17.3076923076923</v>
      </c>
      <c r="ET193" s="9" t="n">
        <v>2</v>
      </c>
      <c r="EU193" s="18" t="n">
        <v>0</v>
      </c>
      <c r="EV193" s="9" t="n">
        <v>0</v>
      </c>
      <c r="EW193" s="9" t="n">
        <v>0</v>
      </c>
      <c r="EX193" s="9" t="n">
        <v>0</v>
      </c>
      <c r="EY193" s="11" t="n">
        <f aca="false">(EU193+EV193+EW193+EX193)/4</f>
        <v>0</v>
      </c>
      <c r="EZ193" s="11" t="n">
        <f aca="false">(EU193/DR193)</f>
        <v>0</v>
      </c>
      <c r="FA193" s="11" t="n">
        <f aca="false">(EV193/DS193)</f>
        <v>0</v>
      </c>
      <c r="FB193" s="11" t="n">
        <f aca="false">(EW193/DT193)</f>
        <v>0</v>
      </c>
      <c r="FC193" s="11" t="n">
        <f aca="false">(EX193/DU193)</f>
        <v>0</v>
      </c>
      <c r="FD193" s="11" t="n">
        <f aca="false">(EY193/DV193)</f>
        <v>0</v>
      </c>
      <c r="FE193" s="11" t="n">
        <f aca="false">(100*FD193)</f>
        <v>0</v>
      </c>
      <c r="FF193" s="9" t="n">
        <v>0</v>
      </c>
      <c r="FG193" s="9" t="n">
        <v>2</v>
      </c>
      <c r="FH193" s="9" t="n">
        <v>1</v>
      </c>
      <c r="FI193" s="9" t="n">
        <v>0</v>
      </c>
      <c r="FJ193" s="9" t="n">
        <v>0</v>
      </c>
      <c r="FK193" s="11" t="n">
        <f aca="false">(FG193+FH193+FI193+FJ193)/4</f>
        <v>0.75</v>
      </c>
      <c r="FL193" s="11" t="n">
        <f aca="false">(FG193/DR193)</f>
        <v>0.111111111111111</v>
      </c>
      <c r="FM193" s="11" t="n">
        <f aca="false">(FH193/DS193)</f>
        <v>0.0526315789473684</v>
      </c>
      <c r="FN193" s="11" t="n">
        <f aca="false">(FI193/DT193)</f>
        <v>0</v>
      </c>
      <c r="FO193" s="11" t="n">
        <f aca="false">(FJ193/DU193)</f>
        <v>0</v>
      </c>
      <c r="FP193" s="11" t="n">
        <f aca="false">(FK193/DV193)</f>
        <v>0.0576923076923077</v>
      </c>
      <c r="FQ193" s="11" t="n">
        <f aca="false">(100*FP193)</f>
        <v>5.76923076923077</v>
      </c>
      <c r="FR193" s="9" t="n">
        <v>2</v>
      </c>
      <c r="FS193" s="9" t="n">
        <v>62.4</v>
      </c>
      <c r="FT193" s="9" t="n">
        <v>52.5</v>
      </c>
      <c r="FU193" s="9" t="n">
        <v>57.7</v>
      </c>
      <c r="FV193" s="9" t="n">
        <v>58.5</v>
      </c>
      <c r="FW193" s="11" t="n">
        <f aca="false">(FS193+FT193+FU193+FV193)/4</f>
        <v>57.775</v>
      </c>
      <c r="FX193" s="9" t="n">
        <v>0</v>
      </c>
      <c r="FY193" s="9" t="n">
        <v>0</v>
      </c>
      <c r="FZ193" s="9" t="n">
        <v>0</v>
      </c>
      <c r="GA193" s="9" t="n">
        <v>0</v>
      </c>
      <c r="GB193" s="11" t="n">
        <f aca="false">(FX193+FY193+FZ193+GA193)/4</f>
        <v>0</v>
      </c>
      <c r="GC193" s="9" t="n">
        <v>0</v>
      </c>
      <c r="GD193" s="9" t="n">
        <v>0</v>
      </c>
      <c r="GE193" s="9" t="n">
        <v>1</v>
      </c>
      <c r="GF193" s="9" t="n">
        <v>0</v>
      </c>
      <c r="GG193" s="11" t="n">
        <f aca="false">(GC193+GD193+GE193+GF193)/4</f>
        <v>0.25</v>
      </c>
      <c r="GH193" s="9" t="n">
        <v>0</v>
      </c>
      <c r="GI193" s="9" t="n">
        <v>1</v>
      </c>
      <c r="GJ193" s="9" t="n">
        <v>1</v>
      </c>
      <c r="GK193" s="9" t="n">
        <v>0</v>
      </c>
      <c r="GL193" s="11" t="n">
        <f aca="false">(GH193+GI193+GJ193+GK193)/4</f>
        <v>0.5</v>
      </c>
      <c r="GM193" s="9" t="n">
        <v>0</v>
      </c>
      <c r="GN193" s="9" t="n">
        <v>18</v>
      </c>
      <c r="GO193" s="9" t="n">
        <v>16</v>
      </c>
      <c r="GP193" s="9" t="n">
        <v>0</v>
      </c>
      <c r="GQ193" s="11" t="n">
        <f aca="false">(GM193+GN193+GO193+GP193)/4</f>
        <v>8.5</v>
      </c>
      <c r="GR193" s="9" t="n">
        <v>6</v>
      </c>
      <c r="GS193" s="9" t="n">
        <v>18</v>
      </c>
      <c r="GT193" s="9" t="n">
        <v>9</v>
      </c>
      <c r="GU193" s="9" t="n">
        <v>10</v>
      </c>
      <c r="GV193" s="11" t="n">
        <f aca="false">(GR193+GS193+GT193+GU193)/4</f>
        <v>10.75</v>
      </c>
      <c r="GW193" s="9" t="n">
        <v>0</v>
      </c>
      <c r="GX193" s="9" t="n">
        <v>0</v>
      </c>
      <c r="GY193" s="9" t="n">
        <v>0</v>
      </c>
      <c r="GZ193" s="9" t="n">
        <v>0</v>
      </c>
      <c r="HA193" s="11" t="n">
        <f aca="false">(GW193+GX193+GY193+GZ193)/4</f>
        <v>0</v>
      </c>
      <c r="HB193" s="9" t="n">
        <f aca="false">(GW193/GR193)</f>
        <v>0</v>
      </c>
      <c r="HC193" s="9" t="n">
        <f aca="false">(GX193/GS193)</f>
        <v>0</v>
      </c>
      <c r="HD193" s="9" t="n">
        <f aca="false">(GY193/GT193)</f>
        <v>0</v>
      </c>
      <c r="HE193" s="9" t="n">
        <f aca="false">(GZ193/GU193)/4</f>
        <v>0</v>
      </c>
      <c r="HF193" s="9" t="n">
        <f aca="false">(HB193+HC193+HD193+HE193)/4</f>
        <v>0</v>
      </c>
      <c r="HG193" s="9" t="n">
        <f aca="false">(100*HF193)</f>
        <v>0</v>
      </c>
      <c r="HH193" s="18" t="n">
        <v>0</v>
      </c>
      <c r="HI193" s="9" t="n">
        <v>0</v>
      </c>
      <c r="HJ193" s="9" t="n">
        <v>0</v>
      </c>
      <c r="HK193" s="9" t="n">
        <v>1</v>
      </c>
      <c r="HL193" s="19" t="n">
        <v>0</v>
      </c>
      <c r="HM193" s="9" t="n">
        <f aca="false">(HI193+HJ193+HK193+HL193)/4</f>
        <v>0.25</v>
      </c>
      <c r="HN193" s="9" t="n">
        <f aca="false">(HI193/GR193)</f>
        <v>0</v>
      </c>
      <c r="HO193" s="9" t="n">
        <f aca="false">(HJ193/GS193)</f>
        <v>0</v>
      </c>
      <c r="HP193" s="9" t="n">
        <f aca="false">(HK193/GT193)</f>
        <v>0.111111111111111</v>
      </c>
      <c r="HQ193" s="9" t="n">
        <f aca="false">(HL193/GU193)</f>
        <v>0</v>
      </c>
      <c r="HR193" s="9" t="n">
        <f aca="false">(HM193/GV193)</f>
        <v>0.0232558139534884</v>
      </c>
      <c r="HS193" s="9" t="n">
        <f aca="false">(100*HR193)</f>
        <v>2.32558139534884</v>
      </c>
      <c r="HT193" s="18" t="n">
        <v>1</v>
      </c>
      <c r="HU193" s="9" t="n">
        <v>0</v>
      </c>
      <c r="HV193" s="9" t="n">
        <v>0</v>
      </c>
      <c r="HW193" s="9" t="n">
        <v>0</v>
      </c>
      <c r="HX193" s="19" t="n">
        <v>0</v>
      </c>
      <c r="HY193" s="9" t="n">
        <f aca="false">(HU193+HV193+HW193+HX193)/4</f>
        <v>0</v>
      </c>
      <c r="HZ193" s="9" t="n">
        <f aca="false">(HU193/GR193)</f>
        <v>0</v>
      </c>
      <c r="IA193" s="9" t="n">
        <f aca="false">HV193/GS193</f>
        <v>0</v>
      </c>
      <c r="IB193" s="9" t="n">
        <f aca="false">(HW193/GT193)</f>
        <v>0</v>
      </c>
      <c r="IC193" s="9" t="n">
        <f aca="false">(HX193/GU193)</f>
        <v>0</v>
      </c>
      <c r="ID193" s="9" t="n">
        <f aca="false">(HY193/GV193)</f>
        <v>0</v>
      </c>
      <c r="IE193" s="9" t="n">
        <f aca="false">(100*ID193)</f>
        <v>0</v>
      </c>
      <c r="IF193" s="18" t="n">
        <v>0</v>
      </c>
      <c r="IG193" s="9" t="n">
        <v>0</v>
      </c>
      <c r="IH193" s="9" t="n">
        <v>3</v>
      </c>
      <c r="II193" s="19" t="n">
        <v>16</v>
      </c>
      <c r="IJ193" s="9" t="n">
        <v>0</v>
      </c>
      <c r="IK193" s="9" t="n">
        <f aca="false">(IG193+IH193+II193+IJ193)/4</f>
        <v>4.75</v>
      </c>
      <c r="IL193" s="9" t="e">
        <f aca="false">(IG193/GM193)</f>
        <v>#DIV/0!</v>
      </c>
      <c r="IM193" s="9" t="n">
        <f aca="false">(IH193/GN193)</f>
        <v>0.166666666666667</v>
      </c>
      <c r="IN193" s="9" t="n">
        <f aca="false">(II193/GO193)</f>
        <v>1</v>
      </c>
      <c r="IO193" s="9" t="e">
        <f aca="false">(IJ193/GP193)</f>
        <v>#DIV/0!</v>
      </c>
      <c r="IP193" s="9" t="n">
        <f aca="false">(IK193/GQ193)</f>
        <v>0.558823529411765</v>
      </c>
      <c r="IQ193" s="9" t="n">
        <f aca="false">(100*IP193)</f>
        <v>55.8823529411765</v>
      </c>
      <c r="IR193" s="18" t="n">
        <v>3</v>
      </c>
      <c r="IS193" s="9" t="n">
        <v>50.4</v>
      </c>
      <c r="IT193" s="9" t="n">
        <v>50.5</v>
      </c>
      <c r="IU193" s="19" t="n">
        <v>46.2</v>
      </c>
      <c r="IV193" s="9" t="n">
        <v>62.7</v>
      </c>
      <c r="IW193" s="9" t="n">
        <f aca="false">(IS193+IT193+IU193+IV193)/4</f>
        <v>52.45</v>
      </c>
      <c r="IX193" s="16" t="n">
        <v>45240</v>
      </c>
      <c r="IY193" s="10" t="s">
        <v>268</v>
      </c>
    </row>
    <row r="194" customFormat="false" ht="15.75" hidden="false" customHeight="true" outlineLevel="0" collapsed="false">
      <c r="A194" s="9" t="s">
        <v>370</v>
      </c>
      <c r="B194" s="10" t="s">
        <v>705</v>
      </c>
      <c r="C194" s="10" t="s">
        <v>626</v>
      </c>
      <c r="D194" s="9" t="n">
        <v>1</v>
      </c>
      <c r="E194" s="9" t="n">
        <v>65</v>
      </c>
      <c r="F194" s="10" t="s">
        <v>706</v>
      </c>
      <c r="G194" s="11" t="s">
        <v>263</v>
      </c>
      <c r="H194" s="9" t="n">
        <v>21</v>
      </c>
      <c r="I194" s="9" t="n">
        <v>5.5</v>
      </c>
      <c r="J194" s="12" t="s">
        <v>264</v>
      </c>
      <c r="K194" s="40" t="s">
        <v>707</v>
      </c>
      <c r="L194" s="40" t="s">
        <v>708</v>
      </c>
      <c r="M194" s="9" t="n">
        <v>1294</v>
      </c>
      <c r="N194" s="15" t="n">
        <v>45134</v>
      </c>
      <c r="O194" s="10" t="s">
        <v>267</v>
      </c>
      <c r="P194" s="9"/>
      <c r="Q194" s="9" t="n">
        <v>19.16</v>
      </c>
      <c r="R194" s="9" t="n">
        <v>10</v>
      </c>
      <c r="S194" s="9" t="n">
        <v>-12</v>
      </c>
      <c r="T194" s="9" t="n">
        <v>75</v>
      </c>
      <c r="U194" s="9"/>
      <c r="V194" s="9" t="n">
        <f aca="false">(29.8/100)</f>
        <v>0.298</v>
      </c>
      <c r="W194" s="22" t="s">
        <v>709</v>
      </c>
      <c r="X194" s="9" t="n">
        <v>0</v>
      </c>
      <c r="Y194" s="9" t="n">
        <v>0</v>
      </c>
      <c r="Z194" s="9" t="n">
        <v>0</v>
      </c>
      <c r="AA194" s="9" t="n">
        <v>0</v>
      </c>
      <c r="AB194" s="11" t="n">
        <f aca="false">(X194+Y194+Z194+AA194)/4</f>
        <v>0</v>
      </c>
      <c r="AC194" s="9" t="n">
        <v>1</v>
      </c>
      <c r="AD194" s="9" t="n">
        <v>1</v>
      </c>
      <c r="AE194" s="9" t="n">
        <v>1</v>
      </c>
      <c r="AF194" s="9" t="n">
        <v>1</v>
      </c>
      <c r="AG194" s="11" t="n">
        <f aca="false">(AC194+AD194+AE194+AF194)/4</f>
        <v>1</v>
      </c>
      <c r="AH194" s="9" t="n">
        <v>1</v>
      </c>
      <c r="AI194" s="9" t="n">
        <v>1</v>
      </c>
      <c r="AJ194" s="9" t="n">
        <v>1</v>
      </c>
      <c r="AK194" s="9" t="n">
        <v>1</v>
      </c>
      <c r="AL194" s="11" t="n">
        <f aca="false">(AH194+AI194+AJ194+AK194)/4</f>
        <v>1</v>
      </c>
      <c r="AM194" s="9" t="n">
        <v>8</v>
      </c>
      <c r="AN194" s="9" t="n">
        <v>18</v>
      </c>
      <c r="AO194" s="9" t="n">
        <v>21</v>
      </c>
      <c r="AP194" s="9" t="n">
        <v>15</v>
      </c>
      <c r="AQ194" s="11" t="n">
        <f aca="false">(AM194+AN194+AO194+AP194)/4</f>
        <v>15.5</v>
      </c>
      <c r="AR194" s="9" t="n">
        <v>32</v>
      </c>
      <c r="AS194" s="9" t="n">
        <v>19</v>
      </c>
      <c r="AT194" s="9" t="n">
        <v>11</v>
      </c>
      <c r="AU194" s="9" t="n">
        <v>44</v>
      </c>
      <c r="AV194" s="11" t="n">
        <f aca="false">(AR194+AS194+AT194+AU194)/4</f>
        <v>26.5</v>
      </c>
      <c r="AW194" s="9" t="n">
        <v>0</v>
      </c>
      <c r="AX194" s="9" t="n">
        <v>0</v>
      </c>
      <c r="AY194" s="9" t="n">
        <v>0</v>
      </c>
      <c r="AZ194" s="9" t="n">
        <v>0</v>
      </c>
      <c r="BA194" s="11" t="n">
        <f aca="false">(AW194+AX194+AY194+AZ194)/4</f>
        <v>0</v>
      </c>
      <c r="BB194" s="11" t="n">
        <f aca="false">(AW194/AR194)</f>
        <v>0</v>
      </c>
      <c r="BC194" s="11" t="n">
        <f aca="false">(AX194/AS194)</f>
        <v>0</v>
      </c>
      <c r="BD194" s="11" t="n">
        <f aca="false">(AY194/AT194)</f>
        <v>0</v>
      </c>
      <c r="BE194" s="11" t="n">
        <f aca="false">(AZ194/AU194)</f>
        <v>0</v>
      </c>
      <c r="BF194" s="11" t="n">
        <f aca="false">(BA194/AV194)</f>
        <v>0</v>
      </c>
      <c r="BG194" s="11" t="n">
        <f aca="false">(BF194*100)</f>
        <v>0</v>
      </c>
      <c r="BH194" s="9" t="n">
        <v>0</v>
      </c>
      <c r="BI194" s="9" t="n">
        <v>6</v>
      </c>
      <c r="BJ194" s="9" t="n">
        <v>1</v>
      </c>
      <c r="BK194" s="9" t="n">
        <v>3</v>
      </c>
      <c r="BL194" s="9" t="n">
        <v>2</v>
      </c>
      <c r="BM194" s="11" t="n">
        <f aca="false">(BI194+BJ194+BK194+BL194)/4</f>
        <v>3</v>
      </c>
      <c r="BN194" s="11" t="n">
        <f aca="false">(BI194/AR194)</f>
        <v>0.1875</v>
      </c>
      <c r="BO194" s="11" t="n">
        <f aca="false">(BJ194/AS194)</f>
        <v>0.0526315789473684</v>
      </c>
      <c r="BP194" s="11" t="n">
        <f aca="false">(BK194/AT194)</f>
        <v>0.272727272727273</v>
      </c>
      <c r="BQ194" s="11" t="n">
        <f aca="false">(BL194/AU194)</f>
        <v>0.0454545454545455</v>
      </c>
      <c r="BR194" s="11" t="n">
        <f aca="false">(BM194/AV194)</f>
        <v>0.113207547169811</v>
      </c>
      <c r="BS194" s="11" t="n">
        <f aca="false">(100*BR194)</f>
        <v>11.3207547169811</v>
      </c>
      <c r="BT194" s="9" t="n">
        <v>2</v>
      </c>
      <c r="BU194" s="9" t="n">
        <v>3</v>
      </c>
      <c r="BV194" s="9" t="n">
        <v>7</v>
      </c>
      <c r="BW194" s="9" t="n">
        <v>6</v>
      </c>
      <c r="BX194" s="9" t="n">
        <v>1</v>
      </c>
      <c r="BY194" s="11" t="n">
        <f aca="false">(BU194+BV194+BW194+BX194)/4</f>
        <v>4.25</v>
      </c>
      <c r="BZ194" s="11" t="n">
        <f aca="false">(BU194/AR194)</f>
        <v>0.09375</v>
      </c>
      <c r="CA194" s="11" t="n">
        <f aca="false">(BV194/AS194)</f>
        <v>0.368421052631579</v>
      </c>
      <c r="CB194" s="11" t="n">
        <f aca="false">(BW194/AT194)</f>
        <v>0.545454545454545</v>
      </c>
      <c r="CC194" s="11" t="n">
        <f aca="false">(BX194/AU194)</f>
        <v>0.0227272727272727</v>
      </c>
      <c r="CD194" s="11" t="n">
        <f aca="false">(BY194/AV194)</f>
        <v>0.160377358490566</v>
      </c>
      <c r="CE194" s="11" t="n">
        <f aca="false">(100*CD194)</f>
        <v>16.0377358490566</v>
      </c>
      <c r="CF194" s="9" t="n">
        <v>2</v>
      </c>
      <c r="CG194" s="9" t="n">
        <v>0</v>
      </c>
      <c r="CH194" s="9" t="n">
        <v>1</v>
      </c>
      <c r="CI194" s="9" t="n">
        <v>1</v>
      </c>
      <c r="CJ194" s="9" t="n">
        <v>0</v>
      </c>
      <c r="CK194" s="11" t="n">
        <f aca="false">(CG194+CH194+CI194+CJ194)/4</f>
        <v>0.5</v>
      </c>
      <c r="CL194" s="11" t="n">
        <f aca="false">(CG194/AM194)</f>
        <v>0</v>
      </c>
      <c r="CM194" s="11" t="n">
        <f aca="false">(CH194/AN194)</f>
        <v>0.0555555555555556</v>
      </c>
      <c r="CN194" s="11" t="n">
        <f aca="false">(CI194/AO194)</f>
        <v>0.0476190476190476</v>
      </c>
      <c r="CO194" s="9" t="n">
        <f aca="false">(CJ194/AP194)</f>
        <v>0</v>
      </c>
      <c r="CP194" s="9" t="n">
        <f aca="false">(CK194/AQ194)</f>
        <v>0.032258064516129</v>
      </c>
      <c r="CQ194" s="9" t="n">
        <f aca="false">(100*CP194)</f>
        <v>3.2258064516129</v>
      </c>
      <c r="CR194" s="18" t="n">
        <v>1</v>
      </c>
      <c r="CS194" s="9" t="n">
        <v>70.6</v>
      </c>
      <c r="CT194" s="9" t="n">
        <v>69.8</v>
      </c>
      <c r="CU194" s="9" t="n">
        <v>69.6</v>
      </c>
      <c r="CV194" s="9" t="n">
        <v>69.6</v>
      </c>
      <c r="CW194" s="11" t="n">
        <f aca="false">(CS194+CT194+CU194+CV194)/4</f>
        <v>69.9</v>
      </c>
      <c r="CX194" s="9" t="n">
        <v>0</v>
      </c>
      <c r="CY194" s="9" t="n">
        <v>0</v>
      </c>
      <c r="CZ194" s="9" t="n">
        <v>1</v>
      </c>
      <c r="DA194" s="9" t="n">
        <v>0</v>
      </c>
      <c r="DB194" s="11" t="n">
        <f aca="false">(CX194+CY194+CZ194+DA194)/4</f>
        <v>0.25</v>
      </c>
      <c r="DC194" s="9" t="n">
        <v>1</v>
      </c>
      <c r="DD194" s="9" t="n">
        <v>0</v>
      </c>
      <c r="DE194" s="9" t="n">
        <v>1</v>
      </c>
      <c r="DF194" s="9" t="n">
        <v>1</v>
      </c>
      <c r="DG194" s="11" t="n">
        <f aca="false">(DC194+DD194+DE194+DF194)/4</f>
        <v>0.75</v>
      </c>
      <c r="DH194" s="9" t="n">
        <v>1</v>
      </c>
      <c r="DI194" s="9" t="n">
        <v>1</v>
      </c>
      <c r="DJ194" s="9" t="n">
        <v>1</v>
      </c>
      <c r="DK194" s="9" t="n">
        <v>1</v>
      </c>
      <c r="DL194" s="11" t="n">
        <f aca="false">(DH194+DI194+DJ194+DK194)/4</f>
        <v>1</v>
      </c>
      <c r="DM194" s="9" t="n">
        <v>18</v>
      </c>
      <c r="DN194" s="9" t="n">
        <v>20</v>
      </c>
      <c r="DO194" s="9" t="n">
        <v>42</v>
      </c>
      <c r="DP194" s="9" t="n">
        <v>25</v>
      </c>
      <c r="DQ194" s="11" t="n">
        <f aca="false">(DM194+DN194+DO194+DP194)/4</f>
        <v>26.25</v>
      </c>
      <c r="DR194" s="9" t="n">
        <v>8</v>
      </c>
      <c r="DS194" s="9" t="n">
        <v>7</v>
      </c>
      <c r="DT194" s="9" t="n">
        <v>16</v>
      </c>
      <c r="DU194" s="9" t="n">
        <v>6</v>
      </c>
      <c r="DV194" s="11" t="n">
        <f aca="false">(DR194+DS194+DT194+DU194)/4</f>
        <v>9.25</v>
      </c>
      <c r="DW194" s="9" t="n">
        <v>0</v>
      </c>
      <c r="DX194" s="9" t="n">
        <v>0</v>
      </c>
      <c r="DY194" s="9" t="n">
        <v>2</v>
      </c>
      <c r="DZ194" s="9" t="n">
        <v>0</v>
      </c>
      <c r="EA194" s="11" t="n">
        <f aca="false">(DW194+DX194+DY194+DZ194)/4</f>
        <v>0.5</v>
      </c>
      <c r="EB194" s="11" t="n">
        <f aca="false">(DW194/DR194)</f>
        <v>0</v>
      </c>
      <c r="EC194" s="11" t="n">
        <f aca="false">(DX194/DS194)</f>
        <v>0</v>
      </c>
      <c r="ED194" s="11" t="n">
        <f aca="false">(DY194/DT194)</f>
        <v>0.125</v>
      </c>
      <c r="EE194" s="11" t="n">
        <f aca="false">(DZ194/DU194)</f>
        <v>0</v>
      </c>
      <c r="EF194" s="11" t="n">
        <f aca="false">(EA194/DV194)</f>
        <v>0.0540540540540541</v>
      </c>
      <c r="EG194" s="11" t="n">
        <f aca="false">(100*EF194)</f>
        <v>5.40540540540541</v>
      </c>
      <c r="EH194" s="9" t="n">
        <v>1</v>
      </c>
      <c r="EI194" s="9" t="n">
        <v>2</v>
      </c>
      <c r="EJ194" s="9" t="n">
        <v>0</v>
      </c>
      <c r="EK194" s="19" t="n">
        <v>1</v>
      </c>
      <c r="EL194" s="9" t="n">
        <v>3</v>
      </c>
      <c r="EM194" s="9" t="n">
        <f aca="false">(EI194+EJ194+EK194+EL194)/4</f>
        <v>1.5</v>
      </c>
      <c r="EN194" s="9" t="n">
        <f aca="false">(EI194/DR194)</f>
        <v>0.25</v>
      </c>
      <c r="EO194" s="9" t="n">
        <f aca="false">(EJ194/DS194)</f>
        <v>0</v>
      </c>
      <c r="EP194" s="9" t="n">
        <f aca="false">(EK194/DT194)</f>
        <v>0.0625</v>
      </c>
      <c r="EQ194" s="9" t="n">
        <f aca="false">(EL194/DU194)</f>
        <v>0.5</v>
      </c>
      <c r="ER194" s="9" t="n">
        <f aca="false">EM194/DV194</f>
        <v>0.162162162162162</v>
      </c>
      <c r="ES194" s="9" t="n">
        <f aca="false">(100*ER194)</f>
        <v>16.2162162162162</v>
      </c>
      <c r="ET194" s="9" t="n">
        <v>2</v>
      </c>
      <c r="EU194" s="18" t="n">
        <v>0</v>
      </c>
      <c r="EV194" s="9" t="n">
        <v>0</v>
      </c>
      <c r="EW194" s="9" t="n">
        <v>0</v>
      </c>
      <c r="EX194" s="9" t="n">
        <v>1</v>
      </c>
      <c r="EY194" s="11" t="n">
        <f aca="false">(EU194+EV194+EW194+EX194)/4</f>
        <v>0.25</v>
      </c>
      <c r="EZ194" s="11" t="n">
        <f aca="false">(EU194/DR194)</f>
        <v>0</v>
      </c>
      <c r="FA194" s="11" t="n">
        <f aca="false">(EV194/DS194)</f>
        <v>0</v>
      </c>
      <c r="FB194" s="11" t="n">
        <f aca="false">(EW194/DT194)</f>
        <v>0</v>
      </c>
      <c r="FC194" s="11" t="n">
        <f aca="false">(EX194/DU194)</f>
        <v>0.166666666666667</v>
      </c>
      <c r="FD194" s="11" t="n">
        <f aca="false">(EY194/DV194)</f>
        <v>0.027027027027027</v>
      </c>
      <c r="FE194" s="11" t="n">
        <f aca="false">(100*FD194)</f>
        <v>2.7027027027027</v>
      </c>
      <c r="FF194" s="9" t="n">
        <v>1</v>
      </c>
      <c r="FG194" s="9" t="n">
        <v>8</v>
      </c>
      <c r="FH194" s="9" t="n">
        <v>10</v>
      </c>
      <c r="FI194" s="9" t="n">
        <v>11</v>
      </c>
      <c r="FJ194" s="9" t="n">
        <v>3</v>
      </c>
      <c r="FK194" s="11" t="n">
        <f aca="false">(FG194+FH194+FI194+FJ194)/4</f>
        <v>8</v>
      </c>
      <c r="FL194" s="11" t="n">
        <f aca="false">(FG194/DR194)</f>
        <v>1</v>
      </c>
      <c r="FM194" s="11" t="n">
        <f aca="false">(FH194/DS194)</f>
        <v>1.42857142857143</v>
      </c>
      <c r="FN194" s="11" t="n">
        <f aca="false">(FI194/DT194)</f>
        <v>0.6875</v>
      </c>
      <c r="FO194" s="11" t="n">
        <f aca="false">(FJ194/DU194)</f>
        <v>0.5</v>
      </c>
      <c r="FP194" s="11" t="n">
        <f aca="false">(FK194/DV194)</f>
        <v>0.864864864864865</v>
      </c>
      <c r="FQ194" s="11" t="n">
        <f aca="false">(100*FP194)</f>
        <v>86.4864864864865</v>
      </c>
      <c r="FR194" s="9" t="n">
        <v>3</v>
      </c>
      <c r="FS194" s="9" t="n">
        <v>43.6</v>
      </c>
      <c r="FT194" s="9" t="n">
        <v>46.6</v>
      </c>
      <c r="FU194" s="9" t="n">
        <v>53</v>
      </c>
      <c r="FV194" s="9" t="n">
        <v>33.9</v>
      </c>
      <c r="FW194" s="11" t="n">
        <f aca="false">(FS194+FT194+FU194+FV194)/4</f>
        <v>44.275</v>
      </c>
      <c r="FX194" s="9" t="n">
        <v>0</v>
      </c>
      <c r="FY194" s="9" t="n">
        <v>0</v>
      </c>
      <c r="FZ194" s="9" t="n">
        <v>0</v>
      </c>
      <c r="GA194" s="9" t="n">
        <v>0</v>
      </c>
      <c r="GB194" s="11" t="n">
        <f aca="false">(FX194+FY194+FZ194+GA194)/4</f>
        <v>0</v>
      </c>
      <c r="GC194" s="9" t="n">
        <v>1</v>
      </c>
      <c r="GD194" s="9" t="n">
        <v>0</v>
      </c>
      <c r="GE194" s="9" t="n">
        <v>0</v>
      </c>
      <c r="GF194" s="9" t="n">
        <v>1</v>
      </c>
      <c r="GG194" s="11" t="n">
        <f aca="false">(GC194+GD194+GE194+GF194)/4</f>
        <v>0.5</v>
      </c>
      <c r="GH194" s="9" t="n">
        <v>1</v>
      </c>
      <c r="GI194" s="9" t="n">
        <v>0</v>
      </c>
      <c r="GJ194" s="9" t="n">
        <v>1</v>
      </c>
      <c r="GK194" s="9" t="n">
        <v>1</v>
      </c>
      <c r="GL194" s="11" t="n">
        <f aca="false">(GH194+GI194+GJ194+GK194)/4</f>
        <v>0.75</v>
      </c>
      <c r="GM194" s="9" t="n">
        <v>51</v>
      </c>
      <c r="GN194" s="9" t="n">
        <v>32</v>
      </c>
      <c r="GO194" s="9" t="n">
        <v>16</v>
      </c>
      <c r="GP194" s="9" t="n">
        <v>72</v>
      </c>
      <c r="GQ194" s="11" t="n">
        <f aca="false">(GM194+GN194+GO194+GP194)/4</f>
        <v>42.75</v>
      </c>
      <c r="GR194" s="9" t="n">
        <v>12</v>
      </c>
      <c r="GS194" s="9" t="n">
        <v>6</v>
      </c>
      <c r="GT194" s="9" t="n">
        <v>7</v>
      </c>
      <c r="GU194" s="9" t="n">
        <v>13</v>
      </c>
      <c r="GV194" s="11" t="n">
        <f aca="false">(GR194+GS194+GT194+GU194)/4</f>
        <v>9.5</v>
      </c>
      <c r="GW194" s="9" t="n">
        <v>0</v>
      </c>
      <c r="GX194" s="9" t="n">
        <v>0</v>
      </c>
      <c r="GY194" s="9" t="n">
        <v>0</v>
      </c>
      <c r="GZ194" s="9" t="n">
        <v>0</v>
      </c>
      <c r="HA194" s="11" t="n">
        <f aca="false">(GW194+GX194+GY194+GZ194)/4</f>
        <v>0</v>
      </c>
      <c r="HB194" s="9" t="n">
        <f aca="false">(GW194/GR194)</f>
        <v>0</v>
      </c>
      <c r="HC194" s="9" t="n">
        <f aca="false">(GX194/GS194)</f>
        <v>0</v>
      </c>
      <c r="HD194" s="9" t="n">
        <f aca="false">(GY194/GT194)</f>
        <v>0</v>
      </c>
      <c r="HE194" s="9" t="n">
        <f aca="false">(GZ194/GU194)/4</f>
        <v>0</v>
      </c>
      <c r="HF194" s="9" t="n">
        <f aca="false">(HB194+HC194+HD194+HE194)/4</f>
        <v>0</v>
      </c>
      <c r="HG194" s="9" t="n">
        <f aca="false">(100*HF194)</f>
        <v>0</v>
      </c>
      <c r="HH194" s="18" t="n">
        <v>0</v>
      </c>
      <c r="HI194" s="9" t="n">
        <v>4</v>
      </c>
      <c r="HJ194" s="9" t="n">
        <v>0</v>
      </c>
      <c r="HK194" s="9" t="n">
        <v>0</v>
      </c>
      <c r="HL194" s="19" t="n">
        <v>4</v>
      </c>
      <c r="HM194" s="9" t="n">
        <f aca="false">(HI194+HJ194+HK194+HL194)/4</f>
        <v>2</v>
      </c>
      <c r="HN194" s="9" t="n">
        <f aca="false">(HI194/GR194)</f>
        <v>0.333333333333333</v>
      </c>
      <c r="HO194" s="9" t="n">
        <f aca="false">(HJ194/GS194)</f>
        <v>0</v>
      </c>
      <c r="HP194" s="9" t="n">
        <f aca="false">(HK194/GT194)</f>
        <v>0</v>
      </c>
      <c r="HQ194" s="9" t="n">
        <f aca="false">(HL194/GU194)</f>
        <v>0.307692307692308</v>
      </c>
      <c r="HR194" s="9" t="n">
        <f aca="false">(HM194/GV194)</f>
        <v>0.210526315789474</v>
      </c>
      <c r="HS194" s="9" t="n">
        <f aca="false">(100*HR194)</f>
        <v>21.0526315789474</v>
      </c>
      <c r="HT194" s="18" t="n">
        <v>2</v>
      </c>
      <c r="HU194" s="9" t="n">
        <v>0</v>
      </c>
      <c r="HV194" s="9" t="n">
        <v>0</v>
      </c>
      <c r="HW194" s="9" t="n">
        <v>0</v>
      </c>
      <c r="HX194" s="19" t="n">
        <v>0</v>
      </c>
      <c r="HY194" s="9" t="n">
        <f aca="false">(HU194+HV194+HW194+HX194)/4</f>
        <v>0</v>
      </c>
      <c r="HZ194" s="9" t="n">
        <f aca="false">(HU194/GR194)</f>
        <v>0</v>
      </c>
      <c r="IA194" s="9" t="n">
        <f aca="false">HV194/GS194</f>
        <v>0</v>
      </c>
      <c r="IB194" s="9" t="n">
        <f aca="false">(HW194/GT194)</f>
        <v>0</v>
      </c>
      <c r="IC194" s="9" t="n">
        <f aca="false">(HX194/GU194)</f>
        <v>0</v>
      </c>
      <c r="ID194" s="9" t="n">
        <f aca="false">(HY194/GV194)</f>
        <v>0</v>
      </c>
      <c r="IE194" s="9" t="n">
        <f aca="false">(100*ID194)</f>
        <v>0</v>
      </c>
      <c r="IF194" s="18" t="n">
        <v>0</v>
      </c>
      <c r="IG194" s="9" t="n">
        <v>4</v>
      </c>
      <c r="IH194" s="9" t="n">
        <v>0</v>
      </c>
      <c r="II194" s="19" t="n">
        <v>7</v>
      </c>
      <c r="IJ194" s="9" t="n">
        <v>3</v>
      </c>
      <c r="IK194" s="9" t="n">
        <f aca="false">(IG194+IH194+II194+IJ194)/4</f>
        <v>3.5</v>
      </c>
      <c r="IL194" s="9" t="n">
        <f aca="false">(IG194/GM194)</f>
        <v>0.0784313725490196</v>
      </c>
      <c r="IM194" s="9" t="n">
        <f aca="false">(IH194/GN194)</f>
        <v>0</v>
      </c>
      <c r="IN194" s="9" t="n">
        <f aca="false">(II194/GO194)</f>
        <v>0.4375</v>
      </c>
      <c r="IO194" s="9" t="n">
        <f aca="false">(IJ194/GP194)</f>
        <v>0.0416666666666667</v>
      </c>
      <c r="IP194" s="9" t="n">
        <f aca="false">(IK194/GQ194)</f>
        <v>0.0818713450292398</v>
      </c>
      <c r="IQ194" s="9" t="n">
        <f aca="false">(100*IP194)</f>
        <v>8.18713450292398</v>
      </c>
      <c r="IR194" s="18" t="n">
        <v>1</v>
      </c>
      <c r="IS194" s="9" t="n">
        <v>42.2</v>
      </c>
      <c r="IT194" s="9" t="n">
        <v>40.4</v>
      </c>
      <c r="IU194" s="19" t="n">
        <v>60.5</v>
      </c>
      <c r="IV194" s="9" t="n">
        <v>56.1</v>
      </c>
      <c r="IW194" s="9" t="n">
        <f aca="false">(IS194+IT194+IU194+IV194)/4</f>
        <v>49.8</v>
      </c>
      <c r="IX194" s="16" t="n">
        <v>45240</v>
      </c>
      <c r="IY194" s="10" t="s">
        <v>268</v>
      </c>
    </row>
    <row r="195" customFormat="false" ht="15.75" hidden="false" customHeight="true" outlineLevel="0" collapsed="false">
      <c r="A195" s="9" t="s">
        <v>370</v>
      </c>
      <c r="B195" s="10" t="s">
        <v>705</v>
      </c>
      <c r="C195" s="10" t="s">
        <v>626</v>
      </c>
      <c r="D195" s="9" t="n">
        <v>1</v>
      </c>
      <c r="E195" s="9" t="n">
        <v>65</v>
      </c>
      <c r="F195" s="10" t="s">
        <v>710</v>
      </c>
      <c r="G195" s="10" t="s">
        <v>275</v>
      </c>
      <c r="H195" s="9" t="n">
        <v>21</v>
      </c>
      <c r="I195" s="9" t="n">
        <v>11</v>
      </c>
      <c r="J195" s="12" t="s">
        <v>270</v>
      </c>
      <c r="K195" s="13"/>
      <c r="L195" s="13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 t="n">
        <v>0</v>
      </c>
      <c r="Y195" s="9" t="n">
        <v>0</v>
      </c>
      <c r="Z195" s="9" t="n">
        <v>0</v>
      </c>
      <c r="AA195" s="9" t="n">
        <v>0</v>
      </c>
      <c r="AB195" s="11" t="n">
        <f aca="false">(X195+Y195+Z195+AA195)/4</f>
        <v>0</v>
      </c>
      <c r="AC195" s="9" t="n">
        <v>1</v>
      </c>
      <c r="AD195" s="9" t="n">
        <v>1</v>
      </c>
      <c r="AE195" s="9" t="n">
        <v>1</v>
      </c>
      <c r="AF195" s="9" t="n">
        <v>0</v>
      </c>
      <c r="AG195" s="11" t="n">
        <f aca="false">(AC195+AD195+AE195+AF195)/4</f>
        <v>0.75</v>
      </c>
      <c r="AH195" s="9" t="n">
        <v>1</v>
      </c>
      <c r="AI195" s="9" t="n">
        <v>1</v>
      </c>
      <c r="AJ195" s="9" t="n">
        <v>1</v>
      </c>
      <c r="AK195" s="9" t="n">
        <v>1</v>
      </c>
      <c r="AL195" s="11" t="n">
        <f aca="false">(AH195+AI195+AJ195+AK195)/4</f>
        <v>1</v>
      </c>
      <c r="AM195" s="9" t="n">
        <v>25</v>
      </c>
      <c r="AN195" s="9" t="n">
        <v>22</v>
      </c>
      <c r="AO195" s="9" t="n">
        <v>29</v>
      </c>
      <c r="AP195" s="9" t="n">
        <v>73</v>
      </c>
      <c r="AQ195" s="11" t="n">
        <f aca="false">(AM195+AN195+AO195+AP195)/4</f>
        <v>37.25</v>
      </c>
      <c r="AR195" s="9" t="n">
        <v>11</v>
      </c>
      <c r="AS195" s="9" t="n">
        <v>38</v>
      </c>
      <c r="AT195" s="9" t="n">
        <v>7</v>
      </c>
      <c r="AU195" s="9" t="n">
        <v>14</v>
      </c>
      <c r="AV195" s="11" t="n">
        <f aca="false">(AR195+AS195+AT195+AU195)/4</f>
        <v>17.5</v>
      </c>
      <c r="AW195" s="9" t="n">
        <v>11</v>
      </c>
      <c r="AX195" s="9" t="n">
        <v>38</v>
      </c>
      <c r="AY195" s="9" t="n">
        <v>7</v>
      </c>
      <c r="AZ195" s="9" t="n">
        <v>14</v>
      </c>
      <c r="BA195" s="11" t="n">
        <f aca="false">(AW195+AX195+AY195+AZ195)/4</f>
        <v>17.5</v>
      </c>
      <c r="BB195" s="11" t="n">
        <f aca="false">(AW195/AR195)</f>
        <v>1</v>
      </c>
      <c r="BC195" s="11" t="n">
        <f aca="false">(AX195/AS195)</f>
        <v>1</v>
      </c>
      <c r="BD195" s="11" t="n">
        <f aca="false">(AY195/AT195)</f>
        <v>1</v>
      </c>
      <c r="BE195" s="11" t="n">
        <f aca="false">(AZ195/AU195)</f>
        <v>1</v>
      </c>
      <c r="BF195" s="11" t="n">
        <f aca="false">(BA195/AV195)</f>
        <v>1</v>
      </c>
      <c r="BG195" s="11" t="n">
        <f aca="false">(BF195*100)</f>
        <v>100</v>
      </c>
      <c r="BH195" s="9" t="n">
        <v>3</v>
      </c>
      <c r="BI195" s="9" t="n">
        <v>3</v>
      </c>
      <c r="BJ195" s="9" t="n">
        <v>2</v>
      </c>
      <c r="BK195" s="9" t="n">
        <v>1</v>
      </c>
      <c r="BL195" s="9" t="n">
        <v>0</v>
      </c>
      <c r="BM195" s="11" t="n">
        <f aca="false">(BI195+BJ195+BK195+BL195)/4</f>
        <v>1.5</v>
      </c>
      <c r="BN195" s="11" t="n">
        <f aca="false">(BI195/AR195)</f>
        <v>0.272727272727273</v>
      </c>
      <c r="BO195" s="11" t="n">
        <f aca="false">(BJ195/AS195)</f>
        <v>0.0526315789473684</v>
      </c>
      <c r="BP195" s="11" t="n">
        <f aca="false">(BK195/AT195)</f>
        <v>0.142857142857143</v>
      </c>
      <c r="BQ195" s="11" t="n">
        <f aca="false">(BL195/AU195)</f>
        <v>0</v>
      </c>
      <c r="BR195" s="11" t="n">
        <f aca="false">(BM195/AV195)</f>
        <v>0.0857142857142857</v>
      </c>
      <c r="BS195" s="11" t="n">
        <f aca="false">(100*BR195)</f>
        <v>8.57142857142857</v>
      </c>
      <c r="BT195" s="9" t="n">
        <v>1</v>
      </c>
      <c r="BU195" s="9" t="n">
        <v>0</v>
      </c>
      <c r="BV195" s="9" t="n">
        <v>0</v>
      </c>
      <c r="BW195" s="9" t="n">
        <v>0</v>
      </c>
      <c r="BX195" s="9" t="n">
        <v>0</v>
      </c>
      <c r="BY195" s="11" t="n">
        <f aca="false">(BU195+BV195+BW195+BX195)/4</f>
        <v>0</v>
      </c>
      <c r="BZ195" s="11" t="n">
        <f aca="false">(BU195/AR195)</f>
        <v>0</v>
      </c>
      <c r="CA195" s="11" t="n">
        <f aca="false">(BV195/AS195)</f>
        <v>0</v>
      </c>
      <c r="CB195" s="11" t="n">
        <f aca="false">(BW195/AT195)</f>
        <v>0</v>
      </c>
      <c r="CC195" s="11" t="n">
        <f aca="false">(BX195/AU195)</f>
        <v>0</v>
      </c>
      <c r="CD195" s="11" t="n">
        <f aca="false">(BY195/AV195)</f>
        <v>0</v>
      </c>
      <c r="CE195" s="11" t="n">
        <f aca="false">(100*CD195)</f>
        <v>0</v>
      </c>
      <c r="CF195" s="9" t="n">
        <v>0</v>
      </c>
      <c r="CG195" s="9" t="n">
        <v>5</v>
      </c>
      <c r="CH195" s="9" t="n">
        <v>2</v>
      </c>
      <c r="CI195" s="9" t="n">
        <v>3</v>
      </c>
      <c r="CJ195" s="9" t="n">
        <v>6</v>
      </c>
      <c r="CK195" s="11" t="n">
        <f aca="false">(CG195+CH195+CI195+CJ195)/4</f>
        <v>4</v>
      </c>
      <c r="CL195" s="11" t="n">
        <f aca="false">(CG195/AM195)</f>
        <v>0.2</v>
      </c>
      <c r="CM195" s="11" t="n">
        <f aca="false">(CH195/AN195)</f>
        <v>0.0909090909090909</v>
      </c>
      <c r="CN195" s="11" t="n">
        <f aca="false">(CI195/AO195)</f>
        <v>0.103448275862069</v>
      </c>
      <c r="CO195" s="9" t="n">
        <f aca="false">(CJ195/AP195)</f>
        <v>0.0821917808219178</v>
      </c>
      <c r="CP195" s="9" t="n">
        <f aca="false">(CK195/AQ195)</f>
        <v>0.10738255033557</v>
      </c>
      <c r="CQ195" s="9" t="n">
        <f aca="false">(100*CP195)</f>
        <v>10.738255033557</v>
      </c>
      <c r="CR195" s="18" t="n">
        <v>2</v>
      </c>
      <c r="CS195" s="9" t="n">
        <v>76.3</v>
      </c>
      <c r="CT195" s="9" t="n">
        <v>54.6</v>
      </c>
      <c r="CU195" s="9" t="n">
        <v>68.1</v>
      </c>
      <c r="CV195" s="9" t="n">
        <v>63.5</v>
      </c>
      <c r="CW195" s="11" t="n">
        <f aca="false">(CS195+CT195+CU195+CV195)/4</f>
        <v>65.625</v>
      </c>
      <c r="CX195" s="9" t="n">
        <v>0</v>
      </c>
      <c r="CY195" s="9" t="n">
        <v>0</v>
      </c>
      <c r="CZ195" s="9" t="n">
        <v>0</v>
      </c>
      <c r="DA195" s="9" t="n">
        <v>0</v>
      </c>
      <c r="DB195" s="11" t="n">
        <f aca="false">(CX195+CY195+CZ195+DA195)/4</f>
        <v>0</v>
      </c>
      <c r="DC195" s="9" t="n">
        <v>1</v>
      </c>
      <c r="DD195" s="9" t="n">
        <v>1</v>
      </c>
      <c r="DE195" s="9" t="n">
        <v>1</v>
      </c>
      <c r="DF195" s="9" t="n">
        <v>1</v>
      </c>
      <c r="DG195" s="11" t="n">
        <f aca="false">(DC195+DD195+DE195+DF195)/4</f>
        <v>1</v>
      </c>
      <c r="DH195" s="9" t="n">
        <v>1</v>
      </c>
      <c r="DI195" s="9" t="n">
        <v>1</v>
      </c>
      <c r="DJ195" s="9" t="n">
        <v>1</v>
      </c>
      <c r="DK195" s="9" t="n">
        <v>1</v>
      </c>
      <c r="DL195" s="11" t="n">
        <f aca="false">(DH195+DI195+DJ195+DK195)/4</f>
        <v>1</v>
      </c>
      <c r="DM195" s="9" t="n">
        <v>8</v>
      </c>
      <c r="DN195" s="9" t="n">
        <v>20</v>
      </c>
      <c r="DO195" s="9" t="n">
        <v>90</v>
      </c>
      <c r="DP195" s="9" t="n">
        <v>22</v>
      </c>
      <c r="DQ195" s="11" t="n">
        <f aca="false">(DM195+DN195+DO195+DP195)/4</f>
        <v>35</v>
      </c>
      <c r="DR195" s="9" t="n">
        <v>15</v>
      </c>
      <c r="DS195" s="9" t="n">
        <v>12</v>
      </c>
      <c r="DT195" s="9" t="n">
        <v>19</v>
      </c>
      <c r="DU195" s="9" t="n">
        <v>11</v>
      </c>
      <c r="DV195" s="11" t="n">
        <f aca="false">(DR195+DS195+DT195+DU195)/4</f>
        <v>14.25</v>
      </c>
      <c r="DW195" s="9" t="n">
        <v>0</v>
      </c>
      <c r="DX195" s="9" t="n">
        <v>0</v>
      </c>
      <c r="DY195" s="9" t="n">
        <v>0</v>
      </c>
      <c r="DZ195" s="9" t="n">
        <v>0</v>
      </c>
      <c r="EA195" s="11" t="n">
        <f aca="false">(DW195+DX195+DY195+DZ195)/4</f>
        <v>0</v>
      </c>
      <c r="EB195" s="11" t="n">
        <f aca="false">(DW195/DR195)</f>
        <v>0</v>
      </c>
      <c r="EC195" s="11" t="n">
        <f aca="false">(DX195/DS195)</f>
        <v>0</v>
      </c>
      <c r="ED195" s="11" t="n">
        <f aca="false">(DY195/DT195)</f>
        <v>0</v>
      </c>
      <c r="EE195" s="11" t="n">
        <f aca="false">(DZ195/DU195)</f>
        <v>0</v>
      </c>
      <c r="EF195" s="11" t="n">
        <f aca="false">(EA195/DV195)</f>
        <v>0</v>
      </c>
      <c r="EG195" s="11" t="n">
        <f aca="false">(100*EF195)</f>
        <v>0</v>
      </c>
      <c r="EH195" s="9" t="n">
        <v>0</v>
      </c>
      <c r="EI195" s="9" t="n">
        <v>2</v>
      </c>
      <c r="EJ195" s="9" t="n">
        <v>3</v>
      </c>
      <c r="EK195" s="19" t="n">
        <v>1</v>
      </c>
      <c r="EL195" s="9" t="n">
        <v>1</v>
      </c>
      <c r="EM195" s="9" t="n">
        <f aca="false">(EI195+EJ195+EK195+EL195)/4</f>
        <v>1.75</v>
      </c>
      <c r="EN195" s="9" t="n">
        <f aca="false">(EI195/DR195)</f>
        <v>0.133333333333333</v>
      </c>
      <c r="EO195" s="9" t="n">
        <f aca="false">(EJ195/DS195)</f>
        <v>0.25</v>
      </c>
      <c r="EP195" s="9" t="n">
        <f aca="false">(EK195/DT195)</f>
        <v>0.0526315789473684</v>
      </c>
      <c r="EQ195" s="9" t="n">
        <f aca="false">(EL195/DU195)</f>
        <v>0.0909090909090909</v>
      </c>
      <c r="ER195" s="9" t="n">
        <f aca="false">EM195/DV195</f>
        <v>0.12280701754386</v>
      </c>
      <c r="ES195" s="9" t="n">
        <f aca="false">(100*ER195)</f>
        <v>12.280701754386</v>
      </c>
      <c r="ET195" s="9" t="n">
        <v>2</v>
      </c>
      <c r="EU195" s="18" t="n">
        <v>0</v>
      </c>
      <c r="EV195" s="9" t="n">
        <v>0</v>
      </c>
      <c r="EW195" s="9" t="n">
        <v>1</v>
      </c>
      <c r="EX195" s="9" t="n">
        <v>2</v>
      </c>
      <c r="EY195" s="11" t="n">
        <f aca="false">(EU195+EV195+EW195+EX195)/4</f>
        <v>0.75</v>
      </c>
      <c r="EZ195" s="11" t="n">
        <f aca="false">(EU195/DR195)</f>
        <v>0</v>
      </c>
      <c r="FA195" s="11" t="n">
        <f aca="false">(EV195/DS195)</f>
        <v>0</v>
      </c>
      <c r="FB195" s="11" t="n">
        <f aca="false">(EW195/DT195)</f>
        <v>0.0526315789473684</v>
      </c>
      <c r="FC195" s="11" t="n">
        <f aca="false">(EX195/DU195)</f>
        <v>0.181818181818182</v>
      </c>
      <c r="FD195" s="11" t="n">
        <f aca="false">(EY195/DV195)</f>
        <v>0.0526315789473684</v>
      </c>
      <c r="FE195" s="11" t="n">
        <f aca="false">(100*FD195)</f>
        <v>5.26315789473684</v>
      </c>
      <c r="FF195" s="9" t="n">
        <v>1</v>
      </c>
      <c r="FG195" s="9" t="n">
        <v>5</v>
      </c>
      <c r="FH195" s="9" t="n">
        <v>3</v>
      </c>
      <c r="FI195" s="9" t="n">
        <v>0</v>
      </c>
      <c r="FJ195" s="9" t="n">
        <v>2</v>
      </c>
      <c r="FK195" s="11" t="n">
        <f aca="false">(FG195+FH195+FI195+FJ195)/4</f>
        <v>2.5</v>
      </c>
      <c r="FL195" s="11" t="n">
        <f aca="false">(FG195/DR195)</f>
        <v>0.333333333333333</v>
      </c>
      <c r="FM195" s="11" t="n">
        <f aca="false">(FH195/DS195)</f>
        <v>0.25</v>
      </c>
      <c r="FN195" s="11" t="n">
        <f aca="false">(FI195/DT195)</f>
        <v>0</v>
      </c>
      <c r="FO195" s="11" t="n">
        <f aca="false">(FJ195/DU195)</f>
        <v>0.181818181818182</v>
      </c>
      <c r="FP195" s="11" t="n">
        <f aca="false">(FK195/DV195)</f>
        <v>0.175438596491228</v>
      </c>
      <c r="FQ195" s="11" t="n">
        <f aca="false">(100*FP195)</f>
        <v>17.5438596491228</v>
      </c>
      <c r="FR195" s="9" t="n">
        <v>2</v>
      </c>
      <c r="FS195" s="9" t="n">
        <v>57.4</v>
      </c>
      <c r="FT195" s="9" t="n">
        <v>53.8</v>
      </c>
      <c r="FU195" s="9" t="n">
        <v>44</v>
      </c>
      <c r="FV195" s="9" t="n">
        <v>61.4</v>
      </c>
      <c r="FW195" s="11" t="n">
        <f aca="false">(FS195+FT195+FU195+FV195)/4</f>
        <v>54.15</v>
      </c>
      <c r="FX195" s="9" t="n">
        <v>0</v>
      </c>
      <c r="FY195" s="9" t="n">
        <v>0</v>
      </c>
      <c r="FZ195" s="9" t="n">
        <v>0</v>
      </c>
      <c r="GA195" s="9" t="n">
        <v>0</v>
      </c>
      <c r="GB195" s="11" t="n">
        <f aca="false">(FX195+FY195+FZ195+GA195)/4</f>
        <v>0</v>
      </c>
      <c r="GC195" s="9" t="n">
        <v>1</v>
      </c>
      <c r="GD195" s="9" t="n">
        <v>1</v>
      </c>
      <c r="GE195" s="9" t="n">
        <v>1</v>
      </c>
      <c r="GF195" s="9" t="n">
        <v>0</v>
      </c>
      <c r="GG195" s="11" t="n">
        <f aca="false">(GC195+GD195+GE195+GF195)/4</f>
        <v>0.75</v>
      </c>
      <c r="GH195" s="9" t="n">
        <v>1</v>
      </c>
      <c r="GI195" s="9" t="n">
        <v>1</v>
      </c>
      <c r="GJ195" s="9" t="n">
        <v>1</v>
      </c>
      <c r="GK195" s="9" t="n">
        <v>0</v>
      </c>
      <c r="GL195" s="11" t="n">
        <f aca="false">(GH195+GI195+GJ195+GK195)/4</f>
        <v>0.75</v>
      </c>
      <c r="GM195" s="9" t="n">
        <v>64</v>
      </c>
      <c r="GN195" s="9" t="n">
        <v>95</v>
      </c>
      <c r="GO195" s="9" t="n">
        <v>47</v>
      </c>
      <c r="GP195" s="9" t="n">
        <v>70</v>
      </c>
      <c r="GQ195" s="11" t="n">
        <f aca="false">(GM195+GN195+GO195+GP195)/4</f>
        <v>69</v>
      </c>
      <c r="GR195" s="9" t="n">
        <v>6</v>
      </c>
      <c r="GS195" s="9" t="n">
        <v>7</v>
      </c>
      <c r="GT195" s="9" t="n">
        <v>16</v>
      </c>
      <c r="GU195" s="9" t="n">
        <v>12</v>
      </c>
      <c r="GV195" s="11" t="n">
        <f aca="false">(GR195+GS195+GT195+GU195)/4</f>
        <v>10.25</v>
      </c>
      <c r="GW195" s="9" t="n">
        <v>0</v>
      </c>
      <c r="GX195" s="9" t="n">
        <v>0</v>
      </c>
      <c r="GY195" s="9" t="n">
        <v>0</v>
      </c>
      <c r="GZ195" s="9" t="n">
        <v>0</v>
      </c>
      <c r="HA195" s="11" t="n">
        <f aca="false">(GW195+GX195+GY195+GZ195)/4</f>
        <v>0</v>
      </c>
      <c r="HB195" s="9" t="n">
        <f aca="false">(GW195/GR195)</f>
        <v>0</v>
      </c>
      <c r="HC195" s="9" t="n">
        <f aca="false">(GX195/GS195)</f>
        <v>0</v>
      </c>
      <c r="HD195" s="9" t="n">
        <f aca="false">(GY195/GT195)</f>
        <v>0</v>
      </c>
      <c r="HE195" s="9" t="n">
        <f aca="false">(GZ195/GU195)/4</f>
        <v>0</v>
      </c>
      <c r="HF195" s="9" t="n">
        <f aca="false">(HB195+HC195+HD195+HE195)/4</f>
        <v>0</v>
      </c>
      <c r="HG195" s="9" t="n">
        <f aca="false">(100*HF195)</f>
        <v>0</v>
      </c>
      <c r="HH195" s="18" t="n">
        <v>0</v>
      </c>
      <c r="HI195" s="9" t="n">
        <v>2</v>
      </c>
      <c r="HJ195" s="9" t="n">
        <v>3</v>
      </c>
      <c r="HK195" s="9" t="n">
        <v>3</v>
      </c>
      <c r="HL195" s="19" t="n">
        <v>0</v>
      </c>
      <c r="HM195" s="9" t="n">
        <f aca="false">(HI195+HJ195+HK195+HL195)/4</f>
        <v>2</v>
      </c>
      <c r="HN195" s="9" t="n">
        <f aca="false">(HI195/GR195)</f>
        <v>0.333333333333333</v>
      </c>
      <c r="HO195" s="9" t="n">
        <f aca="false">(HJ195/GS195)</f>
        <v>0.428571428571429</v>
      </c>
      <c r="HP195" s="9" t="n">
        <f aca="false">(HK195/GT195)</f>
        <v>0.1875</v>
      </c>
      <c r="HQ195" s="9" t="n">
        <f aca="false">(HL195/GU195)</f>
        <v>0</v>
      </c>
      <c r="HR195" s="9" t="n">
        <f aca="false">(HM195/GV195)</f>
        <v>0.195121951219512</v>
      </c>
      <c r="HS195" s="9" t="n">
        <f aca="false">(100*HR195)</f>
        <v>19.5121951219512</v>
      </c>
      <c r="HT195" s="18" t="n">
        <v>2</v>
      </c>
      <c r="HU195" s="9" t="n">
        <v>0</v>
      </c>
      <c r="HV195" s="9" t="n">
        <v>3</v>
      </c>
      <c r="HW195" s="9" t="n">
        <v>1</v>
      </c>
      <c r="HX195" s="19" t="n">
        <v>0</v>
      </c>
      <c r="HY195" s="9" t="n">
        <f aca="false">(HU195+HV195+HW195+HX195)/4</f>
        <v>1</v>
      </c>
      <c r="HZ195" s="9" t="n">
        <f aca="false">(HU195/GR195)</f>
        <v>0</v>
      </c>
      <c r="IA195" s="9" t="n">
        <f aca="false">HV195/GS195</f>
        <v>0.428571428571429</v>
      </c>
      <c r="IB195" s="9" t="n">
        <f aca="false">(HW195/GT195)</f>
        <v>0.0625</v>
      </c>
      <c r="IC195" s="9" t="n">
        <f aca="false">(HX195/GU195)</f>
        <v>0</v>
      </c>
      <c r="ID195" s="9" t="n">
        <f aca="false">(HY195/GV195)</f>
        <v>0.0975609756097561</v>
      </c>
      <c r="IE195" s="9" t="n">
        <f aca="false">(100*ID195)</f>
        <v>9.75609756097561</v>
      </c>
      <c r="IF195" s="18" t="n">
        <v>1</v>
      </c>
      <c r="IG195" s="9" t="n">
        <v>17</v>
      </c>
      <c r="IH195" s="9" t="n">
        <v>2</v>
      </c>
      <c r="II195" s="19" t="n">
        <v>10</v>
      </c>
      <c r="IJ195" s="9" t="n">
        <v>0</v>
      </c>
      <c r="IK195" s="9" t="n">
        <f aca="false">(IG195+IH195+II195+IJ195)/4</f>
        <v>7.25</v>
      </c>
      <c r="IL195" s="9" t="n">
        <f aca="false">(IG195/GM195)</f>
        <v>0.265625</v>
      </c>
      <c r="IM195" s="9" t="n">
        <f aca="false">(IH195/GN195)</f>
        <v>0.0210526315789474</v>
      </c>
      <c r="IN195" s="9" t="n">
        <f aca="false">(II195/GO195)</f>
        <v>0.212765957446809</v>
      </c>
      <c r="IO195" s="9" t="n">
        <f aca="false">(IJ195/GP195)</f>
        <v>0</v>
      </c>
      <c r="IP195" s="9" t="n">
        <f aca="false">(IK195/GQ195)</f>
        <v>0.105072463768116</v>
      </c>
      <c r="IQ195" s="9" t="n">
        <f aca="false">(100*IP195)</f>
        <v>10.5072463768116</v>
      </c>
      <c r="IR195" s="18" t="n">
        <v>2</v>
      </c>
      <c r="IS195" s="9" t="n">
        <v>55.7</v>
      </c>
      <c r="IT195" s="9" t="n">
        <v>47.1</v>
      </c>
      <c r="IU195" s="19" t="n">
        <v>71.1</v>
      </c>
      <c r="IV195" s="9" t="n">
        <v>55.6</v>
      </c>
      <c r="IW195" s="9" t="n">
        <f aca="false">(IS195+IT195+IU195+IV195)/4</f>
        <v>57.375</v>
      </c>
      <c r="IX195" s="16" t="n">
        <v>45240</v>
      </c>
      <c r="IY195" s="10" t="s">
        <v>268</v>
      </c>
    </row>
    <row r="196" customFormat="false" ht="15.75" hidden="false" customHeight="true" outlineLevel="0" collapsed="false">
      <c r="A196" s="9" t="s">
        <v>370</v>
      </c>
      <c r="B196" s="10" t="s">
        <v>705</v>
      </c>
      <c r="C196" s="10" t="s">
        <v>626</v>
      </c>
      <c r="D196" s="9" t="n">
        <v>1</v>
      </c>
      <c r="E196" s="9" t="n">
        <v>65</v>
      </c>
      <c r="F196" s="10" t="s">
        <v>711</v>
      </c>
      <c r="G196" s="10" t="s">
        <v>320</v>
      </c>
      <c r="H196" s="9" t="n">
        <v>21</v>
      </c>
      <c r="I196" s="9" t="n">
        <v>21</v>
      </c>
      <c r="J196" s="10" t="s">
        <v>272</v>
      </c>
      <c r="K196" s="20"/>
      <c r="L196" s="20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 t="n">
        <v>0</v>
      </c>
      <c r="Y196" s="9" t="n">
        <v>0</v>
      </c>
      <c r="Z196" s="9" t="n">
        <v>0</v>
      </c>
      <c r="AA196" s="9" t="n">
        <v>0</v>
      </c>
      <c r="AB196" s="11" t="n">
        <f aca="false">(X196+Y196+Z196+AA196)/4</f>
        <v>0</v>
      </c>
      <c r="AC196" s="9" t="n">
        <v>1</v>
      </c>
      <c r="AD196" s="9" t="n">
        <v>1</v>
      </c>
      <c r="AE196" s="9" t="n">
        <v>1</v>
      </c>
      <c r="AF196" s="9" t="n">
        <v>1</v>
      </c>
      <c r="AG196" s="11" t="n">
        <f aca="false">(AC196+AD196+AE196+AF196)/4</f>
        <v>1</v>
      </c>
      <c r="AH196" s="9" t="n">
        <v>0</v>
      </c>
      <c r="AI196" s="9" t="n">
        <v>1</v>
      </c>
      <c r="AJ196" s="9" t="n">
        <v>1</v>
      </c>
      <c r="AK196" s="9" t="n">
        <v>1</v>
      </c>
      <c r="AL196" s="11" t="n">
        <f aca="false">(AH196+AI196+AJ196+AK196)/4</f>
        <v>0.75</v>
      </c>
      <c r="AM196" s="9" t="n">
        <v>3</v>
      </c>
      <c r="AN196" s="9" t="n">
        <v>18</v>
      </c>
      <c r="AO196" s="9" t="n">
        <v>45</v>
      </c>
      <c r="AP196" s="9" t="n">
        <v>42</v>
      </c>
      <c r="AQ196" s="11" t="n">
        <f aca="false">(AM196+AN196+AO196+AP196)/4</f>
        <v>27</v>
      </c>
      <c r="AR196" s="9" t="n">
        <v>11</v>
      </c>
      <c r="AS196" s="9" t="n">
        <v>54</v>
      </c>
      <c r="AT196" s="9" t="n">
        <v>26</v>
      </c>
      <c r="AU196" s="9" t="n">
        <v>19</v>
      </c>
      <c r="AV196" s="11" t="n">
        <f aca="false">(AR196+AS196+AT196+AU196)/4</f>
        <v>27.5</v>
      </c>
      <c r="AW196" s="9" t="n">
        <v>0</v>
      </c>
      <c r="AX196" s="9" t="n">
        <v>0</v>
      </c>
      <c r="AY196" s="9" t="n">
        <v>0</v>
      </c>
      <c r="AZ196" s="9" t="n">
        <v>0</v>
      </c>
      <c r="BA196" s="11" t="n">
        <f aca="false">(AW196+AX196+AY196+AZ196)/4</f>
        <v>0</v>
      </c>
      <c r="BB196" s="11" t="n">
        <f aca="false">(AW196/AR196)</f>
        <v>0</v>
      </c>
      <c r="BC196" s="11" t="n">
        <f aca="false">(AX196/AS196)</f>
        <v>0</v>
      </c>
      <c r="BD196" s="11" t="n">
        <f aca="false">(AY196/AT196)</f>
        <v>0</v>
      </c>
      <c r="BE196" s="11" t="n">
        <f aca="false">(AZ196/AU196)</f>
        <v>0</v>
      </c>
      <c r="BF196" s="11" t="n">
        <f aca="false">(BA196/AV196)</f>
        <v>0</v>
      </c>
      <c r="BG196" s="11" t="n">
        <f aca="false">(BF196*100)</f>
        <v>0</v>
      </c>
      <c r="BH196" s="9" t="n">
        <v>0</v>
      </c>
      <c r="BI196" s="9" t="n">
        <v>5</v>
      </c>
      <c r="BJ196" s="9" t="n">
        <v>4</v>
      </c>
      <c r="BK196" s="9" t="n">
        <v>6</v>
      </c>
      <c r="BL196" s="9" t="n">
        <v>2</v>
      </c>
      <c r="BM196" s="11" t="n">
        <f aca="false">(BI196+BJ196+BK196+BL196)/4</f>
        <v>4.25</v>
      </c>
      <c r="BN196" s="11" t="n">
        <f aca="false">(BI196/AR196)</f>
        <v>0.454545454545455</v>
      </c>
      <c r="BO196" s="11" t="n">
        <f aca="false">(BJ196/AS196)</f>
        <v>0.0740740740740741</v>
      </c>
      <c r="BP196" s="11" t="n">
        <f aca="false">(BK196/AT196)</f>
        <v>0.230769230769231</v>
      </c>
      <c r="BQ196" s="11" t="n">
        <f aca="false">(BL196/AU196)</f>
        <v>0.105263157894737</v>
      </c>
      <c r="BR196" s="11" t="n">
        <f aca="false">(BM196/AV196)</f>
        <v>0.154545454545455</v>
      </c>
      <c r="BS196" s="11" t="n">
        <f aca="false">(100*BR196)</f>
        <v>15.4545454545455</v>
      </c>
      <c r="BT196" s="9" t="n">
        <v>2</v>
      </c>
      <c r="BU196" s="9" t="n">
        <v>0</v>
      </c>
      <c r="BV196" s="9" t="n">
        <v>0</v>
      </c>
      <c r="BW196" s="9" t="n">
        <v>6</v>
      </c>
      <c r="BX196" s="9" t="n">
        <v>0</v>
      </c>
      <c r="BY196" s="11" t="n">
        <f aca="false">(BU196+BV196+BW196+BX196)/4</f>
        <v>1.5</v>
      </c>
      <c r="BZ196" s="11" t="n">
        <f aca="false">(BU196/AR196)</f>
        <v>0</v>
      </c>
      <c r="CA196" s="11" t="n">
        <f aca="false">(BV196/AS196)</f>
        <v>0</v>
      </c>
      <c r="CB196" s="11" t="n">
        <f aca="false">(BW196/AT196)</f>
        <v>0.230769230769231</v>
      </c>
      <c r="CC196" s="11" t="n">
        <f aca="false">(BX196/AU196)</f>
        <v>0</v>
      </c>
      <c r="CD196" s="11" t="n">
        <f aca="false">(BY196/AV196)</f>
        <v>0.0545454545454545</v>
      </c>
      <c r="CE196" s="11" t="n">
        <f aca="false">(100*CD196)</f>
        <v>5.45454545454545</v>
      </c>
      <c r="CF196" s="9" t="n">
        <v>1</v>
      </c>
      <c r="CG196" s="9" t="n">
        <v>0</v>
      </c>
      <c r="CH196" s="9" t="n">
        <v>2</v>
      </c>
      <c r="CI196" s="9" t="n">
        <v>8</v>
      </c>
      <c r="CJ196" s="9" t="n">
        <v>3</v>
      </c>
      <c r="CK196" s="11" t="n">
        <f aca="false">(CG196+CH196+CI196+CJ196)/4</f>
        <v>3.25</v>
      </c>
      <c r="CL196" s="11" t="n">
        <f aca="false">(CG196/AM196)</f>
        <v>0</v>
      </c>
      <c r="CM196" s="11" t="n">
        <f aca="false">(CH196/AN196)</f>
        <v>0.111111111111111</v>
      </c>
      <c r="CN196" s="11" t="n">
        <f aca="false">(CI196/AO196)</f>
        <v>0.177777777777778</v>
      </c>
      <c r="CO196" s="9" t="n">
        <f aca="false">(CJ196/AP196)</f>
        <v>0.0714285714285714</v>
      </c>
      <c r="CP196" s="9" t="n">
        <f aca="false">(CK196/AQ196)</f>
        <v>0.12037037037037</v>
      </c>
      <c r="CQ196" s="9" t="n">
        <f aca="false">(100*CP196)</f>
        <v>12.037037037037</v>
      </c>
      <c r="CR196" s="18" t="n">
        <v>2</v>
      </c>
      <c r="CS196" s="9" t="n">
        <v>57.7</v>
      </c>
      <c r="CT196" s="9" t="n">
        <v>55.5</v>
      </c>
      <c r="CU196" s="9" t="n">
        <v>57.1</v>
      </c>
      <c r="CV196" s="9" t="n">
        <v>50.8</v>
      </c>
      <c r="CW196" s="11" t="n">
        <f aca="false">(CS196+CT196+CU196+CV196)/4</f>
        <v>55.275</v>
      </c>
      <c r="CX196" s="9" t="n">
        <v>1</v>
      </c>
      <c r="CY196" s="9" t="n">
        <v>0</v>
      </c>
      <c r="CZ196" s="9" t="n">
        <v>0</v>
      </c>
      <c r="DA196" s="9" t="n">
        <v>1</v>
      </c>
      <c r="DB196" s="11" t="n">
        <f aca="false">(CX196+CY196+CZ196+DA196)/4</f>
        <v>0.5</v>
      </c>
      <c r="DC196" s="9" t="n">
        <v>1</v>
      </c>
      <c r="DD196" s="9" t="n">
        <v>0</v>
      </c>
      <c r="DE196" s="9" t="n">
        <v>1</v>
      </c>
      <c r="DF196" s="9" t="n">
        <v>1</v>
      </c>
      <c r="DG196" s="11" t="n">
        <f aca="false">(DC196+DD196+DE196+DF196)/4</f>
        <v>0.75</v>
      </c>
      <c r="DH196" s="9" t="n">
        <v>1</v>
      </c>
      <c r="DI196" s="9" t="n">
        <v>1</v>
      </c>
      <c r="DJ196" s="9" t="n">
        <v>1</v>
      </c>
      <c r="DK196" s="9" t="n">
        <v>1</v>
      </c>
      <c r="DL196" s="11" t="n">
        <f aca="false">(DH196+DI196+DJ196+DK196)/4</f>
        <v>1</v>
      </c>
      <c r="DM196" s="9" t="n">
        <v>90</v>
      </c>
      <c r="DN196" s="9" t="n">
        <v>60</v>
      </c>
      <c r="DO196" s="9" t="n">
        <v>25</v>
      </c>
      <c r="DP196" s="9" t="n">
        <v>167</v>
      </c>
      <c r="DQ196" s="11" t="n">
        <f aca="false">(DM196+DN196+DO196+DP196)/4</f>
        <v>85.5</v>
      </c>
      <c r="DR196" s="9" t="n">
        <v>38</v>
      </c>
      <c r="DS196" s="9" t="n">
        <v>12</v>
      </c>
      <c r="DT196" s="9" t="n">
        <v>39</v>
      </c>
      <c r="DU196" s="9" t="n">
        <v>66</v>
      </c>
      <c r="DV196" s="11" t="n">
        <f aca="false">(DR196+DS196+DT196+DU196)/4</f>
        <v>38.75</v>
      </c>
      <c r="DW196" s="9" t="n">
        <v>5</v>
      </c>
      <c r="DX196" s="9" t="n">
        <v>0</v>
      </c>
      <c r="DY196" s="9" t="n">
        <v>0</v>
      </c>
      <c r="DZ196" s="9" t="n">
        <v>2</v>
      </c>
      <c r="EA196" s="11" t="n">
        <f aca="false">(DW196+DX196+DY196+DZ196)/4</f>
        <v>1.75</v>
      </c>
      <c r="EB196" s="11" t="n">
        <f aca="false">(DW196/DR196)</f>
        <v>0.131578947368421</v>
      </c>
      <c r="EC196" s="11" t="n">
        <f aca="false">(DX196/DS196)</f>
        <v>0</v>
      </c>
      <c r="ED196" s="11" t="n">
        <f aca="false">(DY196/DT196)</f>
        <v>0</v>
      </c>
      <c r="EE196" s="11" t="n">
        <f aca="false">(DZ196/DU196)</f>
        <v>0.0303030303030303</v>
      </c>
      <c r="EF196" s="11" t="n">
        <f aca="false">(EA196/DV196)</f>
        <v>0.0451612903225806</v>
      </c>
      <c r="EG196" s="11" t="n">
        <f aca="false">(100*EF196)</f>
        <v>4.51612903225806</v>
      </c>
      <c r="EH196" s="9" t="n">
        <v>1</v>
      </c>
      <c r="EI196" s="9" t="n">
        <v>9</v>
      </c>
      <c r="EJ196" s="9" t="n">
        <v>0</v>
      </c>
      <c r="EK196" s="19" t="n">
        <v>3</v>
      </c>
      <c r="EL196" s="9" t="n">
        <v>3</v>
      </c>
      <c r="EM196" s="9" t="n">
        <f aca="false">(EI196+EJ196+EK196+EL196)/4</f>
        <v>3.75</v>
      </c>
      <c r="EN196" s="9" t="n">
        <f aca="false">(EI196/DR196)</f>
        <v>0.236842105263158</v>
      </c>
      <c r="EO196" s="9" t="n">
        <f aca="false">(EJ196/DS196)</f>
        <v>0</v>
      </c>
      <c r="EP196" s="9" t="n">
        <f aca="false">(EK196/DT196)</f>
        <v>0.0769230769230769</v>
      </c>
      <c r="EQ196" s="9" t="n">
        <f aca="false">(EL196/DU196)</f>
        <v>0.0454545454545455</v>
      </c>
      <c r="ER196" s="9" t="n">
        <f aca="false">EM196/DV196</f>
        <v>0.0967741935483871</v>
      </c>
      <c r="ES196" s="9" t="n">
        <f aca="false">(100*ER196)</f>
        <v>9.67741935483871</v>
      </c>
      <c r="ET196" s="9" t="n">
        <v>1</v>
      </c>
      <c r="EU196" s="18" t="n">
        <v>0</v>
      </c>
      <c r="EV196" s="9" t="n">
        <v>0</v>
      </c>
      <c r="EW196" s="9" t="n">
        <v>3</v>
      </c>
      <c r="EX196" s="9" t="n">
        <v>0</v>
      </c>
      <c r="EY196" s="11" t="n">
        <f aca="false">(EU196+EV196+EW196+EX196)/4</f>
        <v>0.75</v>
      </c>
      <c r="EZ196" s="11" t="n">
        <f aca="false">(EU196/DR196)</f>
        <v>0</v>
      </c>
      <c r="FA196" s="11" t="n">
        <f aca="false">(EV196/DS196)</f>
        <v>0</v>
      </c>
      <c r="FB196" s="11" t="n">
        <f aca="false">(EW196/DT196)</f>
        <v>0.0769230769230769</v>
      </c>
      <c r="FC196" s="11" t="n">
        <f aca="false">(EX196/DU196)</f>
        <v>0</v>
      </c>
      <c r="FD196" s="11" t="n">
        <f aca="false">(EY196/DV196)</f>
        <v>0.0193548387096774</v>
      </c>
      <c r="FE196" s="11" t="n">
        <f aca="false">(100*FD196)</f>
        <v>1.93548387096774</v>
      </c>
      <c r="FF196" s="9" t="n">
        <v>1</v>
      </c>
      <c r="FG196" s="9" t="n">
        <v>6</v>
      </c>
      <c r="FH196" s="9" t="n">
        <v>7</v>
      </c>
      <c r="FI196" s="9" t="n">
        <v>2</v>
      </c>
      <c r="FJ196" s="9" t="n">
        <v>3</v>
      </c>
      <c r="FK196" s="11" t="n">
        <f aca="false">(FG196+FH196+FI196+FJ196)/4</f>
        <v>4.5</v>
      </c>
      <c r="FL196" s="11" t="n">
        <f aca="false">(FG196/DR196)</f>
        <v>0.157894736842105</v>
      </c>
      <c r="FM196" s="11" t="n">
        <f aca="false">(FH196/DS196)</f>
        <v>0.583333333333333</v>
      </c>
      <c r="FN196" s="11" t="n">
        <f aca="false">(FI196/DT196)</f>
        <v>0.0512820512820513</v>
      </c>
      <c r="FO196" s="11" t="n">
        <f aca="false">(FJ196/DU196)</f>
        <v>0.0454545454545455</v>
      </c>
      <c r="FP196" s="11" t="n">
        <f aca="false">(FK196/DV196)</f>
        <v>0.116129032258065</v>
      </c>
      <c r="FQ196" s="11" t="n">
        <f aca="false">(100*FP196)</f>
        <v>11.6129032258065</v>
      </c>
      <c r="FR196" s="9" t="n">
        <v>2</v>
      </c>
      <c r="FS196" s="9" t="n">
        <v>46.6</v>
      </c>
      <c r="FT196" s="9" t="n">
        <v>59.9</v>
      </c>
      <c r="FU196" s="9" t="n">
        <v>49.6</v>
      </c>
      <c r="FV196" s="9" t="n">
        <v>47.6</v>
      </c>
      <c r="FW196" s="11" t="n">
        <f aca="false">(FS196+FT196+FU196+FV196)/4</f>
        <v>50.925</v>
      </c>
      <c r="FX196" s="9" t="n">
        <v>1</v>
      </c>
      <c r="FY196" s="9" t="n">
        <v>0</v>
      </c>
      <c r="FZ196" s="9" t="n">
        <v>0</v>
      </c>
      <c r="GA196" s="9" t="n">
        <v>0</v>
      </c>
      <c r="GB196" s="11" t="n">
        <f aca="false">(FX196+FY196+FZ196+GA196)/4</f>
        <v>0.25</v>
      </c>
      <c r="GC196" s="9" t="n">
        <v>1</v>
      </c>
      <c r="GD196" s="9" t="n">
        <v>1</v>
      </c>
      <c r="GE196" s="9" t="n">
        <v>1</v>
      </c>
      <c r="GF196" s="9" t="n">
        <v>1</v>
      </c>
      <c r="GG196" s="11" t="n">
        <f aca="false">(GC196+GD196+GE196+GF196)/4</f>
        <v>1</v>
      </c>
      <c r="GH196" s="9" t="n">
        <v>1</v>
      </c>
      <c r="GI196" s="9" t="n">
        <v>1</v>
      </c>
      <c r="GJ196" s="9" t="n">
        <v>1</v>
      </c>
      <c r="GK196" s="9" t="n">
        <v>1</v>
      </c>
      <c r="GL196" s="11" t="n">
        <f aca="false">(GH196+GI196+GJ196+GK196)/4</f>
        <v>1</v>
      </c>
      <c r="GM196" s="9" t="n">
        <v>22</v>
      </c>
      <c r="GN196" s="9" t="n">
        <v>80</v>
      </c>
      <c r="GO196" s="9" t="n">
        <v>35</v>
      </c>
      <c r="GP196" s="9" t="n">
        <v>62</v>
      </c>
      <c r="GQ196" s="11" t="n">
        <f aca="false">(GM196+GN196+GO196+GP196)/4</f>
        <v>49.75</v>
      </c>
      <c r="GR196" s="9" t="n">
        <v>15</v>
      </c>
      <c r="GS196" s="9" t="n">
        <v>51</v>
      </c>
      <c r="GT196" s="9" t="n">
        <v>46</v>
      </c>
      <c r="GU196" s="9" t="n">
        <v>52</v>
      </c>
      <c r="GV196" s="11" t="n">
        <f aca="false">(GR196+GS196+GT196+GU196)/4</f>
        <v>41</v>
      </c>
      <c r="GW196" s="9" t="n">
        <v>2</v>
      </c>
      <c r="GX196" s="9" t="n">
        <v>0</v>
      </c>
      <c r="GY196" s="9" t="n">
        <v>0</v>
      </c>
      <c r="GZ196" s="9" t="n">
        <v>0</v>
      </c>
      <c r="HA196" s="11" t="n">
        <f aca="false">(GW196+GX196+GY196+GZ196)/4</f>
        <v>0.5</v>
      </c>
      <c r="HB196" s="9" t="n">
        <f aca="false">(GW196/GR196)</f>
        <v>0.133333333333333</v>
      </c>
      <c r="HC196" s="9" t="n">
        <f aca="false">(GX196/GS196)</f>
        <v>0</v>
      </c>
      <c r="HD196" s="9" t="n">
        <f aca="false">(GY196/GT196)</f>
        <v>0</v>
      </c>
      <c r="HE196" s="9" t="n">
        <f aca="false">(GZ196/GU196)/4</f>
        <v>0</v>
      </c>
      <c r="HF196" s="9" t="n">
        <f aca="false">(HB196+HC196+HD196+HE196)/4</f>
        <v>0.0333333333333333</v>
      </c>
      <c r="HG196" s="9" t="n">
        <f aca="false">(100*HF196)</f>
        <v>3.33333333333333</v>
      </c>
      <c r="HH196" s="18" t="n">
        <v>1</v>
      </c>
      <c r="HI196" s="9" t="n">
        <v>3</v>
      </c>
      <c r="HJ196" s="9" t="n">
        <v>10</v>
      </c>
      <c r="HK196" s="9" t="n">
        <v>5</v>
      </c>
      <c r="HL196" s="19" t="n">
        <v>3</v>
      </c>
      <c r="HM196" s="9" t="n">
        <f aca="false">(HI196+HJ196+HK196+HL196)/4</f>
        <v>5.25</v>
      </c>
      <c r="HN196" s="9" t="n">
        <f aca="false">(HI196/GR196)</f>
        <v>0.2</v>
      </c>
      <c r="HO196" s="9" t="n">
        <f aca="false">(HJ196/GS196)</f>
        <v>0.196078431372549</v>
      </c>
      <c r="HP196" s="9" t="n">
        <f aca="false">(HK196/GT196)</f>
        <v>0.108695652173913</v>
      </c>
      <c r="HQ196" s="9" t="n">
        <f aca="false">(HL196/GU196)</f>
        <v>0.0576923076923077</v>
      </c>
      <c r="HR196" s="9" t="n">
        <f aca="false">(HM196/GV196)</f>
        <v>0.128048780487805</v>
      </c>
      <c r="HS196" s="9" t="n">
        <f aca="false">(100*HR196)</f>
        <v>12.8048780487805</v>
      </c>
      <c r="HT196" s="18" t="n">
        <v>2</v>
      </c>
      <c r="HU196" s="9" t="n">
        <v>3</v>
      </c>
      <c r="HV196" s="9" t="n">
        <v>1</v>
      </c>
      <c r="HW196" s="9" t="n">
        <v>0</v>
      </c>
      <c r="HX196" s="19" t="n">
        <v>2</v>
      </c>
      <c r="HY196" s="9" t="n">
        <f aca="false">(HU196+HV196+HW196+HX196)/4</f>
        <v>1.5</v>
      </c>
      <c r="HZ196" s="9" t="n">
        <f aca="false">(HU196/GR196)</f>
        <v>0.2</v>
      </c>
      <c r="IA196" s="9" t="n">
        <f aca="false">HV196/GS196</f>
        <v>0.0196078431372549</v>
      </c>
      <c r="IB196" s="9" t="n">
        <f aca="false">(HW196/GT196)</f>
        <v>0</v>
      </c>
      <c r="IC196" s="9" t="n">
        <f aca="false">(HX196/GU196)</f>
        <v>0.0384615384615385</v>
      </c>
      <c r="ID196" s="9" t="n">
        <f aca="false">(HY196/GV196)</f>
        <v>0.0365853658536585</v>
      </c>
      <c r="IE196" s="9" t="n">
        <f aca="false">(100*ID196)</f>
        <v>3.65853658536585</v>
      </c>
      <c r="IF196" s="18" t="n">
        <v>1</v>
      </c>
      <c r="IG196" s="9" t="n">
        <v>3</v>
      </c>
      <c r="IH196" s="9" t="n">
        <v>2</v>
      </c>
      <c r="II196" s="19" t="n">
        <v>2</v>
      </c>
      <c r="IJ196" s="9" t="n">
        <v>3</v>
      </c>
      <c r="IK196" s="9" t="n">
        <f aca="false">(IG196+IH196+II196+IJ196)/4</f>
        <v>2.5</v>
      </c>
      <c r="IL196" s="9" t="n">
        <f aca="false">(IG196/GM196)</f>
        <v>0.136363636363636</v>
      </c>
      <c r="IM196" s="9" t="n">
        <f aca="false">(IH196/GN196)</f>
        <v>0.025</v>
      </c>
      <c r="IN196" s="9" t="n">
        <f aca="false">(II196/GO196)</f>
        <v>0.0571428571428571</v>
      </c>
      <c r="IO196" s="9" t="n">
        <f aca="false">(IJ196/GP196)</f>
        <v>0.0483870967741936</v>
      </c>
      <c r="IP196" s="9" t="n">
        <f aca="false">(IK196/GQ196)</f>
        <v>0.050251256281407</v>
      </c>
      <c r="IQ196" s="9" t="n">
        <f aca="false">(100*IP196)</f>
        <v>5.0251256281407</v>
      </c>
      <c r="IR196" s="18" t="n">
        <v>1</v>
      </c>
      <c r="IS196" s="9" t="n">
        <v>45.4</v>
      </c>
      <c r="IT196" s="9" t="n">
        <v>47.4</v>
      </c>
      <c r="IU196" s="19" t="n">
        <v>58.6</v>
      </c>
      <c r="IV196" s="9" t="n">
        <v>59.2</v>
      </c>
      <c r="IW196" s="9" t="n">
        <f aca="false">(IS196+IT196+IU196+IV196)/4</f>
        <v>52.65</v>
      </c>
      <c r="IX196" s="16" t="n">
        <v>45240</v>
      </c>
      <c r="IY196" s="10" t="s">
        <v>268</v>
      </c>
    </row>
    <row r="197" customFormat="false" ht="15.75" hidden="false" customHeight="true" outlineLevel="0" collapsed="false">
      <c r="A197" s="9" t="s">
        <v>370</v>
      </c>
      <c r="B197" s="10" t="s">
        <v>712</v>
      </c>
      <c r="C197" s="10" t="s">
        <v>626</v>
      </c>
      <c r="D197" s="9" t="n">
        <v>2</v>
      </c>
      <c r="E197" s="9" t="n">
        <v>66</v>
      </c>
      <c r="F197" s="10" t="s">
        <v>713</v>
      </c>
      <c r="G197" s="10" t="s">
        <v>320</v>
      </c>
      <c r="H197" s="9" t="n">
        <v>21</v>
      </c>
      <c r="I197" s="9" t="n">
        <v>6</v>
      </c>
      <c r="J197" s="12" t="s">
        <v>264</v>
      </c>
      <c r="K197" s="40" t="s">
        <v>714</v>
      </c>
      <c r="L197" s="40" t="s">
        <v>715</v>
      </c>
      <c r="M197" s="9" t="n">
        <v>1296</v>
      </c>
      <c r="N197" s="15" t="n">
        <v>45134</v>
      </c>
      <c r="O197" s="10" t="s">
        <v>267</v>
      </c>
      <c r="P197" s="9"/>
      <c r="Q197" s="9" t="n">
        <v>24.15</v>
      </c>
      <c r="R197" s="9" t="n">
        <v>10</v>
      </c>
      <c r="S197" s="9" t="n">
        <v>-15</v>
      </c>
      <c r="T197" s="9" t="n">
        <v>90</v>
      </c>
      <c r="U197" s="9"/>
      <c r="V197" s="9" t="n">
        <f aca="false">(26.5/100)</f>
        <v>0.265</v>
      </c>
      <c r="W197" s="9" t="s">
        <v>716</v>
      </c>
      <c r="X197" s="9" t="n">
        <v>1</v>
      </c>
      <c r="Y197" s="9" t="n">
        <v>0</v>
      </c>
      <c r="Z197" s="9" t="n">
        <v>0</v>
      </c>
      <c r="AA197" s="9" t="n">
        <v>0</v>
      </c>
      <c r="AB197" s="11" t="n">
        <f aca="false">(X197+Y197+Z197+AA197)/4</f>
        <v>0.25</v>
      </c>
      <c r="AC197" s="9" t="n">
        <v>1</v>
      </c>
      <c r="AD197" s="9" t="n">
        <v>1</v>
      </c>
      <c r="AE197" s="9" t="n">
        <v>1</v>
      </c>
      <c r="AF197" s="9" t="n">
        <v>1</v>
      </c>
      <c r="AG197" s="11" t="n">
        <f aca="false">(AC197+AD197+AE197+AF197)/4</f>
        <v>1</v>
      </c>
      <c r="AH197" s="9" t="n">
        <v>1</v>
      </c>
      <c r="AI197" s="9" t="n">
        <v>1</v>
      </c>
      <c r="AJ197" s="9" t="n">
        <v>0</v>
      </c>
      <c r="AK197" s="9" t="n">
        <v>1</v>
      </c>
      <c r="AL197" s="11" t="n">
        <f aca="false">(AH197+AI197+AJ197+AK197)/4</f>
        <v>0.75</v>
      </c>
      <c r="AM197" s="9" t="n">
        <v>32</v>
      </c>
      <c r="AN197" s="9" t="n">
        <v>102</v>
      </c>
      <c r="AO197" s="9" t="n">
        <v>10</v>
      </c>
      <c r="AP197" s="9" t="n">
        <v>32</v>
      </c>
      <c r="AQ197" s="11" t="n">
        <f aca="false">(AM197+AN197+AO197+AP197)/4</f>
        <v>44</v>
      </c>
      <c r="AR197" s="9" t="n">
        <v>19</v>
      </c>
      <c r="AS197" s="9" t="n">
        <v>22</v>
      </c>
      <c r="AT197" s="9" t="n">
        <v>16</v>
      </c>
      <c r="AU197" s="9" t="n">
        <v>30</v>
      </c>
      <c r="AV197" s="11" t="n">
        <f aca="false">(AR197+AS197+AT197+AU197)/4</f>
        <v>21.75</v>
      </c>
      <c r="AW197" s="9" t="n">
        <v>2</v>
      </c>
      <c r="AX197" s="9" t="n">
        <v>0</v>
      </c>
      <c r="AY197" s="9" t="n">
        <v>0</v>
      </c>
      <c r="AZ197" s="9" t="n">
        <v>0</v>
      </c>
      <c r="BA197" s="11" t="n">
        <f aca="false">(AW197+AX197+AY197+AZ197)/4</f>
        <v>0.5</v>
      </c>
      <c r="BB197" s="11" t="n">
        <f aca="false">(AW197/AR197)</f>
        <v>0.105263157894737</v>
      </c>
      <c r="BC197" s="11" t="n">
        <f aca="false">(AX197/AS197)</f>
        <v>0</v>
      </c>
      <c r="BD197" s="11" t="n">
        <f aca="false">(AY197/AT197)</f>
        <v>0</v>
      </c>
      <c r="BE197" s="11" t="n">
        <f aca="false">(AZ197/AU197)</f>
        <v>0</v>
      </c>
      <c r="BF197" s="11" t="n">
        <f aca="false">(BA197/AV197)</f>
        <v>0.0229885057471264</v>
      </c>
      <c r="BG197" s="11" t="n">
        <f aca="false">(BF197*100)</f>
        <v>2.29885057471264</v>
      </c>
      <c r="BH197" s="9" t="n">
        <v>1</v>
      </c>
      <c r="BI197" s="9" t="n">
        <v>4</v>
      </c>
      <c r="BJ197" s="9" t="n">
        <v>5</v>
      </c>
      <c r="BK197" s="9" t="n">
        <v>3</v>
      </c>
      <c r="BL197" s="9" t="n">
        <v>2</v>
      </c>
      <c r="BM197" s="11" t="n">
        <f aca="false">(BI197+BJ197+BK197+BL197)/4</f>
        <v>3.5</v>
      </c>
      <c r="BN197" s="11" t="n">
        <f aca="false">(BI197/AR197)</f>
        <v>0.210526315789474</v>
      </c>
      <c r="BO197" s="11" t="n">
        <f aca="false">(BJ197/AS197)</f>
        <v>0.227272727272727</v>
      </c>
      <c r="BP197" s="11" t="n">
        <f aca="false">(BK197/AT197)</f>
        <v>0.1875</v>
      </c>
      <c r="BQ197" s="11" t="n">
        <f aca="false">(BL197/AU197)</f>
        <v>0.0666666666666667</v>
      </c>
      <c r="BR197" s="11" t="n">
        <f aca="false">(BM197/AV197)</f>
        <v>0.160919540229885</v>
      </c>
      <c r="BS197" s="11" t="n">
        <f aca="false">(100*BR197)</f>
        <v>16.0919540229885</v>
      </c>
      <c r="BT197" s="9" t="n">
        <v>2</v>
      </c>
      <c r="BU197" s="9" t="n">
        <v>6</v>
      </c>
      <c r="BV197" s="9" t="n">
        <v>0</v>
      </c>
      <c r="BW197" s="9" t="n">
        <v>0</v>
      </c>
      <c r="BX197" s="9" t="n">
        <v>10</v>
      </c>
      <c r="BY197" s="11" t="n">
        <f aca="false">(BU197+BV197+BW197+BX197)/4</f>
        <v>4</v>
      </c>
      <c r="BZ197" s="11" t="n">
        <f aca="false">(BU197/AR197)</f>
        <v>0.315789473684211</v>
      </c>
      <c r="CA197" s="11" t="n">
        <f aca="false">(BV197/AS197)</f>
        <v>0</v>
      </c>
      <c r="CB197" s="11" t="n">
        <f aca="false">(BW197/AT197)</f>
        <v>0</v>
      </c>
      <c r="CC197" s="11" t="n">
        <f aca="false">(BX197/AU197)</f>
        <v>0.333333333333333</v>
      </c>
      <c r="CD197" s="11" t="n">
        <f aca="false">(BY197/AV197)</f>
        <v>0.183908045977012</v>
      </c>
      <c r="CE197" s="11" t="n">
        <f aca="false">(100*CD197)</f>
        <v>18.3908045977012</v>
      </c>
      <c r="CF197" s="9" t="n">
        <v>2</v>
      </c>
      <c r="CG197" s="9" t="n">
        <v>6</v>
      </c>
      <c r="CH197" s="9" t="n">
        <v>2</v>
      </c>
      <c r="CI197" s="9" t="n">
        <v>0</v>
      </c>
      <c r="CJ197" s="9" t="n">
        <v>14</v>
      </c>
      <c r="CK197" s="11" t="n">
        <f aca="false">(CG197+CH197+CI197+CJ197)/4</f>
        <v>5.5</v>
      </c>
      <c r="CL197" s="11" t="n">
        <f aca="false">(CG197/AM197)</f>
        <v>0.1875</v>
      </c>
      <c r="CM197" s="11" t="n">
        <f aca="false">(CH197/AN197)</f>
        <v>0.0196078431372549</v>
      </c>
      <c r="CN197" s="11" t="n">
        <f aca="false">(CI197/AO197)</f>
        <v>0</v>
      </c>
      <c r="CO197" s="9" t="n">
        <f aca="false">(CJ197/AP197)</f>
        <v>0.4375</v>
      </c>
      <c r="CP197" s="9" t="n">
        <f aca="false">(CK197/AQ197)</f>
        <v>0.125</v>
      </c>
      <c r="CQ197" s="9" t="n">
        <f aca="false">(100*CP197)</f>
        <v>12.5</v>
      </c>
      <c r="CR197" s="18" t="n">
        <v>2</v>
      </c>
      <c r="CS197" s="9" t="n">
        <v>46.8</v>
      </c>
      <c r="CT197" s="9" t="n">
        <v>60.4</v>
      </c>
      <c r="CU197" s="9" t="n">
        <v>54.8</v>
      </c>
      <c r="CV197" s="9" t="n">
        <v>57</v>
      </c>
      <c r="CW197" s="11" t="n">
        <f aca="false">(CS197+CT197+CU197+CV197)/4</f>
        <v>54.75</v>
      </c>
      <c r="CX197" s="9" t="n">
        <v>1</v>
      </c>
      <c r="CY197" s="9" t="n">
        <v>0</v>
      </c>
      <c r="CZ197" s="9" t="n">
        <v>0</v>
      </c>
      <c r="DA197" s="9" t="n">
        <v>0</v>
      </c>
      <c r="DB197" s="11" t="n">
        <f aca="false">(CX197+CY197+CZ197+DA197)/4</f>
        <v>0.25</v>
      </c>
      <c r="DC197" s="9" t="n">
        <v>1</v>
      </c>
      <c r="DD197" s="9" t="n">
        <v>1</v>
      </c>
      <c r="DE197" s="9" t="n">
        <v>1</v>
      </c>
      <c r="DF197" s="9" t="n">
        <v>1</v>
      </c>
      <c r="DG197" s="11" t="n">
        <f aca="false">(DC197+DD197+DE197+DF197)/4</f>
        <v>1</v>
      </c>
      <c r="DH197" s="9" t="n">
        <v>1</v>
      </c>
      <c r="DI197" s="9" t="n">
        <v>1</v>
      </c>
      <c r="DJ197" s="9" t="n">
        <v>1</v>
      </c>
      <c r="DK197" s="9" t="n">
        <v>1</v>
      </c>
      <c r="DL197" s="11" t="n">
        <f aca="false">(DH197+DI197+DJ197+DK197)/4</f>
        <v>1</v>
      </c>
      <c r="DM197" s="9" t="n">
        <v>41</v>
      </c>
      <c r="DN197" s="9" t="n">
        <v>28</v>
      </c>
      <c r="DO197" s="9" t="n">
        <v>52</v>
      </c>
      <c r="DP197" s="9" t="n">
        <v>17</v>
      </c>
      <c r="DQ197" s="11" t="n">
        <f aca="false">(DM197+DN197+DO197+DP197)/4</f>
        <v>34.5</v>
      </c>
      <c r="DR197" s="9" t="n">
        <v>6</v>
      </c>
      <c r="DS197" s="9" t="n">
        <v>13</v>
      </c>
      <c r="DT197" s="9" t="n">
        <v>10</v>
      </c>
      <c r="DU197" s="9" t="n">
        <v>22</v>
      </c>
      <c r="DV197" s="11" t="n">
        <f aca="false">(DR197+DS197+DT197+DU197)/4</f>
        <v>12.75</v>
      </c>
      <c r="DW197" s="9" t="n">
        <v>2</v>
      </c>
      <c r="DX197" s="9" t="n">
        <v>0</v>
      </c>
      <c r="DY197" s="9" t="n">
        <v>0</v>
      </c>
      <c r="DZ197" s="9" t="n">
        <v>0</v>
      </c>
      <c r="EA197" s="11" t="n">
        <f aca="false">(DW197+DX197+DY197+DZ197)/4</f>
        <v>0.5</v>
      </c>
      <c r="EB197" s="11" t="n">
        <f aca="false">(DW197/DR197)</f>
        <v>0.333333333333333</v>
      </c>
      <c r="EC197" s="11" t="n">
        <f aca="false">(DX197/DS197)</f>
        <v>0</v>
      </c>
      <c r="ED197" s="11" t="n">
        <f aca="false">(DY197/DT197)</f>
        <v>0</v>
      </c>
      <c r="EE197" s="11" t="n">
        <f aca="false">(DZ197/DU197)</f>
        <v>0</v>
      </c>
      <c r="EF197" s="11" t="n">
        <f aca="false">(EA197/DV197)</f>
        <v>0.0392156862745098</v>
      </c>
      <c r="EG197" s="11" t="n">
        <f aca="false">(100*EF197)</f>
        <v>3.92156862745098</v>
      </c>
      <c r="EH197" s="9" t="n">
        <v>1</v>
      </c>
      <c r="EI197" s="9" t="n">
        <v>2</v>
      </c>
      <c r="EJ197" s="9" t="n">
        <v>4</v>
      </c>
      <c r="EK197" s="19" t="n">
        <v>6</v>
      </c>
      <c r="EL197" s="9" t="n">
        <v>8</v>
      </c>
      <c r="EM197" s="9" t="n">
        <f aca="false">(EI197+EJ197+EK197+EL197)/4</f>
        <v>5</v>
      </c>
      <c r="EN197" s="9" t="n">
        <f aca="false">(EI197/DR197)</f>
        <v>0.333333333333333</v>
      </c>
      <c r="EO197" s="9" t="n">
        <f aca="false">(EJ197/DS197)</f>
        <v>0.307692307692308</v>
      </c>
      <c r="EP197" s="9" t="n">
        <f aca="false">(EK197/DT197)</f>
        <v>0.6</v>
      </c>
      <c r="EQ197" s="9" t="n">
        <f aca="false">(EL197/DU197)</f>
        <v>0.363636363636364</v>
      </c>
      <c r="ER197" s="9" t="n">
        <f aca="false">EM197/DV197</f>
        <v>0.392156862745098</v>
      </c>
      <c r="ES197" s="9" t="n">
        <f aca="false">(100*ER197)</f>
        <v>39.2156862745098</v>
      </c>
      <c r="ET197" s="9" t="n">
        <v>3</v>
      </c>
      <c r="EU197" s="18" t="n">
        <v>1</v>
      </c>
      <c r="EV197" s="9" t="n">
        <v>0</v>
      </c>
      <c r="EW197" s="9" t="n">
        <v>3</v>
      </c>
      <c r="EX197" s="9" t="n">
        <v>10</v>
      </c>
      <c r="EY197" s="11" t="n">
        <f aca="false">(EU197+EV197+EW197+EX197)/4</f>
        <v>3.5</v>
      </c>
      <c r="EZ197" s="11" t="n">
        <f aca="false">(EU197/DR197)</f>
        <v>0.166666666666667</v>
      </c>
      <c r="FA197" s="11" t="n">
        <f aca="false">(EV197/DS197)</f>
        <v>0</v>
      </c>
      <c r="FB197" s="11" t="n">
        <f aca="false">(EW197/DT197)</f>
        <v>0.3</v>
      </c>
      <c r="FC197" s="11" t="n">
        <f aca="false">(EX197/DU197)</f>
        <v>0.454545454545455</v>
      </c>
      <c r="FD197" s="11" t="n">
        <f aca="false">(EY197/DV197)</f>
        <v>0.274509803921569</v>
      </c>
      <c r="FE197" s="11" t="n">
        <f aca="false">(100*FD197)</f>
        <v>27.4509803921569</v>
      </c>
      <c r="FF197" s="9" t="n">
        <v>2</v>
      </c>
      <c r="FG197" s="9" t="n">
        <v>4</v>
      </c>
      <c r="FH197" s="9" t="n">
        <v>4</v>
      </c>
      <c r="FI197" s="9" t="n">
        <v>6</v>
      </c>
      <c r="FJ197" s="9" t="n">
        <v>3</v>
      </c>
      <c r="FK197" s="11" t="n">
        <f aca="false">(FG197+FH197+FI197+FJ197)/4</f>
        <v>4.25</v>
      </c>
      <c r="FL197" s="11" t="n">
        <f aca="false">(FG197/DR197)</f>
        <v>0.666666666666667</v>
      </c>
      <c r="FM197" s="11" t="n">
        <f aca="false">(FH197/DS197)</f>
        <v>0.307692307692308</v>
      </c>
      <c r="FN197" s="11" t="n">
        <f aca="false">(FI197/DT197)</f>
        <v>0.6</v>
      </c>
      <c r="FO197" s="11" t="n">
        <f aca="false">(FJ197/DU197)</f>
        <v>0.136363636363636</v>
      </c>
      <c r="FP197" s="11" t="n">
        <f aca="false">(FK197/DV197)</f>
        <v>0.333333333333333</v>
      </c>
      <c r="FQ197" s="11" t="n">
        <f aca="false">(100*FP197)</f>
        <v>33.3333333333333</v>
      </c>
      <c r="FR197" s="9" t="n">
        <v>3</v>
      </c>
      <c r="FS197" s="9" t="n">
        <v>55.6</v>
      </c>
      <c r="FT197" s="9" t="n">
        <v>43.3</v>
      </c>
      <c r="FU197" s="9" t="n">
        <v>47.9</v>
      </c>
      <c r="FV197" s="9" t="n">
        <v>56</v>
      </c>
      <c r="FW197" s="11" t="n">
        <f aca="false">(FS197+FT197+FU197+FV197)/4</f>
        <v>50.7</v>
      </c>
      <c r="FX197" s="9" t="n">
        <v>0</v>
      </c>
      <c r="FY197" s="9" t="n">
        <v>0</v>
      </c>
      <c r="FZ197" s="9" t="n">
        <v>1</v>
      </c>
      <c r="GA197" s="9" t="n">
        <v>0</v>
      </c>
      <c r="GB197" s="11" t="n">
        <f aca="false">(FX197+FY197+FZ197+GA197)/4</f>
        <v>0.25</v>
      </c>
      <c r="GC197" s="9" t="n">
        <v>1</v>
      </c>
      <c r="GD197" s="9" t="n">
        <v>1</v>
      </c>
      <c r="GE197" s="9" t="n">
        <v>1</v>
      </c>
      <c r="GF197" s="9" t="n">
        <v>1</v>
      </c>
      <c r="GG197" s="11" t="n">
        <f aca="false">(GC197+GD197+GE197+GF197)/4</f>
        <v>1</v>
      </c>
      <c r="GH197" s="9" t="n">
        <v>1</v>
      </c>
      <c r="GI197" s="9" t="n">
        <v>1</v>
      </c>
      <c r="GJ197" s="9" t="n">
        <v>1</v>
      </c>
      <c r="GK197" s="9" t="n">
        <v>1</v>
      </c>
      <c r="GL197" s="11" t="n">
        <f aca="false">(GH197+GI197+GJ197+GK197)/4</f>
        <v>1</v>
      </c>
      <c r="GM197" s="9" t="n">
        <v>151</v>
      </c>
      <c r="GN197" s="9" t="n">
        <v>43</v>
      </c>
      <c r="GO197" s="9" t="n">
        <v>15</v>
      </c>
      <c r="GP197" s="9" t="n">
        <v>23</v>
      </c>
      <c r="GQ197" s="11" t="n">
        <f aca="false">(GM197+GN197+GO197+GP197)/4</f>
        <v>58</v>
      </c>
      <c r="GR197" s="9" t="n">
        <v>21</v>
      </c>
      <c r="GS197" s="9" t="n">
        <v>22</v>
      </c>
      <c r="GT197" s="9" t="n">
        <v>25</v>
      </c>
      <c r="GU197" s="9" t="n">
        <v>27</v>
      </c>
      <c r="GV197" s="11" t="n">
        <f aca="false">(GR197+GS197+GT197+GU197)/4</f>
        <v>23.75</v>
      </c>
      <c r="GW197" s="9" t="n">
        <v>0</v>
      </c>
      <c r="GX197" s="9" t="n">
        <v>0</v>
      </c>
      <c r="GY197" s="9" t="n">
        <v>1</v>
      </c>
      <c r="GZ197" s="9" t="n">
        <v>0</v>
      </c>
      <c r="HA197" s="11" t="n">
        <f aca="false">(GW197+GX197+GY197+GZ197)/4</f>
        <v>0.25</v>
      </c>
      <c r="HB197" s="9" t="n">
        <f aca="false">(GW197/GR197)</f>
        <v>0</v>
      </c>
      <c r="HC197" s="9" t="n">
        <f aca="false">(GX197/GS197)</f>
        <v>0</v>
      </c>
      <c r="HD197" s="9" t="n">
        <f aca="false">(GY197/GT197)</f>
        <v>0.04</v>
      </c>
      <c r="HE197" s="9" t="n">
        <f aca="false">(GZ197/GU197)/4</f>
        <v>0</v>
      </c>
      <c r="HF197" s="9" t="n">
        <f aca="false">(HB197+HC197+HD197+HE197)/4</f>
        <v>0.01</v>
      </c>
      <c r="HG197" s="9" t="n">
        <f aca="false">(100*HF197)</f>
        <v>1</v>
      </c>
      <c r="HH197" s="18" t="n">
        <v>1</v>
      </c>
      <c r="HI197" s="9" t="n">
        <v>4</v>
      </c>
      <c r="HJ197" s="9" t="n">
        <v>7</v>
      </c>
      <c r="HK197" s="9" t="n">
        <v>9</v>
      </c>
      <c r="HL197" s="19" t="n">
        <v>7</v>
      </c>
      <c r="HM197" s="9" t="n">
        <f aca="false">(HI197+HJ197+HK197+HL197)/4</f>
        <v>6.75</v>
      </c>
      <c r="HN197" s="9" t="n">
        <f aca="false">(HI197/GR197)</f>
        <v>0.19047619047619</v>
      </c>
      <c r="HO197" s="9" t="n">
        <f aca="false">(HJ197/GS197)</f>
        <v>0.318181818181818</v>
      </c>
      <c r="HP197" s="9" t="n">
        <f aca="false">(HK197/GT197)</f>
        <v>0.36</v>
      </c>
      <c r="HQ197" s="9" t="n">
        <f aca="false">(HL197/GU197)</f>
        <v>0.259259259259259</v>
      </c>
      <c r="HR197" s="9" t="n">
        <f aca="false">(HM197/GV197)</f>
        <v>0.284210526315789</v>
      </c>
      <c r="HS197" s="9" t="n">
        <f aca="false">(100*HR197)</f>
        <v>28.4210526315789</v>
      </c>
      <c r="HT197" s="18" t="n">
        <v>2</v>
      </c>
      <c r="HU197" s="9" t="n">
        <v>3</v>
      </c>
      <c r="HV197" s="9" t="n">
        <v>3</v>
      </c>
      <c r="HW197" s="9" t="n">
        <v>10</v>
      </c>
      <c r="HX197" s="19" t="n">
        <v>0</v>
      </c>
      <c r="HY197" s="9" t="n">
        <f aca="false">(HU197+HV197+HW197+HX197)/4</f>
        <v>4</v>
      </c>
      <c r="HZ197" s="9" t="n">
        <f aca="false">(HU197/GR197)</f>
        <v>0.142857142857143</v>
      </c>
      <c r="IA197" s="9" t="n">
        <f aca="false">HV197/GS197</f>
        <v>0.136363636363636</v>
      </c>
      <c r="IB197" s="9" t="n">
        <f aca="false">(HW197/GT197)</f>
        <v>0.4</v>
      </c>
      <c r="IC197" s="9" t="n">
        <f aca="false">(HX197/GU197)</f>
        <v>0</v>
      </c>
      <c r="ID197" s="9" t="n">
        <f aca="false">(HY197/GV197)</f>
        <v>0.168421052631579</v>
      </c>
      <c r="IE197" s="9" t="n">
        <f aca="false">(100*ID197)</f>
        <v>16.8421052631579</v>
      </c>
      <c r="IF197" s="18" t="n">
        <v>2</v>
      </c>
      <c r="IG197" s="9" t="n">
        <v>13</v>
      </c>
      <c r="IH197" s="9" t="n">
        <v>4</v>
      </c>
      <c r="II197" s="19" t="n">
        <v>15</v>
      </c>
      <c r="IJ197" s="9" t="n">
        <v>6</v>
      </c>
      <c r="IK197" s="9" t="n">
        <f aca="false">(IG197+IH197+II197+IJ197)/4</f>
        <v>9.5</v>
      </c>
      <c r="IL197" s="9" t="n">
        <f aca="false">(IG197/GM197)</f>
        <v>0.0860927152317881</v>
      </c>
      <c r="IM197" s="9" t="n">
        <f aca="false">(IH197/GN197)</f>
        <v>0.0930232558139535</v>
      </c>
      <c r="IN197" s="9" t="n">
        <f aca="false">(II197/GO197)</f>
        <v>1</v>
      </c>
      <c r="IO197" s="9" t="n">
        <f aca="false">(IJ197/GP197)</f>
        <v>0.260869565217391</v>
      </c>
      <c r="IP197" s="9" t="n">
        <f aca="false">(IK197/GQ197)</f>
        <v>0.163793103448276</v>
      </c>
      <c r="IQ197" s="9" t="n">
        <f aca="false">(100*IP197)</f>
        <v>16.3793103448276</v>
      </c>
      <c r="IR197" s="18" t="n">
        <v>2</v>
      </c>
      <c r="IS197" s="9" t="n">
        <v>54.6</v>
      </c>
      <c r="IT197" s="9" t="n">
        <v>62.5</v>
      </c>
      <c r="IU197" s="19" t="n">
        <v>72.6</v>
      </c>
      <c r="IV197" s="9" t="n">
        <v>46.4</v>
      </c>
      <c r="IW197" s="9" t="n">
        <f aca="false">(IS197+IT197+IU197+IV197)/4</f>
        <v>59.025</v>
      </c>
      <c r="IX197" s="16" t="n">
        <v>45241</v>
      </c>
      <c r="IY197" s="10" t="s">
        <v>268</v>
      </c>
    </row>
    <row r="198" customFormat="false" ht="15.75" hidden="false" customHeight="true" outlineLevel="0" collapsed="false">
      <c r="A198" s="9" t="s">
        <v>370</v>
      </c>
      <c r="B198" s="10" t="s">
        <v>712</v>
      </c>
      <c r="C198" s="10" t="s">
        <v>626</v>
      </c>
      <c r="D198" s="9" t="n">
        <v>2</v>
      </c>
      <c r="E198" s="9" t="n">
        <v>66</v>
      </c>
      <c r="F198" s="10" t="s">
        <v>717</v>
      </c>
      <c r="G198" s="10" t="s">
        <v>320</v>
      </c>
      <c r="H198" s="9" t="n">
        <v>21</v>
      </c>
      <c r="I198" s="9" t="n">
        <v>10</v>
      </c>
      <c r="J198" s="12" t="s">
        <v>270</v>
      </c>
      <c r="K198" s="13"/>
      <c r="L198" s="13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 t="n">
        <v>0</v>
      </c>
      <c r="Y198" s="9" t="n">
        <v>0</v>
      </c>
      <c r="Z198" s="9" t="n">
        <v>0</v>
      </c>
      <c r="AA198" s="9" t="n">
        <v>0</v>
      </c>
      <c r="AB198" s="11" t="n">
        <f aca="false">(X198+Y198+Z198+AA198)/4</f>
        <v>0</v>
      </c>
      <c r="AC198" s="9" t="n">
        <v>1</v>
      </c>
      <c r="AD198" s="9" t="n">
        <v>1</v>
      </c>
      <c r="AE198" s="9" t="n">
        <v>1</v>
      </c>
      <c r="AF198" s="9" t="n">
        <v>1</v>
      </c>
      <c r="AG198" s="11" t="n">
        <f aca="false">(AC198+AD198+AE198+AF198)/4</f>
        <v>1</v>
      </c>
      <c r="AH198" s="9" t="n">
        <v>1</v>
      </c>
      <c r="AI198" s="9" t="n">
        <v>1</v>
      </c>
      <c r="AJ198" s="9" t="n">
        <v>1</v>
      </c>
      <c r="AK198" s="9" t="n">
        <v>0</v>
      </c>
      <c r="AL198" s="11" t="n">
        <f aca="false">(AH198+AI198+AJ198+AK198)/4</f>
        <v>0.75</v>
      </c>
      <c r="AM198" s="9" t="n">
        <v>98</v>
      </c>
      <c r="AN198" s="9" t="n">
        <v>97</v>
      </c>
      <c r="AO198" s="9" t="n">
        <v>143</v>
      </c>
      <c r="AP198" s="9" t="n">
        <v>60</v>
      </c>
      <c r="AQ198" s="11" t="n">
        <f aca="false">(AM198+AN198+AO198+AP198)/4</f>
        <v>99.5</v>
      </c>
      <c r="AR198" s="9" t="n">
        <v>64</v>
      </c>
      <c r="AS198" s="9" t="n">
        <v>26</v>
      </c>
      <c r="AT198" s="9" t="n">
        <v>21</v>
      </c>
      <c r="AU198" s="9" t="n">
        <v>29</v>
      </c>
      <c r="AV198" s="11" t="n">
        <f aca="false">(AR198+AS198+AT198+AU198)/4</f>
        <v>35</v>
      </c>
      <c r="AW198" s="9" t="n">
        <v>0</v>
      </c>
      <c r="AX198" s="9" t="n">
        <v>0</v>
      </c>
      <c r="AY198" s="9" t="n">
        <v>0</v>
      </c>
      <c r="AZ198" s="9" t="n">
        <v>0</v>
      </c>
      <c r="BA198" s="11" t="n">
        <f aca="false">(AW198+AX198+AY198+AZ198)/4</f>
        <v>0</v>
      </c>
      <c r="BB198" s="11" t="n">
        <f aca="false">(AW198/AR198)</f>
        <v>0</v>
      </c>
      <c r="BC198" s="11" t="n">
        <f aca="false">(AX198/AS198)</f>
        <v>0</v>
      </c>
      <c r="BD198" s="11" t="n">
        <f aca="false">(AY198/AT198)</f>
        <v>0</v>
      </c>
      <c r="BE198" s="11" t="n">
        <f aca="false">(AZ198/AU198)</f>
        <v>0</v>
      </c>
      <c r="BF198" s="11" t="n">
        <f aca="false">(BA198/AV198)</f>
        <v>0</v>
      </c>
      <c r="BG198" s="11" t="n">
        <f aca="false">(BF198*100)</f>
        <v>0</v>
      </c>
      <c r="BH198" s="9" t="n">
        <v>0</v>
      </c>
      <c r="BI198" s="9" t="n">
        <v>5</v>
      </c>
      <c r="BJ198" s="9" t="n">
        <v>4</v>
      </c>
      <c r="BK198" s="9" t="n">
        <v>4</v>
      </c>
      <c r="BL198" s="9" t="n">
        <v>5</v>
      </c>
      <c r="BM198" s="11" t="n">
        <f aca="false">(BI198+BJ198+BK198+BL198)/4</f>
        <v>4.5</v>
      </c>
      <c r="BN198" s="11" t="n">
        <f aca="false">(BI198/AR198)</f>
        <v>0.078125</v>
      </c>
      <c r="BO198" s="11" t="n">
        <f aca="false">(BJ198/AS198)</f>
        <v>0.153846153846154</v>
      </c>
      <c r="BP198" s="11" t="n">
        <f aca="false">(BK198/AT198)</f>
        <v>0.19047619047619</v>
      </c>
      <c r="BQ198" s="11" t="n">
        <f aca="false">(BL198/AU198)</f>
        <v>0.172413793103448</v>
      </c>
      <c r="BR198" s="11" t="n">
        <f aca="false">(BM198/AV198)</f>
        <v>0.128571428571429</v>
      </c>
      <c r="BS198" s="11" t="n">
        <f aca="false">(100*BR198)</f>
        <v>12.8571428571429</v>
      </c>
      <c r="BT198" s="9" t="n">
        <v>2</v>
      </c>
      <c r="BU198" s="9" t="n">
        <v>0</v>
      </c>
      <c r="BV198" s="9" t="n">
        <v>0</v>
      </c>
      <c r="BW198" s="9" t="n">
        <v>5</v>
      </c>
      <c r="BX198" s="9" t="n">
        <v>0</v>
      </c>
      <c r="BY198" s="11" t="n">
        <f aca="false">(BU198+BV198+BW198+BX198)/4</f>
        <v>1.25</v>
      </c>
      <c r="BZ198" s="11" t="n">
        <f aca="false">(BU198/AR198)</f>
        <v>0</v>
      </c>
      <c r="CA198" s="11" t="n">
        <f aca="false">(BV198/AS198)</f>
        <v>0</v>
      </c>
      <c r="CB198" s="11" t="n">
        <f aca="false">(BW198/AT198)</f>
        <v>0.238095238095238</v>
      </c>
      <c r="CC198" s="11" t="n">
        <f aca="false">(BX198/AU198)</f>
        <v>0</v>
      </c>
      <c r="CD198" s="11" t="n">
        <f aca="false">(BY198/AV198)</f>
        <v>0.0357142857142857</v>
      </c>
      <c r="CE198" s="11" t="n">
        <f aca="false">(100*CD198)</f>
        <v>3.57142857142857</v>
      </c>
      <c r="CF198" s="9" t="n">
        <v>1</v>
      </c>
      <c r="CG198" s="9" t="n">
        <v>8</v>
      </c>
      <c r="CH198" s="9" t="n">
        <v>20</v>
      </c>
      <c r="CI198" s="9" t="n">
        <v>13</v>
      </c>
      <c r="CJ198" s="9" t="n">
        <v>0</v>
      </c>
      <c r="CK198" s="11" t="n">
        <f aca="false">(CG198+CH198+CI198+CJ198)/4</f>
        <v>10.25</v>
      </c>
      <c r="CL198" s="11" t="n">
        <f aca="false">(CG198/AM198)</f>
        <v>0.0816326530612245</v>
      </c>
      <c r="CM198" s="11" t="n">
        <f aca="false">(CH198/AN198)</f>
        <v>0.206185567010309</v>
      </c>
      <c r="CN198" s="11" t="n">
        <f aca="false">(CI198/AO198)</f>
        <v>0.0909090909090909</v>
      </c>
      <c r="CO198" s="9" t="n">
        <f aca="false">(CJ198/AP198)</f>
        <v>0</v>
      </c>
      <c r="CP198" s="9" t="n">
        <f aca="false">(CK198/AQ198)</f>
        <v>0.103015075376884</v>
      </c>
      <c r="CQ198" s="9" t="n">
        <f aca="false">(100*CP198)</f>
        <v>10.3015075376884</v>
      </c>
      <c r="CR198" s="18" t="n">
        <v>2</v>
      </c>
      <c r="CS198" s="9" t="n">
        <v>62.5</v>
      </c>
      <c r="CT198" s="9" t="n">
        <v>72.6</v>
      </c>
      <c r="CU198" s="9" t="n">
        <v>46.7</v>
      </c>
      <c r="CV198" s="9" t="n">
        <v>86.9</v>
      </c>
      <c r="CW198" s="11" t="n">
        <f aca="false">(CS198+CT198+CU198+CV198)/4</f>
        <v>67.175</v>
      </c>
      <c r="CX198" s="9" t="n">
        <v>1</v>
      </c>
      <c r="CY198" s="9" t="n">
        <v>0</v>
      </c>
      <c r="CZ198" s="9" t="n">
        <v>0</v>
      </c>
      <c r="DA198" s="9" t="n">
        <v>1</v>
      </c>
      <c r="DB198" s="11" t="n">
        <f aca="false">(CX198+CY198+CZ198+DA198)/4</f>
        <v>0.5</v>
      </c>
      <c r="DC198" s="9" t="n">
        <v>1</v>
      </c>
      <c r="DD198" s="9" t="n">
        <v>1</v>
      </c>
      <c r="DE198" s="9" t="n">
        <v>1</v>
      </c>
      <c r="DF198" s="9" t="n">
        <v>1</v>
      </c>
      <c r="DG198" s="11" t="n">
        <f aca="false">(DC198+DD198+DE198+DF198)/4</f>
        <v>1</v>
      </c>
      <c r="DH198" s="9" t="n">
        <v>1</v>
      </c>
      <c r="DI198" s="9" t="n">
        <v>1</v>
      </c>
      <c r="DJ198" s="9" t="n">
        <v>1</v>
      </c>
      <c r="DK198" s="9" t="n">
        <v>1</v>
      </c>
      <c r="DL198" s="11" t="n">
        <f aca="false">(DH198+DI198+DJ198+DK198)/4</f>
        <v>1</v>
      </c>
      <c r="DM198" s="9" t="n">
        <v>119</v>
      </c>
      <c r="DN198" s="9" t="n">
        <v>83</v>
      </c>
      <c r="DO198" s="9" t="n">
        <v>143</v>
      </c>
      <c r="DP198" s="9" t="n">
        <v>18</v>
      </c>
      <c r="DQ198" s="11" t="n">
        <f aca="false">(DM198+DN198+DO198+DP198)/4</f>
        <v>90.75</v>
      </c>
      <c r="DR198" s="9" t="n">
        <v>20</v>
      </c>
      <c r="DS198" s="9" t="n">
        <v>25</v>
      </c>
      <c r="DT198" s="9" t="n">
        <v>22</v>
      </c>
      <c r="DU198" s="9" t="n">
        <v>26</v>
      </c>
      <c r="DV198" s="11" t="n">
        <f aca="false">(DR198+DS198+DT198+DU198)/4</f>
        <v>23.25</v>
      </c>
      <c r="DW198" s="9" t="n">
        <v>4</v>
      </c>
      <c r="DX198" s="9" t="n">
        <v>0</v>
      </c>
      <c r="DY198" s="9" t="n">
        <v>0</v>
      </c>
      <c r="DZ198" s="9" t="n">
        <v>6</v>
      </c>
      <c r="EA198" s="11" t="n">
        <f aca="false">(DW198+DX198+DY198+DZ198)/4</f>
        <v>2.5</v>
      </c>
      <c r="EB198" s="11" t="n">
        <f aca="false">(DW198/DR198)</f>
        <v>0.2</v>
      </c>
      <c r="EC198" s="11" t="n">
        <f aca="false">(DX198/DS198)</f>
        <v>0</v>
      </c>
      <c r="ED198" s="11" t="n">
        <f aca="false">(DY198/DT198)</f>
        <v>0</v>
      </c>
      <c r="EE198" s="11" t="n">
        <f aca="false">(DZ198/DU198)</f>
        <v>0.230769230769231</v>
      </c>
      <c r="EF198" s="11" t="n">
        <f aca="false">(EA198/DV198)</f>
        <v>0.10752688172043</v>
      </c>
      <c r="EG198" s="11" t="n">
        <f aca="false">(100*EF198)</f>
        <v>10.752688172043</v>
      </c>
      <c r="EH198" s="9" t="n">
        <v>2</v>
      </c>
      <c r="EI198" s="9" t="n">
        <v>6</v>
      </c>
      <c r="EJ198" s="9" t="n">
        <v>6</v>
      </c>
      <c r="EK198" s="19" t="n">
        <v>1</v>
      </c>
      <c r="EL198" s="9" t="n">
        <v>5</v>
      </c>
      <c r="EM198" s="9" t="n">
        <f aca="false">(EI198+EJ198+EK198+EL198)/4</f>
        <v>4.5</v>
      </c>
      <c r="EN198" s="9" t="n">
        <f aca="false">(EI198/DR198)</f>
        <v>0.3</v>
      </c>
      <c r="EO198" s="9" t="n">
        <f aca="false">(EJ198/DS198)</f>
        <v>0.24</v>
      </c>
      <c r="EP198" s="9" t="n">
        <f aca="false">(EK198/DT198)</f>
        <v>0.0454545454545455</v>
      </c>
      <c r="EQ198" s="9" t="n">
        <f aca="false">(EL198/DU198)</f>
        <v>0.192307692307692</v>
      </c>
      <c r="ER198" s="9" t="n">
        <f aca="false">EM198/DV198</f>
        <v>0.193548387096774</v>
      </c>
      <c r="ES198" s="9" t="n">
        <f aca="false">(100*ER198)</f>
        <v>19.3548387096774</v>
      </c>
      <c r="ET198" s="9" t="n">
        <v>2</v>
      </c>
      <c r="EU198" s="18" t="n">
        <v>4</v>
      </c>
      <c r="EV198" s="9" t="n">
        <v>0</v>
      </c>
      <c r="EW198" s="9" t="n">
        <v>4</v>
      </c>
      <c r="EX198" s="9" t="n">
        <v>4</v>
      </c>
      <c r="EY198" s="11" t="n">
        <f aca="false">(EU198+EV198+EW198+EX198)/4</f>
        <v>3</v>
      </c>
      <c r="EZ198" s="11" t="n">
        <f aca="false">(EU198/DR198)</f>
        <v>0.2</v>
      </c>
      <c r="FA198" s="11" t="n">
        <f aca="false">(EV198/DS198)</f>
        <v>0</v>
      </c>
      <c r="FB198" s="11" t="n">
        <f aca="false">(EW198/DT198)</f>
        <v>0.181818181818182</v>
      </c>
      <c r="FC198" s="11" t="n">
        <f aca="false">(EX198/DU198)</f>
        <v>0.153846153846154</v>
      </c>
      <c r="FD198" s="11" t="n">
        <f aca="false">(EY198/DV198)</f>
        <v>0.129032258064516</v>
      </c>
      <c r="FE198" s="11" t="n">
        <f aca="false">(100*FD198)</f>
        <v>12.9032258064516</v>
      </c>
      <c r="FF198" s="9" t="n">
        <v>2</v>
      </c>
      <c r="FG198" s="9" t="n">
        <v>21</v>
      </c>
      <c r="FH198" s="9" t="n">
        <v>6</v>
      </c>
      <c r="FI198" s="9" t="n">
        <v>5</v>
      </c>
      <c r="FJ198" s="9" t="n">
        <v>8</v>
      </c>
      <c r="FK198" s="11" t="n">
        <f aca="false">(FG198+FH198+FI198+FJ198)/4</f>
        <v>10</v>
      </c>
      <c r="FL198" s="11" t="n">
        <f aca="false">(FG198/DR198)</f>
        <v>1.05</v>
      </c>
      <c r="FM198" s="11" t="n">
        <f aca="false">(FH198/DS198)</f>
        <v>0.24</v>
      </c>
      <c r="FN198" s="11" t="n">
        <f aca="false">(FI198/DT198)</f>
        <v>0.227272727272727</v>
      </c>
      <c r="FO198" s="11" t="n">
        <f aca="false">(FJ198/DU198)</f>
        <v>0.307692307692308</v>
      </c>
      <c r="FP198" s="11" t="n">
        <f aca="false">(FK198/DV198)</f>
        <v>0.43010752688172</v>
      </c>
      <c r="FQ198" s="11" t="n">
        <f aca="false">(100*FP198)</f>
        <v>43.010752688172</v>
      </c>
      <c r="FR198" s="9" t="n">
        <v>3</v>
      </c>
      <c r="FS198" s="9" t="n">
        <v>47.8</v>
      </c>
      <c r="FT198" s="9" t="n">
        <v>62</v>
      </c>
      <c r="FU198" s="9" t="n">
        <v>60.4</v>
      </c>
      <c r="FV198" s="9" t="n">
        <v>63.5</v>
      </c>
      <c r="FW198" s="11" t="n">
        <f aca="false">(FS198+FT198+FU198+FV198)/4</f>
        <v>58.425</v>
      </c>
      <c r="FX198" s="9" t="n">
        <v>0</v>
      </c>
      <c r="FY198" s="9" t="n">
        <v>0</v>
      </c>
      <c r="FZ198" s="9" t="n">
        <v>0</v>
      </c>
      <c r="GA198" s="9" t="n">
        <v>0</v>
      </c>
      <c r="GB198" s="11" t="n">
        <f aca="false">(FX198+FY198+FZ198+GA198)/4</f>
        <v>0</v>
      </c>
      <c r="GC198" s="9" t="n">
        <v>1</v>
      </c>
      <c r="GD198" s="9" t="n">
        <v>1</v>
      </c>
      <c r="GE198" s="9" t="n">
        <v>1</v>
      </c>
      <c r="GF198" s="9" t="n">
        <v>1</v>
      </c>
      <c r="GG198" s="11" t="n">
        <f aca="false">(GC198+GD198+GE198+GF198)/4</f>
        <v>1</v>
      </c>
      <c r="GH198" s="9" t="n">
        <v>1</v>
      </c>
      <c r="GI198" s="9" t="n">
        <v>1</v>
      </c>
      <c r="GJ198" s="9" t="n">
        <v>1</v>
      </c>
      <c r="GK198" s="9" t="n">
        <v>1</v>
      </c>
      <c r="GL198" s="11" t="n">
        <f aca="false">(GH198+GI198+GJ198+GK198)/4</f>
        <v>1</v>
      </c>
      <c r="GM198" s="9" t="n">
        <v>52</v>
      </c>
      <c r="GN198" s="9" t="n">
        <v>47</v>
      </c>
      <c r="GO198" s="9" t="n">
        <v>141</v>
      </c>
      <c r="GP198" s="9" t="n">
        <v>107</v>
      </c>
      <c r="GQ198" s="11" t="n">
        <f aca="false">(GM198+GN198+GO198+GP198)/4</f>
        <v>86.75</v>
      </c>
      <c r="GR198" s="9" t="n">
        <v>22</v>
      </c>
      <c r="GS198" s="9" t="n">
        <v>38</v>
      </c>
      <c r="GT198" s="9" t="n">
        <v>34</v>
      </c>
      <c r="GU198" s="9" t="n">
        <v>21</v>
      </c>
      <c r="GV198" s="11" t="n">
        <f aca="false">(GR198+GS198+GT198+GU198)/4</f>
        <v>28.75</v>
      </c>
      <c r="GW198" s="9" t="n">
        <v>0</v>
      </c>
      <c r="GX198" s="9" t="n">
        <v>0</v>
      </c>
      <c r="GY198" s="9" t="n">
        <v>0</v>
      </c>
      <c r="GZ198" s="9" t="n">
        <v>0</v>
      </c>
      <c r="HA198" s="11" t="n">
        <f aca="false">(GW198+GX198+GY198+GZ198)/4</f>
        <v>0</v>
      </c>
      <c r="HB198" s="9" t="n">
        <f aca="false">(GW198/GR198)</f>
        <v>0</v>
      </c>
      <c r="HC198" s="9" t="n">
        <f aca="false">(GX198/GS198)</f>
        <v>0</v>
      </c>
      <c r="HD198" s="9" t="n">
        <f aca="false">(GY198/GT198)</f>
        <v>0</v>
      </c>
      <c r="HE198" s="9" t="n">
        <f aca="false">(GZ198/GU198)/4</f>
        <v>0</v>
      </c>
      <c r="HF198" s="9" t="n">
        <f aca="false">(HB198+HC198+HD198+HE198)/4</f>
        <v>0</v>
      </c>
      <c r="HG198" s="9" t="n">
        <f aca="false">(100*HF198)</f>
        <v>0</v>
      </c>
      <c r="HH198" s="18" t="n">
        <v>0</v>
      </c>
      <c r="HI198" s="9" t="n">
        <v>6</v>
      </c>
      <c r="HJ198" s="9" t="n">
        <v>4</v>
      </c>
      <c r="HK198" s="9" t="n">
        <v>2</v>
      </c>
      <c r="HL198" s="19" t="n">
        <v>1</v>
      </c>
      <c r="HM198" s="9" t="n">
        <f aca="false">(HI198+HJ198+HK198+HL198)/4</f>
        <v>3.25</v>
      </c>
      <c r="HN198" s="9" t="n">
        <f aca="false">(HI198/GR198)</f>
        <v>0.272727272727273</v>
      </c>
      <c r="HO198" s="9" t="n">
        <f aca="false">(HJ198/GS198)</f>
        <v>0.105263157894737</v>
      </c>
      <c r="HP198" s="9" t="n">
        <f aca="false">(HK198/GT198)</f>
        <v>0.0588235294117647</v>
      </c>
      <c r="HQ198" s="9" t="n">
        <f aca="false">(HL198/GU198)</f>
        <v>0.0476190476190476</v>
      </c>
      <c r="HR198" s="9" t="n">
        <f aca="false">(HM198/GV198)</f>
        <v>0.11304347826087</v>
      </c>
      <c r="HS198" s="9" t="n">
        <f aca="false">(100*HR198)</f>
        <v>11.304347826087</v>
      </c>
      <c r="HT198" s="18" t="n">
        <v>2</v>
      </c>
      <c r="HU198" s="9" t="n">
        <v>0</v>
      </c>
      <c r="HV198" s="9" t="n">
        <v>0</v>
      </c>
      <c r="HW198" s="9" t="n">
        <v>3</v>
      </c>
      <c r="HX198" s="19" t="n">
        <v>0</v>
      </c>
      <c r="HY198" s="9" t="n">
        <f aca="false">(HU198+HV198+HW198+HX198)/4</f>
        <v>0.75</v>
      </c>
      <c r="HZ198" s="9" t="n">
        <f aca="false">(HU198/GR198)</f>
        <v>0</v>
      </c>
      <c r="IA198" s="9" t="n">
        <f aca="false">HV198/GS198</f>
        <v>0</v>
      </c>
      <c r="IB198" s="9" t="n">
        <f aca="false">(HW198/GT198)</f>
        <v>0.0882352941176471</v>
      </c>
      <c r="IC198" s="9" t="n">
        <f aca="false">(HX198/GU198)</f>
        <v>0</v>
      </c>
      <c r="ID198" s="9" t="n">
        <f aca="false">(HY198/GV198)</f>
        <v>0.0260869565217391</v>
      </c>
      <c r="IE198" s="9" t="n">
        <f aca="false">(100*ID198)</f>
        <v>2.60869565217391</v>
      </c>
      <c r="IF198" s="18" t="n">
        <v>1</v>
      </c>
      <c r="IG198" s="9" t="n">
        <v>8</v>
      </c>
      <c r="IH198" s="9" t="n">
        <v>6</v>
      </c>
      <c r="II198" s="19" t="n">
        <v>4</v>
      </c>
      <c r="IJ198" s="9" t="n">
        <v>2</v>
      </c>
      <c r="IK198" s="9" t="n">
        <f aca="false">(IG198+IH198+II198+IJ198)/4</f>
        <v>5</v>
      </c>
      <c r="IL198" s="9" t="n">
        <f aca="false">(IG198/GM198)</f>
        <v>0.153846153846154</v>
      </c>
      <c r="IM198" s="9" t="n">
        <f aca="false">(IH198/GN198)</f>
        <v>0.127659574468085</v>
      </c>
      <c r="IN198" s="9" t="n">
        <f aca="false">(II198/GO198)</f>
        <v>0.0283687943262411</v>
      </c>
      <c r="IO198" s="9" t="n">
        <f aca="false">(IJ198/GP198)</f>
        <v>0.0186915887850467</v>
      </c>
      <c r="IP198" s="9" t="n">
        <f aca="false">(IK198/GQ198)</f>
        <v>0.0576368876080692</v>
      </c>
      <c r="IQ198" s="9" t="n">
        <f aca="false">(100*IP198)</f>
        <v>5.76368876080692</v>
      </c>
      <c r="IR198" s="18" t="n">
        <v>1</v>
      </c>
      <c r="IS198" s="9" t="n">
        <v>50</v>
      </c>
      <c r="IT198" s="9" t="n">
        <v>54.5</v>
      </c>
      <c r="IU198" s="19" t="n">
        <v>61.6</v>
      </c>
      <c r="IV198" s="9" t="n">
        <v>55.8</v>
      </c>
      <c r="IW198" s="9" t="n">
        <f aca="false">(IS198+IT198+IU198+IV198)/4</f>
        <v>55.475</v>
      </c>
      <c r="IX198" s="16" t="n">
        <v>45241</v>
      </c>
      <c r="IY198" s="10" t="s">
        <v>268</v>
      </c>
    </row>
    <row r="199" customFormat="false" ht="15.75" hidden="false" customHeight="true" outlineLevel="0" collapsed="false">
      <c r="A199" s="9" t="s">
        <v>370</v>
      </c>
      <c r="B199" s="10" t="s">
        <v>712</v>
      </c>
      <c r="C199" s="10" t="s">
        <v>626</v>
      </c>
      <c r="D199" s="9" t="n">
        <v>2</v>
      </c>
      <c r="E199" s="9" t="n">
        <v>66</v>
      </c>
      <c r="F199" s="10" t="s">
        <v>718</v>
      </c>
      <c r="G199" s="10" t="s">
        <v>320</v>
      </c>
      <c r="H199" s="9" t="n">
        <v>21</v>
      </c>
      <c r="I199" s="9" t="n">
        <v>20</v>
      </c>
      <c r="J199" s="10" t="s">
        <v>272</v>
      </c>
      <c r="K199" s="20"/>
      <c r="L199" s="20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 t="n">
        <v>0</v>
      </c>
      <c r="Y199" s="9" t="n">
        <v>0</v>
      </c>
      <c r="Z199" s="9" t="n">
        <v>0</v>
      </c>
      <c r="AA199" s="9" t="n">
        <v>0</v>
      </c>
      <c r="AB199" s="11" t="n">
        <f aca="false">(X199+Y199+Z199+AA199)/4</f>
        <v>0</v>
      </c>
      <c r="AC199" s="9" t="n">
        <v>0</v>
      </c>
      <c r="AD199" s="9" t="n">
        <v>1</v>
      </c>
      <c r="AE199" s="9" t="n">
        <v>1</v>
      </c>
      <c r="AF199" s="9" t="n">
        <v>1</v>
      </c>
      <c r="AG199" s="11" t="n">
        <f aca="false">(AC199+AD199+AE199+AF199)/4</f>
        <v>0.75</v>
      </c>
      <c r="AH199" s="9" t="n">
        <v>1</v>
      </c>
      <c r="AI199" s="9" t="n">
        <v>1</v>
      </c>
      <c r="AJ199" s="9" t="n">
        <v>1</v>
      </c>
      <c r="AK199" s="9" t="n">
        <v>1</v>
      </c>
      <c r="AL199" s="11" t="n">
        <f aca="false">(AH199+AI199+AJ199+AK199)/4</f>
        <v>1</v>
      </c>
      <c r="AM199" s="9" t="n">
        <v>40</v>
      </c>
      <c r="AN199" s="9" t="n">
        <v>6</v>
      </c>
      <c r="AO199" s="9" t="n">
        <v>62</v>
      </c>
      <c r="AP199" s="9" t="n">
        <v>225</v>
      </c>
      <c r="AQ199" s="11" t="n">
        <f aca="false">(AM199+AN199+AO199+AP199)/4</f>
        <v>83.25</v>
      </c>
      <c r="AR199" s="9" t="n">
        <v>5</v>
      </c>
      <c r="AS199" s="9" t="n">
        <v>16</v>
      </c>
      <c r="AT199" s="9" t="n">
        <v>8</v>
      </c>
      <c r="AU199" s="9" t="n">
        <v>21</v>
      </c>
      <c r="AV199" s="11" t="n">
        <f aca="false">(AR199+AS199+AT199+AU199)/4</f>
        <v>12.5</v>
      </c>
      <c r="AW199" s="9" t="n">
        <v>0</v>
      </c>
      <c r="AX199" s="9" t="n">
        <v>0</v>
      </c>
      <c r="AY199" s="9" t="n">
        <v>0</v>
      </c>
      <c r="AZ199" s="9" t="n">
        <v>0</v>
      </c>
      <c r="BA199" s="11" t="n">
        <f aca="false">(AW199+AX199+AY199+AZ199)/4</f>
        <v>0</v>
      </c>
      <c r="BB199" s="11" t="n">
        <f aca="false">(AW199/AR199)</f>
        <v>0</v>
      </c>
      <c r="BC199" s="11" t="n">
        <f aca="false">(AX199/AS199)</f>
        <v>0</v>
      </c>
      <c r="BD199" s="11" t="n">
        <f aca="false">(AY199/AT199)</f>
        <v>0</v>
      </c>
      <c r="BE199" s="11" t="n">
        <f aca="false">(AZ199/AU199)</f>
        <v>0</v>
      </c>
      <c r="BF199" s="11" t="n">
        <f aca="false">(BA199/AV199)</f>
        <v>0</v>
      </c>
      <c r="BG199" s="11" t="n">
        <f aca="false">(BF199*100)</f>
        <v>0</v>
      </c>
      <c r="BH199" s="9" t="n">
        <v>0</v>
      </c>
      <c r="BI199" s="9" t="n">
        <v>0</v>
      </c>
      <c r="BJ199" s="9" t="n">
        <v>6</v>
      </c>
      <c r="BK199" s="9" t="n">
        <v>5</v>
      </c>
      <c r="BL199" s="9" t="n">
        <v>7</v>
      </c>
      <c r="BM199" s="11" t="n">
        <f aca="false">(BI199+BJ199+BK199+BL199)/4</f>
        <v>4.5</v>
      </c>
      <c r="BN199" s="11" t="n">
        <f aca="false">(BI199/AR199)</f>
        <v>0</v>
      </c>
      <c r="BO199" s="11" t="n">
        <f aca="false">(BJ199/AS199)</f>
        <v>0.375</v>
      </c>
      <c r="BP199" s="11" t="n">
        <f aca="false">(BK199/AT199)</f>
        <v>0.625</v>
      </c>
      <c r="BQ199" s="11" t="n">
        <f aca="false">(BL199/AU199)</f>
        <v>0.333333333333333</v>
      </c>
      <c r="BR199" s="11" t="n">
        <f aca="false">(BM199/AV199)</f>
        <v>0.36</v>
      </c>
      <c r="BS199" s="11" t="n">
        <f aca="false">(100*BR199)</f>
        <v>36</v>
      </c>
      <c r="BT199" s="9" t="n">
        <v>3</v>
      </c>
      <c r="BU199" s="9" t="n">
        <v>0</v>
      </c>
      <c r="BV199" s="9" t="n">
        <v>1</v>
      </c>
      <c r="BW199" s="9" t="n">
        <v>5</v>
      </c>
      <c r="BX199" s="9" t="n">
        <v>4</v>
      </c>
      <c r="BY199" s="11" t="n">
        <f aca="false">(BU199+BV199+BW199+BX199)/4</f>
        <v>2.5</v>
      </c>
      <c r="BZ199" s="11" t="n">
        <f aca="false">(BU199/AR199)</f>
        <v>0</v>
      </c>
      <c r="CA199" s="11" t="n">
        <f aca="false">(BV199/AS199)</f>
        <v>0.0625</v>
      </c>
      <c r="CB199" s="11" t="n">
        <f aca="false">(BW199/AT199)</f>
        <v>0.625</v>
      </c>
      <c r="CC199" s="11" t="n">
        <f aca="false">(BX199/AU199)</f>
        <v>0.19047619047619</v>
      </c>
      <c r="CD199" s="11" t="n">
        <f aca="false">(BY199/AV199)</f>
        <v>0.2</v>
      </c>
      <c r="CE199" s="11" t="n">
        <f aca="false">(100*CD199)</f>
        <v>20</v>
      </c>
      <c r="CF199" s="9" t="n">
        <v>2</v>
      </c>
      <c r="CG199" s="9" t="n">
        <v>10</v>
      </c>
      <c r="CH199" s="9" t="n">
        <v>1</v>
      </c>
      <c r="CI199" s="9" t="n">
        <v>8</v>
      </c>
      <c r="CJ199" s="9" t="n">
        <v>22</v>
      </c>
      <c r="CK199" s="11" t="n">
        <f aca="false">(CG199+CH199+CI199+CJ199)/4</f>
        <v>10.25</v>
      </c>
      <c r="CL199" s="11" t="n">
        <f aca="false">(CG199/AM199)</f>
        <v>0.25</v>
      </c>
      <c r="CM199" s="11" t="n">
        <f aca="false">(CH199/AN199)</f>
        <v>0.166666666666667</v>
      </c>
      <c r="CN199" s="11" t="n">
        <f aca="false">(CI199/AO199)</f>
        <v>0.129032258064516</v>
      </c>
      <c r="CO199" s="9" t="n">
        <f aca="false">(CJ199/AP199)</f>
        <v>0.0977777777777778</v>
      </c>
      <c r="CP199" s="9" t="n">
        <f aca="false">(CK199/AQ199)</f>
        <v>0.123123123123123</v>
      </c>
      <c r="CQ199" s="9" t="n">
        <f aca="false">(100*CP199)</f>
        <v>12.3123123123123</v>
      </c>
      <c r="CR199" s="18" t="n">
        <v>2</v>
      </c>
      <c r="CS199" s="9" t="n">
        <v>46.9</v>
      </c>
      <c r="CT199" s="9" t="n">
        <v>54.4</v>
      </c>
      <c r="CU199" s="9" t="n">
        <v>52.1</v>
      </c>
      <c r="CV199" s="9" t="n">
        <v>60.6</v>
      </c>
      <c r="CW199" s="11" t="n">
        <f aca="false">(CS199+CT199+CU199+CV199)/4</f>
        <v>53.5</v>
      </c>
      <c r="CX199" s="9" t="n">
        <v>0</v>
      </c>
      <c r="CY199" s="9" t="n">
        <v>0</v>
      </c>
      <c r="CZ199" s="9" t="n">
        <v>0</v>
      </c>
      <c r="DA199" s="9" t="n">
        <v>0</v>
      </c>
      <c r="DB199" s="11" t="n">
        <f aca="false">(CX199+CY199+CZ199+DA199)/4</f>
        <v>0</v>
      </c>
      <c r="DC199" s="9" t="n">
        <v>1</v>
      </c>
      <c r="DD199" s="9" t="n">
        <v>1</v>
      </c>
      <c r="DE199" s="9" t="n">
        <v>1</v>
      </c>
      <c r="DF199" s="9" t="n">
        <v>1</v>
      </c>
      <c r="DG199" s="11" t="n">
        <f aca="false">(DC199+DD199+DE199+DF199)/4</f>
        <v>1</v>
      </c>
      <c r="DH199" s="9" t="n">
        <v>1</v>
      </c>
      <c r="DI199" s="9" t="n">
        <v>1</v>
      </c>
      <c r="DJ199" s="9" t="n">
        <v>1</v>
      </c>
      <c r="DK199" s="9" t="n">
        <v>1</v>
      </c>
      <c r="DL199" s="11" t="n">
        <f aca="false">(DH199+DI199+DJ199+DK199)/4</f>
        <v>1</v>
      </c>
      <c r="DM199" s="9" t="n">
        <v>119</v>
      </c>
      <c r="DN199" s="9" t="n">
        <v>112</v>
      </c>
      <c r="DO199" s="9" t="n">
        <v>24</v>
      </c>
      <c r="DP199" s="9" t="n">
        <v>142</v>
      </c>
      <c r="DQ199" s="11" t="n">
        <f aca="false">(DM199+DN199+DO199+DP199)/4</f>
        <v>99.25</v>
      </c>
      <c r="DR199" s="9" t="n">
        <v>13</v>
      </c>
      <c r="DS199" s="9" t="n">
        <v>10</v>
      </c>
      <c r="DT199" s="9" t="n">
        <v>20</v>
      </c>
      <c r="DU199" s="9" t="n">
        <v>14</v>
      </c>
      <c r="DV199" s="11" t="n">
        <f aca="false">(DR199+DS199+DT199+DU199)/4</f>
        <v>14.25</v>
      </c>
      <c r="DW199" s="9" t="n">
        <v>0</v>
      </c>
      <c r="DX199" s="9" t="n">
        <v>0</v>
      </c>
      <c r="DY199" s="9" t="n">
        <v>0</v>
      </c>
      <c r="DZ199" s="9" t="n">
        <v>0</v>
      </c>
      <c r="EA199" s="11" t="n">
        <f aca="false">(DW199+DX199+DY199+DZ199)/4</f>
        <v>0</v>
      </c>
      <c r="EB199" s="11" t="n">
        <f aca="false">(DW199/DR199)</f>
        <v>0</v>
      </c>
      <c r="EC199" s="11" t="n">
        <f aca="false">(DX199/DS199)</f>
        <v>0</v>
      </c>
      <c r="ED199" s="11" t="n">
        <f aca="false">(DY199/DT199)</f>
        <v>0</v>
      </c>
      <c r="EE199" s="11" t="n">
        <f aca="false">(DZ199/DU199)</f>
        <v>0</v>
      </c>
      <c r="EF199" s="11" t="n">
        <f aca="false">(EA199/DV199)</f>
        <v>0</v>
      </c>
      <c r="EG199" s="11" t="n">
        <f aca="false">(100*EF199)</f>
        <v>0</v>
      </c>
      <c r="EH199" s="9" t="n">
        <v>0</v>
      </c>
      <c r="EI199" s="9" t="n">
        <v>2</v>
      </c>
      <c r="EJ199" s="9" t="n">
        <v>1</v>
      </c>
      <c r="EK199" s="19" t="n">
        <v>12</v>
      </c>
      <c r="EL199" s="9" t="n">
        <v>2</v>
      </c>
      <c r="EM199" s="9" t="n">
        <f aca="false">(EI199+EJ199+EK199+EL199)/4</f>
        <v>4.25</v>
      </c>
      <c r="EN199" s="9" t="n">
        <f aca="false">(EI199/DR199)</f>
        <v>0.153846153846154</v>
      </c>
      <c r="EO199" s="9" t="n">
        <f aca="false">(EJ199/DS199)</f>
        <v>0.1</v>
      </c>
      <c r="EP199" s="9" t="n">
        <f aca="false">(EK199/DT199)</f>
        <v>0.6</v>
      </c>
      <c r="EQ199" s="9" t="n">
        <f aca="false">(EL199/DU199)</f>
        <v>0.142857142857143</v>
      </c>
      <c r="ER199" s="9" t="n">
        <f aca="false">EM199/DV199</f>
        <v>0.298245614035088</v>
      </c>
      <c r="ES199" s="9" t="n">
        <f aca="false">(100*ER199)</f>
        <v>29.8245614035088</v>
      </c>
      <c r="ET199" s="9" t="n">
        <v>2</v>
      </c>
      <c r="EU199" s="18" t="n">
        <v>0</v>
      </c>
      <c r="EV199" s="9" t="n">
        <v>0</v>
      </c>
      <c r="EW199" s="9" t="n">
        <v>5</v>
      </c>
      <c r="EX199" s="9" t="n">
        <v>3</v>
      </c>
      <c r="EY199" s="11" t="n">
        <f aca="false">(EU199+EV199+EW199+EX199)/4</f>
        <v>2</v>
      </c>
      <c r="EZ199" s="11" t="n">
        <f aca="false">(EU199/DR199)</f>
        <v>0</v>
      </c>
      <c r="FA199" s="11" t="n">
        <f aca="false">(EV199/DS199)</f>
        <v>0</v>
      </c>
      <c r="FB199" s="11" t="n">
        <f aca="false">(EW199/DT199)</f>
        <v>0.25</v>
      </c>
      <c r="FC199" s="11" t="n">
        <f aca="false">(EX199/DU199)</f>
        <v>0.214285714285714</v>
      </c>
      <c r="FD199" s="11" t="n">
        <f aca="false">(EY199/DV199)</f>
        <v>0.140350877192982</v>
      </c>
      <c r="FE199" s="11" t="n">
        <f aca="false">(100*FD199)</f>
        <v>14.0350877192982</v>
      </c>
      <c r="FF199" s="9" t="n">
        <v>2</v>
      </c>
      <c r="FG199" s="9" t="n">
        <v>8</v>
      </c>
      <c r="FH199" s="9" t="n">
        <v>10</v>
      </c>
      <c r="FI199" s="9" t="n">
        <v>8</v>
      </c>
      <c r="FJ199" s="9" t="n">
        <v>21</v>
      </c>
      <c r="FK199" s="11" t="n">
        <f aca="false">(FG199+FH199+FI199+FJ199)/4</f>
        <v>11.75</v>
      </c>
      <c r="FL199" s="11" t="n">
        <f aca="false">(FG199/DR199)</f>
        <v>0.615384615384615</v>
      </c>
      <c r="FM199" s="11" t="n">
        <f aca="false">(FH199/DS199)</f>
        <v>1</v>
      </c>
      <c r="FN199" s="11" t="n">
        <f aca="false">(FI199/DT199)</f>
        <v>0.4</v>
      </c>
      <c r="FO199" s="11" t="n">
        <f aca="false">(FJ199/DU199)</f>
        <v>1.5</v>
      </c>
      <c r="FP199" s="11" t="n">
        <f aca="false">(FK199/DV199)</f>
        <v>0.824561403508772</v>
      </c>
      <c r="FQ199" s="11" t="n">
        <f aca="false">(100*FP199)</f>
        <v>82.4561403508772</v>
      </c>
      <c r="FR199" s="9" t="n">
        <v>3</v>
      </c>
      <c r="FS199" s="9" t="n">
        <v>66.3</v>
      </c>
      <c r="FT199" s="9" t="n">
        <v>58.7</v>
      </c>
      <c r="FU199" s="9" t="n">
        <v>50</v>
      </c>
      <c r="FV199" s="9" t="n">
        <v>50.2</v>
      </c>
      <c r="FW199" s="11" t="n">
        <f aca="false">(FS199+FT199+FU199+FV199)/4</f>
        <v>56.3</v>
      </c>
      <c r="FX199" s="9" t="n">
        <v>0</v>
      </c>
      <c r="FY199" s="9" t="n">
        <v>0</v>
      </c>
      <c r="FZ199" s="9" t="n">
        <v>1</v>
      </c>
      <c r="GA199" s="9" t="n">
        <v>1</v>
      </c>
      <c r="GB199" s="11" t="n">
        <f aca="false">(FX199+FY199+FZ199+GA199)/4</f>
        <v>0.5</v>
      </c>
      <c r="GC199" s="9" t="n">
        <v>1</v>
      </c>
      <c r="GD199" s="9" t="n">
        <v>1</v>
      </c>
      <c r="GE199" s="9" t="n">
        <v>1</v>
      </c>
      <c r="GF199" s="9" t="n">
        <v>1</v>
      </c>
      <c r="GG199" s="11" t="n">
        <f aca="false">(GC199+GD199+GE199+GF199)/4</f>
        <v>1</v>
      </c>
      <c r="GH199" s="9" t="n">
        <v>1</v>
      </c>
      <c r="GI199" s="9" t="n">
        <v>1</v>
      </c>
      <c r="GJ199" s="9" t="n">
        <v>1</v>
      </c>
      <c r="GK199" s="9" t="n">
        <v>1</v>
      </c>
      <c r="GL199" s="11" t="n">
        <f aca="false">(GH199+GI199+GJ199+GK199)/4</f>
        <v>1</v>
      </c>
      <c r="GM199" s="9" t="n">
        <v>102</v>
      </c>
      <c r="GN199" s="9" t="n">
        <v>151</v>
      </c>
      <c r="GO199" s="9" t="n">
        <v>169</v>
      </c>
      <c r="GP199" s="9" t="n">
        <v>59</v>
      </c>
      <c r="GQ199" s="11" t="n">
        <f aca="false">(GM199+GN199+GO199+GP199)/4</f>
        <v>120.25</v>
      </c>
      <c r="GR199" s="9" t="n">
        <v>34</v>
      </c>
      <c r="GS199" s="9" t="n">
        <v>29</v>
      </c>
      <c r="GT199" s="9" t="n">
        <v>16</v>
      </c>
      <c r="GU199" s="9" t="n">
        <v>8</v>
      </c>
      <c r="GV199" s="11" t="n">
        <f aca="false">(GR199+GS199+GT199+GU199)/4</f>
        <v>21.75</v>
      </c>
      <c r="GW199" s="9" t="n">
        <v>0</v>
      </c>
      <c r="GX199" s="9" t="n">
        <v>0</v>
      </c>
      <c r="GY199" s="9" t="n">
        <v>4</v>
      </c>
      <c r="GZ199" s="9" t="n">
        <v>3</v>
      </c>
      <c r="HA199" s="11" t="n">
        <f aca="false">(GW199+GX199+GY199+GZ199)/4</f>
        <v>1.75</v>
      </c>
      <c r="HB199" s="9" t="n">
        <f aca="false">(GW199/GR199)</f>
        <v>0</v>
      </c>
      <c r="HC199" s="9" t="n">
        <f aca="false">(GX199/GS199)</f>
        <v>0</v>
      </c>
      <c r="HD199" s="9" t="n">
        <f aca="false">(GY199/GT199)</f>
        <v>0.25</v>
      </c>
      <c r="HE199" s="9" t="n">
        <f aca="false">(GZ199/GU199)/4</f>
        <v>0.09375</v>
      </c>
      <c r="HF199" s="9" t="n">
        <f aca="false">(HB199+HC199+HD199+HE199)/4</f>
        <v>0.0859375</v>
      </c>
      <c r="HG199" s="9" t="n">
        <f aca="false">(100*HF199)</f>
        <v>8.59375</v>
      </c>
      <c r="HH199" s="18" t="n">
        <v>1</v>
      </c>
      <c r="HI199" s="9" t="n">
        <v>9</v>
      </c>
      <c r="HJ199" s="9" t="n">
        <v>2</v>
      </c>
      <c r="HK199" s="9" t="n">
        <v>6</v>
      </c>
      <c r="HL199" s="19" t="n">
        <v>4</v>
      </c>
      <c r="HM199" s="9" t="n">
        <f aca="false">(HI199+HJ199+HK199+HL199)/4</f>
        <v>5.25</v>
      </c>
      <c r="HN199" s="9" t="n">
        <f aca="false">(HI199/GR199)</f>
        <v>0.264705882352941</v>
      </c>
      <c r="HO199" s="9" t="n">
        <f aca="false">(HJ199/GS199)</f>
        <v>0.0689655172413793</v>
      </c>
      <c r="HP199" s="9" t="n">
        <f aca="false">(HK199/GT199)</f>
        <v>0.375</v>
      </c>
      <c r="HQ199" s="9" t="n">
        <f aca="false">(HL199/GU199)</f>
        <v>0.5</v>
      </c>
      <c r="HR199" s="9" t="n">
        <f aca="false">(HM199/GV199)</f>
        <v>0.241379310344828</v>
      </c>
      <c r="HS199" s="9" t="n">
        <f aca="false">(100*HR199)</f>
        <v>24.1379310344828</v>
      </c>
      <c r="HT199" s="18" t="n">
        <v>2</v>
      </c>
      <c r="HU199" s="9" t="n">
        <v>0</v>
      </c>
      <c r="HV199" s="9" t="n">
        <v>2</v>
      </c>
      <c r="HW199" s="9" t="n">
        <v>4</v>
      </c>
      <c r="HX199" s="19" t="n">
        <v>7</v>
      </c>
      <c r="HY199" s="9" t="n">
        <f aca="false">(HU199+HV199+HW199+HX199)/4</f>
        <v>3.25</v>
      </c>
      <c r="HZ199" s="9" t="n">
        <f aca="false">(HU199/GR199)</f>
        <v>0</v>
      </c>
      <c r="IA199" s="9" t="n">
        <f aca="false">HV199/GS199</f>
        <v>0.0689655172413793</v>
      </c>
      <c r="IB199" s="9" t="n">
        <f aca="false">(HW199/GT199)</f>
        <v>0.25</v>
      </c>
      <c r="IC199" s="9" t="n">
        <f aca="false">(HX199/GU199)</f>
        <v>0.875</v>
      </c>
      <c r="ID199" s="9" t="n">
        <f aca="false">(HY199/GV199)</f>
        <v>0.149425287356322</v>
      </c>
      <c r="IE199" s="9" t="n">
        <f aca="false">(100*ID199)</f>
        <v>14.9425287356322</v>
      </c>
      <c r="IF199" s="18" t="n">
        <v>2</v>
      </c>
      <c r="IG199" s="9" t="n">
        <v>5</v>
      </c>
      <c r="IH199" s="9" t="n">
        <v>19</v>
      </c>
      <c r="II199" s="19" t="n">
        <v>4</v>
      </c>
      <c r="IJ199" s="9" t="n">
        <v>4</v>
      </c>
      <c r="IK199" s="9" t="n">
        <f aca="false">(IG199+IH199+II199+IJ199)/4</f>
        <v>8</v>
      </c>
      <c r="IL199" s="9" t="n">
        <f aca="false">(IG199/GM199)</f>
        <v>0.0490196078431373</v>
      </c>
      <c r="IM199" s="9" t="n">
        <f aca="false">(IH199/GN199)</f>
        <v>0.125827814569536</v>
      </c>
      <c r="IN199" s="9" t="n">
        <f aca="false">(II199/GO199)</f>
        <v>0.0236686390532544</v>
      </c>
      <c r="IO199" s="9" t="n">
        <f aca="false">(IJ199/GP199)</f>
        <v>0.0677966101694915</v>
      </c>
      <c r="IP199" s="9" t="n">
        <f aca="false">(IK199/GQ199)</f>
        <v>0.0665280665280665</v>
      </c>
      <c r="IQ199" s="9" t="n">
        <f aca="false">(100*IP199)</f>
        <v>6.65280665280665</v>
      </c>
      <c r="IR199" s="18" t="n">
        <v>1</v>
      </c>
      <c r="IS199" s="9" t="n">
        <v>50.6</v>
      </c>
      <c r="IT199" s="9" t="n">
        <v>66.2</v>
      </c>
      <c r="IU199" s="19" t="n">
        <v>61.1</v>
      </c>
      <c r="IV199" s="9" t="n">
        <v>78.4</v>
      </c>
      <c r="IW199" s="9" t="n">
        <f aca="false">(IS199+IT199+IU199+IV199)/4</f>
        <v>64.075</v>
      </c>
      <c r="IX199" s="16" t="n">
        <v>45241</v>
      </c>
      <c r="IY199" s="10" t="s">
        <v>268</v>
      </c>
    </row>
    <row r="200" customFormat="false" ht="15.75" hidden="false" customHeight="true" outlineLevel="0" collapsed="false">
      <c r="A200" s="9" t="s">
        <v>370</v>
      </c>
      <c r="B200" s="10" t="s">
        <v>719</v>
      </c>
      <c r="C200" s="10" t="s">
        <v>626</v>
      </c>
      <c r="D200" s="9" t="n">
        <v>3</v>
      </c>
      <c r="E200" s="9" t="n">
        <v>67</v>
      </c>
      <c r="F200" s="10" t="s">
        <v>720</v>
      </c>
      <c r="G200" s="10" t="s">
        <v>280</v>
      </c>
      <c r="H200" s="9" t="n">
        <v>21</v>
      </c>
      <c r="I200" s="9" t="n">
        <v>5</v>
      </c>
      <c r="J200" s="12" t="s">
        <v>264</v>
      </c>
      <c r="K200" s="13" t="s">
        <v>721</v>
      </c>
      <c r="L200" s="13" t="s">
        <v>722</v>
      </c>
      <c r="M200" s="32" t="n">
        <v>1309</v>
      </c>
      <c r="N200" s="15" t="n">
        <v>45155</v>
      </c>
      <c r="O200" s="10" t="s">
        <v>294</v>
      </c>
      <c r="P200" s="9"/>
      <c r="Q200" s="9" t="n">
        <v>0.83</v>
      </c>
      <c r="R200" s="9" t="n">
        <v>10</v>
      </c>
      <c r="S200" s="9" t="n">
        <v>-12</v>
      </c>
      <c r="T200" s="9" t="n">
        <v>90</v>
      </c>
      <c r="U200" s="9"/>
      <c r="V200" s="9" t="n">
        <f aca="false">(20.75/100)</f>
        <v>0.2075</v>
      </c>
      <c r="W200" s="9" t="s">
        <v>723</v>
      </c>
      <c r="X200" s="9" t="n">
        <v>0</v>
      </c>
      <c r="Y200" s="9" t="n">
        <v>0</v>
      </c>
      <c r="Z200" s="9" t="n">
        <v>1</v>
      </c>
      <c r="AA200" s="9" t="n">
        <v>0</v>
      </c>
      <c r="AB200" s="11" t="n">
        <f aca="false">(X200+Y200+Z200+AA200)/4</f>
        <v>0.25</v>
      </c>
      <c r="AC200" s="9" t="n">
        <v>1</v>
      </c>
      <c r="AD200" s="9" t="n">
        <v>1</v>
      </c>
      <c r="AE200" s="9" t="n">
        <v>0</v>
      </c>
      <c r="AF200" s="9" t="n">
        <v>0</v>
      </c>
      <c r="AG200" s="11" t="n">
        <f aca="false">(AC200+AD200+AE200+AF200)/4</f>
        <v>0.5</v>
      </c>
      <c r="AH200" s="9" t="n">
        <v>0</v>
      </c>
      <c r="AI200" s="9" t="n">
        <v>0</v>
      </c>
      <c r="AJ200" s="9" t="n">
        <v>1</v>
      </c>
      <c r="AK200" s="9" t="n">
        <v>1</v>
      </c>
      <c r="AL200" s="11" t="n">
        <f aca="false">(AH200+AI200+AJ200+AK200)/4</f>
        <v>0.5</v>
      </c>
      <c r="AM200" s="9" t="n">
        <v>15</v>
      </c>
      <c r="AN200" s="9" t="n">
        <v>22</v>
      </c>
      <c r="AO200" s="9" t="n">
        <v>32</v>
      </c>
      <c r="AP200" s="9" t="n">
        <v>29</v>
      </c>
      <c r="AQ200" s="11" t="n">
        <f aca="false">(AM200+AN200+AO200+AP200)/4</f>
        <v>24.5</v>
      </c>
      <c r="AR200" s="9" t="n">
        <v>10</v>
      </c>
      <c r="AS200" s="9" t="n">
        <v>7</v>
      </c>
      <c r="AT200" s="9" t="n">
        <v>11</v>
      </c>
      <c r="AU200" s="9" t="n">
        <v>35</v>
      </c>
      <c r="AV200" s="11" t="n">
        <f aca="false">(AR200+AS200+AT200+AU200)/4</f>
        <v>15.75</v>
      </c>
      <c r="AW200" s="9" t="n">
        <v>0</v>
      </c>
      <c r="AX200" s="9" t="n">
        <v>0</v>
      </c>
      <c r="AY200" s="9" t="n">
        <v>1</v>
      </c>
      <c r="AZ200" s="9" t="n">
        <v>0</v>
      </c>
      <c r="BA200" s="11" t="n">
        <f aca="false">(AW200+AX200+AY200+AZ200)/4</f>
        <v>0.25</v>
      </c>
      <c r="BB200" s="11" t="n">
        <f aca="false">(AW200/AR200)</f>
        <v>0</v>
      </c>
      <c r="BC200" s="11" t="n">
        <f aca="false">(AX200/AS200)</f>
        <v>0</v>
      </c>
      <c r="BD200" s="11" t="n">
        <f aca="false">(AY200/AT200)</f>
        <v>0.0909090909090909</v>
      </c>
      <c r="BE200" s="11" t="n">
        <f aca="false">(AZ200/AU200)</f>
        <v>0</v>
      </c>
      <c r="BF200" s="11" t="n">
        <f aca="false">(BA200/AV200)</f>
        <v>0.0158730158730159</v>
      </c>
      <c r="BG200" s="11" t="n">
        <f aca="false">(BF200*100)</f>
        <v>1.58730158730159</v>
      </c>
      <c r="BH200" s="9" t="n">
        <v>1</v>
      </c>
      <c r="BI200" s="9" t="n">
        <v>2</v>
      </c>
      <c r="BJ200" s="9" t="n">
        <v>3</v>
      </c>
      <c r="BK200" s="9" t="n">
        <v>0</v>
      </c>
      <c r="BL200" s="9" t="n">
        <v>0</v>
      </c>
      <c r="BM200" s="11" t="n">
        <f aca="false">(BI200+BJ200+BK200+BL200)/4</f>
        <v>1.25</v>
      </c>
      <c r="BN200" s="11" t="n">
        <f aca="false">(BI200/AR200)</f>
        <v>0.2</v>
      </c>
      <c r="BO200" s="11" t="n">
        <f aca="false">(BJ200/AS200)</f>
        <v>0.428571428571429</v>
      </c>
      <c r="BP200" s="11" t="n">
        <f aca="false">(BK200/AT200)</f>
        <v>0</v>
      </c>
      <c r="BQ200" s="11" t="n">
        <f aca="false">(BL200/AU200)</f>
        <v>0</v>
      </c>
      <c r="BR200" s="11" t="n">
        <f aca="false">(BM200/AV200)</f>
        <v>0.0793650793650794</v>
      </c>
      <c r="BS200" s="11" t="n">
        <f aca="false">(100*BR200)</f>
        <v>7.93650793650794</v>
      </c>
      <c r="BT200" s="9" t="n">
        <v>1</v>
      </c>
      <c r="BU200" s="9" t="n">
        <v>0</v>
      </c>
      <c r="BV200" s="9" t="n">
        <v>0</v>
      </c>
      <c r="BW200" s="9" t="n">
        <v>0</v>
      </c>
      <c r="BX200" s="9" t="n">
        <v>3</v>
      </c>
      <c r="BY200" s="11" t="n">
        <f aca="false">(BU200+BV200+BW200+BX200)/4</f>
        <v>0.75</v>
      </c>
      <c r="BZ200" s="11" t="n">
        <f aca="false">(BU200/AR200)</f>
        <v>0</v>
      </c>
      <c r="CA200" s="11" t="n">
        <f aca="false">(BV200/AS200)</f>
        <v>0</v>
      </c>
      <c r="CB200" s="11" t="n">
        <f aca="false">(BW200/AT200)</f>
        <v>0</v>
      </c>
      <c r="CC200" s="11" t="n">
        <f aca="false">(BX200/AU200)</f>
        <v>0.0857142857142857</v>
      </c>
      <c r="CD200" s="11" t="n">
        <f aca="false">(BY200/AV200)</f>
        <v>0.0476190476190476</v>
      </c>
      <c r="CE200" s="11" t="n">
        <f aca="false">(100*CD200)</f>
        <v>4.76190476190476</v>
      </c>
      <c r="CF200" s="9" t="n">
        <v>1</v>
      </c>
      <c r="CG200" s="9" t="n">
        <v>0</v>
      </c>
      <c r="CH200" s="9" t="n">
        <v>0</v>
      </c>
      <c r="CI200" s="9" t="n">
        <v>2</v>
      </c>
      <c r="CJ200" s="9" t="n">
        <v>0</v>
      </c>
      <c r="CK200" s="11" t="n">
        <f aca="false">(CG200+CH200+CI200+CJ200)/4</f>
        <v>0.5</v>
      </c>
      <c r="CL200" s="11" t="n">
        <f aca="false">(CG200/AM200)</f>
        <v>0</v>
      </c>
      <c r="CM200" s="11" t="n">
        <f aca="false">(CH200/AN200)</f>
        <v>0</v>
      </c>
      <c r="CN200" s="11" t="n">
        <f aca="false">(CI200/AO200)</f>
        <v>0.0625</v>
      </c>
      <c r="CO200" s="9" t="n">
        <f aca="false">(CJ200/AP200)</f>
        <v>0</v>
      </c>
      <c r="CP200" s="9" t="n">
        <f aca="false">(CK200/AQ200)</f>
        <v>0.0204081632653061</v>
      </c>
      <c r="CQ200" s="9" t="n">
        <f aca="false">(100*CP200)</f>
        <v>2.04081632653061</v>
      </c>
      <c r="CR200" s="18" t="n">
        <v>1</v>
      </c>
      <c r="CS200" s="9" t="n">
        <v>62.9</v>
      </c>
      <c r="CT200" s="9" t="n">
        <v>56.5</v>
      </c>
      <c r="CU200" s="9" t="n">
        <v>62.2</v>
      </c>
      <c r="CV200" s="9" t="n">
        <v>59.5</v>
      </c>
      <c r="CW200" s="11" t="n">
        <f aca="false">(CS200+CT200+CU200+CV200)/4</f>
        <v>60.275</v>
      </c>
      <c r="CX200" s="9" t="n">
        <v>0</v>
      </c>
      <c r="CY200" s="9" t="n">
        <v>0</v>
      </c>
      <c r="CZ200" s="9" t="n">
        <v>0</v>
      </c>
      <c r="DA200" s="9" t="n">
        <v>0</v>
      </c>
      <c r="DB200" s="11" t="n">
        <f aca="false">(CX200+CY200+CZ200+DA200)/4</f>
        <v>0</v>
      </c>
      <c r="DC200" s="9" t="n">
        <v>1</v>
      </c>
      <c r="DD200" s="9" t="n">
        <v>1</v>
      </c>
      <c r="DE200" s="9" t="n">
        <v>1</v>
      </c>
      <c r="DF200" s="9" t="n">
        <v>0</v>
      </c>
      <c r="DG200" s="11" t="n">
        <f aca="false">(DC200+DD200+DE200+DF200)/4</f>
        <v>0.75</v>
      </c>
      <c r="DH200" s="9" t="n">
        <v>0</v>
      </c>
      <c r="DI200" s="9" t="n">
        <v>1</v>
      </c>
      <c r="DJ200" s="9" t="n">
        <v>0</v>
      </c>
      <c r="DK200" s="9" t="n">
        <v>1</v>
      </c>
      <c r="DL200" s="11" t="n">
        <f aca="false">(DH200+DI200+DJ200+DK200)/4</f>
        <v>0.5</v>
      </c>
      <c r="DM200" s="9" t="n">
        <v>13</v>
      </c>
      <c r="DN200" s="9" t="n">
        <v>25</v>
      </c>
      <c r="DO200" s="9" t="n">
        <v>8</v>
      </c>
      <c r="DP200" s="9" t="n">
        <v>4</v>
      </c>
      <c r="DQ200" s="11" t="n">
        <f aca="false">(DM200+DN200+DO200+DP200)/4</f>
        <v>12.5</v>
      </c>
      <c r="DR200" s="9" t="n">
        <v>10</v>
      </c>
      <c r="DS200" s="9" t="n">
        <v>39</v>
      </c>
      <c r="DT200" s="9" t="n">
        <v>15</v>
      </c>
      <c r="DU200" s="9" t="n">
        <v>3</v>
      </c>
      <c r="DV200" s="11" t="n">
        <f aca="false">(DR200+DS200+DT200+DU200)/4</f>
        <v>16.75</v>
      </c>
      <c r="DW200" s="9" t="n">
        <v>0</v>
      </c>
      <c r="DX200" s="9" t="n">
        <v>0</v>
      </c>
      <c r="DY200" s="9" t="n">
        <v>0</v>
      </c>
      <c r="DZ200" s="9" t="n">
        <v>0</v>
      </c>
      <c r="EA200" s="11" t="n">
        <f aca="false">(DW200+DX200+DY200+DZ200)/4</f>
        <v>0</v>
      </c>
      <c r="EB200" s="11" t="n">
        <f aca="false">(DW200/DR200)</f>
        <v>0</v>
      </c>
      <c r="EC200" s="11" t="n">
        <f aca="false">(DX200/DS200)</f>
        <v>0</v>
      </c>
      <c r="ED200" s="11" t="n">
        <f aca="false">(DY200/DT200)</f>
        <v>0</v>
      </c>
      <c r="EE200" s="11" t="n">
        <f aca="false">(DZ200/DU200)</f>
        <v>0</v>
      </c>
      <c r="EF200" s="11" t="n">
        <f aca="false">(EA200/DV200)</f>
        <v>0</v>
      </c>
      <c r="EG200" s="11" t="n">
        <f aca="false">(100*EF200)</f>
        <v>0</v>
      </c>
      <c r="EH200" s="9" t="n">
        <v>0</v>
      </c>
      <c r="EI200" s="9" t="n">
        <v>3</v>
      </c>
      <c r="EJ200" s="9" t="n">
        <v>1</v>
      </c>
      <c r="EK200" s="19" t="n">
        <v>5</v>
      </c>
      <c r="EL200" s="9" t="n">
        <v>0</v>
      </c>
      <c r="EM200" s="9" t="n">
        <f aca="false">(EI200+EJ200+EK200+EL200)/4</f>
        <v>2.25</v>
      </c>
      <c r="EN200" s="9" t="n">
        <f aca="false">(EI200/DR200)</f>
        <v>0.3</v>
      </c>
      <c r="EO200" s="9" t="n">
        <f aca="false">(EJ200/DS200)</f>
        <v>0.0256410256410256</v>
      </c>
      <c r="EP200" s="9" t="n">
        <f aca="false">(EK200/DT200)</f>
        <v>0.333333333333333</v>
      </c>
      <c r="EQ200" s="9" t="n">
        <f aca="false">(EL200/DU200)</f>
        <v>0</v>
      </c>
      <c r="ER200" s="9" t="n">
        <f aca="false">EM200/DV200</f>
        <v>0.134328358208955</v>
      </c>
      <c r="ES200" s="9" t="n">
        <f aca="false">(100*ER200)</f>
        <v>13.4328358208955</v>
      </c>
      <c r="ET200" s="9" t="n">
        <v>1</v>
      </c>
      <c r="EU200" s="18" t="n">
        <v>0</v>
      </c>
      <c r="EV200" s="9" t="n">
        <v>0</v>
      </c>
      <c r="EW200" s="9" t="n">
        <v>0</v>
      </c>
      <c r="EX200" s="9" t="n">
        <v>0</v>
      </c>
      <c r="EY200" s="11" t="n">
        <f aca="false">(EU200+EV200+EW200+EX200)/4</f>
        <v>0</v>
      </c>
      <c r="EZ200" s="11" t="n">
        <f aca="false">(EU200/DR200)</f>
        <v>0</v>
      </c>
      <c r="FA200" s="11" t="n">
        <f aca="false">(EV200/DS200)</f>
        <v>0</v>
      </c>
      <c r="FB200" s="11" t="n">
        <f aca="false">(EW200/DT200)</f>
        <v>0</v>
      </c>
      <c r="FC200" s="11" t="n">
        <f aca="false">(EX200/DU200)</f>
        <v>0</v>
      </c>
      <c r="FD200" s="11" t="n">
        <f aca="false">(EY200/DV200)</f>
        <v>0</v>
      </c>
      <c r="FE200" s="11" t="n">
        <f aca="false">(100*FD200)</f>
        <v>0</v>
      </c>
      <c r="FF200" s="9" t="n">
        <v>0</v>
      </c>
      <c r="FG200" s="9" t="n">
        <v>0</v>
      </c>
      <c r="FH200" s="9" t="n">
        <v>2</v>
      </c>
      <c r="FI200" s="9" t="n">
        <v>0</v>
      </c>
      <c r="FJ200" s="9" t="n">
        <v>2</v>
      </c>
      <c r="FK200" s="11" t="n">
        <f aca="false">(FG200+FH200+FI200+FJ200)/4</f>
        <v>1</v>
      </c>
      <c r="FL200" s="11" t="n">
        <f aca="false">(FG200/DR200)</f>
        <v>0</v>
      </c>
      <c r="FM200" s="11" t="n">
        <f aca="false">(FH200/DS200)</f>
        <v>0.0512820512820513</v>
      </c>
      <c r="FN200" s="11" t="n">
        <f aca="false">(FI200/DT200)</f>
        <v>0</v>
      </c>
      <c r="FO200" s="11" t="n">
        <f aca="false">(FJ200/DU200)</f>
        <v>0.666666666666667</v>
      </c>
      <c r="FP200" s="11" t="n">
        <f aca="false">(FK200/DV200)</f>
        <v>0.0597014925373134</v>
      </c>
      <c r="FQ200" s="11" t="n">
        <f aca="false">(100*FP200)</f>
        <v>5.97014925373134</v>
      </c>
      <c r="FR200" s="9" t="n">
        <v>1</v>
      </c>
      <c r="FS200" s="9" t="n">
        <v>67.4</v>
      </c>
      <c r="FT200" s="9" t="n">
        <v>54.9</v>
      </c>
      <c r="FU200" s="9" t="n">
        <v>58.5</v>
      </c>
      <c r="FV200" s="9" t="n">
        <v>56.4</v>
      </c>
      <c r="FW200" s="11" t="n">
        <f aca="false">(FS200+FT200+FU200+FV200)/4</f>
        <v>59.3</v>
      </c>
      <c r="FX200" s="9" t="n">
        <v>0</v>
      </c>
      <c r="FY200" s="9" t="n">
        <v>0</v>
      </c>
      <c r="FZ200" s="9" t="n">
        <v>0</v>
      </c>
      <c r="GA200" s="9" t="n">
        <v>0</v>
      </c>
      <c r="GB200" s="11" t="n">
        <f aca="false">(FX200+FY200+FZ200+GA200)/4</f>
        <v>0</v>
      </c>
      <c r="GC200" s="9" t="n">
        <v>1</v>
      </c>
      <c r="GD200" s="9" t="n">
        <v>0</v>
      </c>
      <c r="GE200" s="9" t="n">
        <v>0</v>
      </c>
      <c r="GF200" s="9" t="n">
        <v>1</v>
      </c>
      <c r="GG200" s="11" t="n">
        <f aca="false">(GC200+GD200+GE200+GF200)/4</f>
        <v>0.5</v>
      </c>
      <c r="GH200" s="9" t="n">
        <v>0</v>
      </c>
      <c r="GI200" s="9" t="n">
        <v>0</v>
      </c>
      <c r="GJ200" s="9" t="n">
        <v>1</v>
      </c>
      <c r="GK200" s="9" t="n">
        <v>0</v>
      </c>
      <c r="GL200" s="11" t="n">
        <f aca="false">(GH200+GI200+GJ200+GK200)/4</f>
        <v>0.25</v>
      </c>
      <c r="GM200" s="9" t="n">
        <v>10</v>
      </c>
      <c r="GN200" s="9" t="n">
        <v>27</v>
      </c>
      <c r="GO200" s="9" t="n">
        <v>35</v>
      </c>
      <c r="GP200" s="9" t="n">
        <v>22</v>
      </c>
      <c r="GQ200" s="11" t="n">
        <f aca="false">(GM200+GN200+GO200+GP200)/4</f>
        <v>23.5</v>
      </c>
      <c r="GR200" s="9" t="n">
        <v>22</v>
      </c>
      <c r="GS200" s="9" t="n">
        <v>7</v>
      </c>
      <c r="GT200" s="9" t="n">
        <v>33</v>
      </c>
      <c r="GU200" s="9" t="n">
        <v>26</v>
      </c>
      <c r="GV200" s="11" t="n">
        <f aca="false">(GR200+GS200+GT200+GU200)/4</f>
        <v>22</v>
      </c>
      <c r="GW200" s="9" t="n">
        <v>0</v>
      </c>
      <c r="GX200" s="9" t="n">
        <v>0</v>
      </c>
      <c r="GY200" s="9" t="n">
        <v>0</v>
      </c>
      <c r="GZ200" s="9" t="n">
        <v>0</v>
      </c>
      <c r="HA200" s="11" t="n">
        <f aca="false">(GW200+GX200+GY200+GZ200)/4</f>
        <v>0</v>
      </c>
      <c r="HB200" s="9" t="n">
        <f aca="false">(GW200/GR200)</f>
        <v>0</v>
      </c>
      <c r="HC200" s="9" t="n">
        <f aca="false">(GX200/GS200)</f>
        <v>0</v>
      </c>
      <c r="HD200" s="9" t="n">
        <f aca="false">(GY200/GT200)</f>
        <v>0</v>
      </c>
      <c r="HE200" s="9" t="n">
        <f aca="false">(GZ200/GU200)/4</f>
        <v>0</v>
      </c>
      <c r="HF200" s="9" t="n">
        <f aca="false">(HB200+HC200+HD200+HE200)/4</f>
        <v>0</v>
      </c>
      <c r="HG200" s="9" t="n">
        <f aca="false">(100*HF200)</f>
        <v>0</v>
      </c>
      <c r="HH200" s="18" t="n">
        <v>0</v>
      </c>
      <c r="HI200" s="9" t="n">
        <v>3</v>
      </c>
      <c r="HJ200" s="9" t="n">
        <v>0</v>
      </c>
      <c r="HK200" s="9" t="n">
        <v>0</v>
      </c>
      <c r="HL200" s="19" t="n">
        <v>2</v>
      </c>
      <c r="HM200" s="9" t="n">
        <f aca="false">(HI200+HJ200+HK200+HL200)/4</f>
        <v>1.25</v>
      </c>
      <c r="HN200" s="9" t="n">
        <f aca="false">(HI200/GR200)</f>
        <v>0.136363636363636</v>
      </c>
      <c r="HO200" s="9" t="n">
        <f aca="false">(HJ200/GS200)</f>
        <v>0</v>
      </c>
      <c r="HP200" s="9" t="n">
        <f aca="false">(HK200/GT200)</f>
        <v>0</v>
      </c>
      <c r="HQ200" s="9" t="n">
        <f aca="false">(HL200/GU200)</f>
        <v>0.0769230769230769</v>
      </c>
      <c r="HR200" s="9" t="n">
        <f aca="false">(HM200/GV200)</f>
        <v>0.0568181818181818</v>
      </c>
      <c r="HS200" s="9" t="n">
        <f aca="false">(100*HR200)</f>
        <v>5.68181818181818</v>
      </c>
      <c r="HT200" s="18" t="n">
        <v>1</v>
      </c>
      <c r="HU200" s="9" t="n">
        <v>0</v>
      </c>
      <c r="HV200" s="9" t="n">
        <v>0</v>
      </c>
      <c r="HW200" s="9" t="n">
        <v>0</v>
      </c>
      <c r="HX200" s="19" t="n">
        <v>0</v>
      </c>
      <c r="HY200" s="9" t="n">
        <f aca="false">(HU200+HV200+HW200+HX200)/4</f>
        <v>0</v>
      </c>
      <c r="HZ200" s="9" t="n">
        <f aca="false">(HU200/GR200)</f>
        <v>0</v>
      </c>
      <c r="IA200" s="9" t="n">
        <f aca="false">HV200/GS200</f>
        <v>0</v>
      </c>
      <c r="IB200" s="9" t="n">
        <f aca="false">(HW200/GT200)</f>
        <v>0</v>
      </c>
      <c r="IC200" s="9" t="n">
        <f aca="false">(HX200/GU200)</f>
        <v>0</v>
      </c>
      <c r="ID200" s="9" t="n">
        <f aca="false">(HY200/GV200)</f>
        <v>0</v>
      </c>
      <c r="IE200" s="9" t="n">
        <f aca="false">(100*ID200)</f>
        <v>0</v>
      </c>
      <c r="IF200" s="18" t="n">
        <v>0</v>
      </c>
      <c r="IG200" s="9" t="n">
        <v>0</v>
      </c>
      <c r="IH200" s="9" t="n">
        <v>0</v>
      </c>
      <c r="II200" s="19" t="n">
        <v>2</v>
      </c>
      <c r="IJ200" s="9" t="n">
        <v>0</v>
      </c>
      <c r="IK200" s="9" t="n">
        <f aca="false">(IG200+IH200+II200+IJ200)/4</f>
        <v>0.5</v>
      </c>
      <c r="IL200" s="9" t="n">
        <f aca="false">(IG200/GM200)</f>
        <v>0</v>
      </c>
      <c r="IM200" s="9" t="n">
        <f aca="false">(IH200/GN200)</f>
        <v>0</v>
      </c>
      <c r="IN200" s="9" t="n">
        <f aca="false">(II200/GO200)</f>
        <v>0.0571428571428571</v>
      </c>
      <c r="IO200" s="9" t="n">
        <f aca="false">(IJ200/GP200)</f>
        <v>0</v>
      </c>
      <c r="IP200" s="9" t="n">
        <f aca="false">(IK200/GQ200)</f>
        <v>0.0212765957446809</v>
      </c>
      <c r="IQ200" s="9" t="n">
        <f aca="false">(100*IP200)</f>
        <v>2.12765957446809</v>
      </c>
      <c r="IR200" s="18" t="n">
        <v>1</v>
      </c>
      <c r="IS200" s="9" t="n">
        <v>59.8</v>
      </c>
      <c r="IT200" s="9" t="n">
        <v>52.3</v>
      </c>
      <c r="IU200" s="19" t="n">
        <v>65.5</v>
      </c>
      <c r="IV200" s="9" t="n">
        <v>60.7</v>
      </c>
      <c r="IW200" s="9" t="n">
        <f aca="false">(IS200+IT200+IU200+IV200)/4</f>
        <v>59.575</v>
      </c>
      <c r="IX200" s="16" t="n">
        <v>45209</v>
      </c>
      <c r="IY200" s="10" t="s">
        <v>268</v>
      </c>
    </row>
    <row r="201" customFormat="false" ht="15.75" hidden="false" customHeight="true" outlineLevel="0" collapsed="false">
      <c r="A201" s="9" t="s">
        <v>370</v>
      </c>
      <c r="B201" s="10" t="s">
        <v>719</v>
      </c>
      <c r="C201" s="10" t="s">
        <v>626</v>
      </c>
      <c r="D201" s="9" t="n">
        <v>3</v>
      </c>
      <c r="E201" s="9" t="n">
        <v>67</v>
      </c>
      <c r="F201" s="10" t="s">
        <v>724</v>
      </c>
      <c r="G201" s="10" t="s">
        <v>297</v>
      </c>
      <c r="H201" s="9" t="n">
        <v>21</v>
      </c>
      <c r="I201" s="9" t="n">
        <v>11</v>
      </c>
      <c r="J201" s="12" t="s">
        <v>270</v>
      </c>
      <c r="K201" s="20"/>
      <c r="L201" s="20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 t="n">
        <v>0</v>
      </c>
      <c r="Y201" s="9" t="n">
        <v>0</v>
      </c>
      <c r="Z201" s="9" t="n">
        <v>0</v>
      </c>
      <c r="AA201" s="9" t="n">
        <v>0</v>
      </c>
      <c r="AB201" s="11" t="n">
        <f aca="false">(X201+Y201+Z201+AA201)/4</f>
        <v>0</v>
      </c>
      <c r="AC201" s="9" t="n">
        <v>1</v>
      </c>
      <c r="AD201" s="9" t="n">
        <v>0</v>
      </c>
      <c r="AE201" s="9" t="n">
        <v>0</v>
      </c>
      <c r="AF201" s="9" t="n">
        <v>1</v>
      </c>
      <c r="AG201" s="11" t="n">
        <f aca="false">(AC201+AD201+AE201+AF201)/4</f>
        <v>0.5</v>
      </c>
      <c r="AH201" s="9" t="n">
        <v>1</v>
      </c>
      <c r="AI201" s="9" t="n">
        <v>0</v>
      </c>
      <c r="AJ201" s="9" t="n">
        <v>0</v>
      </c>
      <c r="AK201" s="9" t="n">
        <v>0</v>
      </c>
      <c r="AL201" s="11" t="n">
        <f aca="false">(AH201+AI201+AJ201+AK201)/4</f>
        <v>0.25</v>
      </c>
      <c r="AM201" s="9" t="n">
        <v>8</v>
      </c>
      <c r="AN201" s="9" t="n">
        <v>0</v>
      </c>
      <c r="AO201" s="9" t="n">
        <v>0</v>
      </c>
      <c r="AP201" s="9" t="n">
        <v>3</v>
      </c>
      <c r="AQ201" s="11" t="n">
        <f aca="false">(AM201+AN201+AO201+AP201)/4</f>
        <v>2.75</v>
      </c>
      <c r="AR201" s="9" t="n">
        <v>10</v>
      </c>
      <c r="AS201" s="9" t="n">
        <v>25</v>
      </c>
      <c r="AT201" s="9" t="n">
        <v>12</v>
      </c>
      <c r="AU201" s="9" t="n">
        <v>18</v>
      </c>
      <c r="AV201" s="11" t="n">
        <f aca="false">(AR201+AS201+AT201+AU201)/4</f>
        <v>16.25</v>
      </c>
      <c r="AW201" s="9" t="n">
        <v>0</v>
      </c>
      <c r="AX201" s="9" t="n">
        <v>0</v>
      </c>
      <c r="AY201" s="9" t="n">
        <v>0</v>
      </c>
      <c r="AZ201" s="9" t="n">
        <v>0</v>
      </c>
      <c r="BA201" s="11" t="n">
        <f aca="false">(AW201+AX201+AY201+AZ201)/4</f>
        <v>0</v>
      </c>
      <c r="BB201" s="11" t="n">
        <f aca="false">(AW201/AR201)</f>
        <v>0</v>
      </c>
      <c r="BC201" s="11" t="n">
        <f aca="false">(AX201/AS201)</f>
        <v>0</v>
      </c>
      <c r="BD201" s="11" t="n">
        <f aca="false">(AY201/AT201)</f>
        <v>0</v>
      </c>
      <c r="BE201" s="11" t="n">
        <f aca="false">(AZ201/AU201)</f>
        <v>0</v>
      </c>
      <c r="BF201" s="11" t="n">
        <f aca="false">(BA201/AV201)</f>
        <v>0</v>
      </c>
      <c r="BG201" s="11" t="n">
        <f aca="false">(BF201*100)</f>
        <v>0</v>
      </c>
      <c r="BH201" s="9" t="n">
        <v>0</v>
      </c>
      <c r="BI201" s="9" t="n">
        <v>4</v>
      </c>
      <c r="BJ201" s="9" t="n">
        <v>0</v>
      </c>
      <c r="BK201" s="9" t="n">
        <v>0</v>
      </c>
      <c r="BL201" s="9" t="n">
        <v>1</v>
      </c>
      <c r="BM201" s="11" t="n">
        <f aca="false">(BI201+BJ201+BK201+BL201)/4</f>
        <v>1.25</v>
      </c>
      <c r="BN201" s="11" t="n">
        <f aca="false">(BI201/AR201)</f>
        <v>0.4</v>
      </c>
      <c r="BO201" s="11" t="n">
        <f aca="false">(BJ201/AS201)</f>
        <v>0</v>
      </c>
      <c r="BP201" s="11" t="n">
        <f aca="false">(BK201/AT201)</f>
        <v>0</v>
      </c>
      <c r="BQ201" s="11" t="n">
        <f aca="false">(BL201/AU201)</f>
        <v>0.0555555555555556</v>
      </c>
      <c r="BR201" s="11" t="n">
        <f aca="false">(BM201/AV201)</f>
        <v>0.0769230769230769</v>
      </c>
      <c r="BS201" s="11" t="n">
        <f aca="false">(100*BR201)</f>
        <v>7.69230769230769</v>
      </c>
      <c r="BT201" s="9" t="n">
        <v>1</v>
      </c>
      <c r="BU201" s="9" t="n">
        <v>0</v>
      </c>
      <c r="BV201" s="9" t="n">
        <v>0</v>
      </c>
      <c r="BW201" s="9" t="n">
        <v>0</v>
      </c>
      <c r="BX201" s="9" t="n">
        <v>0</v>
      </c>
      <c r="BY201" s="11" t="n">
        <f aca="false">(BU201+BV201+BW201+BX201)/4</f>
        <v>0</v>
      </c>
      <c r="BZ201" s="11" t="n">
        <f aca="false">(BU201/AR201)</f>
        <v>0</v>
      </c>
      <c r="CA201" s="11" t="n">
        <f aca="false">(BV201/AS201)</f>
        <v>0</v>
      </c>
      <c r="CB201" s="11" t="n">
        <f aca="false">(BW201/AT201)</f>
        <v>0</v>
      </c>
      <c r="CC201" s="11" t="n">
        <f aca="false">(BX201/AU201)</f>
        <v>0</v>
      </c>
      <c r="CD201" s="11" t="n">
        <f aca="false">(BY201/AV201)</f>
        <v>0</v>
      </c>
      <c r="CE201" s="11" t="n">
        <f aca="false">(100*CD201)</f>
        <v>0</v>
      </c>
      <c r="CF201" s="9" t="n">
        <v>0</v>
      </c>
      <c r="CG201" s="9" t="n">
        <v>1</v>
      </c>
      <c r="CH201" s="9" t="n">
        <v>0</v>
      </c>
      <c r="CI201" s="9" t="n">
        <v>0</v>
      </c>
      <c r="CJ201" s="9" t="n">
        <v>0</v>
      </c>
      <c r="CK201" s="11" t="n">
        <f aca="false">(CG201+CH201+CI201+CJ201)/4</f>
        <v>0.25</v>
      </c>
      <c r="CL201" s="11" t="n">
        <f aca="false">(CG201/AM201)</f>
        <v>0.125</v>
      </c>
      <c r="CM201" s="11" t="e">
        <f aca="false">(CH201/AN201)</f>
        <v>#DIV/0!</v>
      </c>
      <c r="CN201" s="11" t="e">
        <f aca="false">(CI201/AO201)</f>
        <v>#DIV/0!</v>
      </c>
      <c r="CO201" s="9" t="n">
        <f aca="false">(CJ201/AP201)</f>
        <v>0</v>
      </c>
      <c r="CP201" s="9" t="n">
        <f aca="false">(CK201/AQ201)</f>
        <v>0.0909090909090909</v>
      </c>
      <c r="CQ201" s="9" t="n">
        <f aca="false">(100*CP201)</f>
        <v>9.09090909090909</v>
      </c>
      <c r="CR201" s="18" t="n">
        <v>1</v>
      </c>
      <c r="CS201" s="9" t="n">
        <v>68</v>
      </c>
      <c r="CT201" s="9" t="n">
        <v>67.7</v>
      </c>
      <c r="CU201" s="9" t="n">
        <v>61.7</v>
      </c>
      <c r="CV201" s="9" t="n">
        <v>64</v>
      </c>
      <c r="CW201" s="11" t="n">
        <f aca="false">(CS201+CT201+CU201+CV201)/4</f>
        <v>65.35</v>
      </c>
      <c r="CX201" s="9" t="n">
        <v>0</v>
      </c>
      <c r="CY201" s="9" t="n">
        <v>0</v>
      </c>
      <c r="CZ201" s="9" t="n">
        <v>0</v>
      </c>
      <c r="DA201" s="9" t="n">
        <v>1</v>
      </c>
      <c r="DB201" s="11" t="n">
        <f aca="false">(CX201+CY201+CZ201+DA201)/4</f>
        <v>0.25</v>
      </c>
      <c r="DC201" s="9" t="n">
        <v>1</v>
      </c>
      <c r="DD201" s="9" t="n">
        <v>1</v>
      </c>
      <c r="DE201" s="9" t="n">
        <v>1</v>
      </c>
      <c r="DF201" s="9" t="n">
        <v>1</v>
      </c>
      <c r="DG201" s="11" t="n">
        <f aca="false">(DC201+DD201+DE201+DF201)/4</f>
        <v>1</v>
      </c>
      <c r="DH201" s="9" t="n">
        <v>0</v>
      </c>
      <c r="DI201" s="9" t="n">
        <v>0</v>
      </c>
      <c r="DJ201" s="9" t="n">
        <v>0</v>
      </c>
      <c r="DK201" s="9" t="n">
        <v>0</v>
      </c>
      <c r="DL201" s="11" t="n">
        <f aca="false">(DH201+DI201+DJ201+DK201)/4</f>
        <v>0</v>
      </c>
      <c r="DM201" s="9" t="n">
        <v>0</v>
      </c>
      <c r="DN201" s="9" t="n">
        <v>0</v>
      </c>
      <c r="DO201" s="9" t="n">
        <v>0</v>
      </c>
      <c r="DP201" s="9" t="n">
        <v>0</v>
      </c>
      <c r="DQ201" s="11" t="n">
        <f aca="false">(DM201+DN201+DO201+DP201)/4</f>
        <v>0</v>
      </c>
      <c r="DR201" s="9" t="n">
        <v>17</v>
      </c>
      <c r="DS201" s="9" t="n">
        <v>9</v>
      </c>
      <c r="DT201" s="9" t="n">
        <v>8</v>
      </c>
      <c r="DU201" s="9" t="n">
        <v>23</v>
      </c>
      <c r="DV201" s="11" t="n">
        <f aca="false">(DR201+DS201+DT201+DU201)/4</f>
        <v>14.25</v>
      </c>
      <c r="DW201" s="9" t="n">
        <v>0</v>
      </c>
      <c r="DX201" s="9" t="n">
        <v>0</v>
      </c>
      <c r="DY201" s="9" t="n">
        <v>0</v>
      </c>
      <c r="DZ201" s="9" t="n">
        <v>1</v>
      </c>
      <c r="EA201" s="11" t="n">
        <f aca="false">(DW201+DX201+DY201+DZ201)/4</f>
        <v>0.25</v>
      </c>
      <c r="EB201" s="11" t="n">
        <f aca="false">(DW201/DR201)</f>
        <v>0</v>
      </c>
      <c r="EC201" s="11" t="n">
        <f aca="false">(DX201/DS201)</f>
        <v>0</v>
      </c>
      <c r="ED201" s="11" t="n">
        <f aca="false">(DY201/DT201)</f>
        <v>0</v>
      </c>
      <c r="EE201" s="11" t="n">
        <f aca="false">(DZ201/DU201)</f>
        <v>0.0434782608695652</v>
      </c>
      <c r="EF201" s="11" t="n">
        <f aca="false">(EA201/DV201)</f>
        <v>0.0175438596491228</v>
      </c>
      <c r="EG201" s="11" t="n">
        <f aca="false">(100*EF201)</f>
        <v>1.75438596491228</v>
      </c>
      <c r="EH201" s="9" t="n">
        <v>1</v>
      </c>
      <c r="EI201" s="9" t="n">
        <v>1</v>
      </c>
      <c r="EJ201" s="9" t="n">
        <v>5</v>
      </c>
      <c r="EK201" s="19" t="n">
        <v>2</v>
      </c>
      <c r="EL201" s="9" t="n">
        <v>5</v>
      </c>
      <c r="EM201" s="9" t="n">
        <f aca="false">(EI201+EJ201+EK201+EL201)/4</f>
        <v>3.25</v>
      </c>
      <c r="EN201" s="9" t="n">
        <f aca="false">(EI201/DR201)</f>
        <v>0.0588235294117647</v>
      </c>
      <c r="EO201" s="9" t="n">
        <f aca="false">(EJ201/DS201)</f>
        <v>0.555555555555556</v>
      </c>
      <c r="EP201" s="9" t="n">
        <f aca="false">(EK201/DT201)</f>
        <v>0.25</v>
      </c>
      <c r="EQ201" s="9" t="n">
        <f aca="false">(EL201/DU201)</f>
        <v>0.217391304347826</v>
      </c>
      <c r="ER201" s="9" t="n">
        <f aca="false">EM201/DV201</f>
        <v>0.228070175438596</v>
      </c>
      <c r="ES201" s="9" t="n">
        <f aca="false">(100*ER201)</f>
        <v>22.8070175438596</v>
      </c>
      <c r="ET201" s="9" t="n">
        <v>2</v>
      </c>
      <c r="EU201" s="18" t="n">
        <v>0</v>
      </c>
      <c r="EV201" s="9" t="n">
        <v>0</v>
      </c>
      <c r="EW201" s="9" t="n">
        <v>0</v>
      </c>
      <c r="EX201" s="9" t="n">
        <v>0</v>
      </c>
      <c r="EY201" s="11" t="n">
        <f aca="false">(EU201+EV201+EW201+EX201)/4</f>
        <v>0</v>
      </c>
      <c r="EZ201" s="11" t="n">
        <f aca="false">(EU201/DR201)</f>
        <v>0</v>
      </c>
      <c r="FA201" s="11" t="n">
        <f aca="false">(EV201/DS201)</f>
        <v>0</v>
      </c>
      <c r="FB201" s="11" t="n">
        <f aca="false">(EW201/DT201)</f>
        <v>0</v>
      </c>
      <c r="FC201" s="11" t="n">
        <f aca="false">(EX201/DU201)</f>
        <v>0</v>
      </c>
      <c r="FD201" s="11" t="n">
        <f aca="false">(EY201/DV201)</f>
        <v>0</v>
      </c>
      <c r="FE201" s="11" t="n">
        <f aca="false">(100*FD201)</f>
        <v>0</v>
      </c>
      <c r="FF201" s="9" t="n">
        <v>0</v>
      </c>
      <c r="FG201" s="9" t="n">
        <v>0</v>
      </c>
      <c r="FH201" s="9" t="n">
        <v>0</v>
      </c>
      <c r="FI201" s="9" t="n">
        <v>0</v>
      </c>
      <c r="FJ201" s="9" t="n">
        <v>0</v>
      </c>
      <c r="FK201" s="11" t="n">
        <f aca="false">(FG201+FH201+FI201+FJ201)/4</f>
        <v>0</v>
      </c>
      <c r="FL201" s="11" t="n">
        <f aca="false">(FG201/DR201)</f>
        <v>0</v>
      </c>
      <c r="FM201" s="11" t="n">
        <f aca="false">(FH201/DS201)</f>
        <v>0</v>
      </c>
      <c r="FN201" s="11" t="n">
        <f aca="false">(FI201/DT201)</f>
        <v>0</v>
      </c>
      <c r="FO201" s="11" t="n">
        <f aca="false">(FJ201/DU201)</f>
        <v>0</v>
      </c>
      <c r="FP201" s="11" t="n">
        <f aca="false">(FK201/DV201)</f>
        <v>0</v>
      </c>
      <c r="FQ201" s="11" t="n">
        <f aca="false">(100*FP201)</f>
        <v>0</v>
      </c>
      <c r="FR201" s="9" t="n">
        <v>0</v>
      </c>
      <c r="FS201" s="9" t="n">
        <v>66</v>
      </c>
      <c r="FT201" s="9" t="n">
        <v>58.4</v>
      </c>
      <c r="FU201" s="9" t="n">
        <v>66</v>
      </c>
      <c r="FV201" s="9" t="n">
        <v>70.5</v>
      </c>
      <c r="FW201" s="11" t="n">
        <f aca="false">(FS201+FT201+FU201+FV201)/4</f>
        <v>65.225</v>
      </c>
      <c r="FX201" s="9" t="n">
        <v>0</v>
      </c>
      <c r="FY201" s="9" t="n">
        <v>1</v>
      </c>
      <c r="FZ201" s="9" t="n">
        <v>0</v>
      </c>
      <c r="GA201" s="9" t="n">
        <v>0</v>
      </c>
      <c r="GB201" s="11" t="n">
        <f aca="false">(FX201+FY201+FZ201+GA201)/4</f>
        <v>0.25</v>
      </c>
      <c r="GC201" s="9" t="n">
        <v>0</v>
      </c>
      <c r="GD201" s="9" t="n">
        <v>0</v>
      </c>
      <c r="GE201" s="9" t="n">
        <v>0</v>
      </c>
      <c r="GF201" s="9" t="n">
        <v>1</v>
      </c>
      <c r="GG201" s="11" t="n">
        <f aca="false">(GC201+GD201+GE201+GF201)/4</f>
        <v>0.25</v>
      </c>
      <c r="GH201" s="9" t="n">
        <v>1</v>
      </c>
      <c r="GI201" s="9" t="n">
        <v>1</v>
      </c>
      <c r="GJ201" s="9" t="n">
        <v>0</v>
      </c>
      <c r="GK201" s="9" t="n">
        <v>0</v>
      </c>
      <c r="GL201" s="11" t="n">
        <f aca="false">(GH201+GI201+GJ201+GK201)/4</f>
        <v>0.5</v>
      </c>
      <c r="GM201" s="9" t="n">
        <v>3</v>
      </c>
      <c r="GN201" s="9" t="n">
        <v>1</v>
      </c>
      <c r="GO201" s="9" t="n">
        <v>0</v>
      </c>
      <c r="GP201" s="9" t="n">
        <v>0</v>
      </c>
      <c r="GQ201" s="11" t="n">
        <f aca="false">(GM201+GN201+GO201+GP201)/4</f>
        <v>1</v>
      </c>
      <c r="GR201" s="9" t="n">
        <v>9</v>
      </c>
      <c r="GS201" s="9" t="n">
        <v>17</v>
      </c>
      <c r="GT201" s="9" t="n">
        <v>18</v>
      </c>
      <c r="GU201" s="9" t="n">
        <v>19</v>
      </c>
      <c r="GV201" s="11" t="n">
        <f aca="false">(GR201+GS201+GT201+GU201)/4</f>
        <v>15.75</v>
      </c>
      <c r="GW201" s="9" t="n">
        <v>0</v>
      </c>
      <c r="GX201" s="9" t="n">
        <v>1</v>
      </c>
      <c r="GY201" s="9" t="n">
        <v>0</v>
      </c>
      <c r="GZ201" s="9" t="n">
        <v>0</v>
      </c>
      <c r="HA201" s="11" t="n">
        <f aca="false">(GW201+GX201+GY201+GZ201)/4</f>
        <v>0.25</v>
      </c>
      <c r="HB201" s="9" t="n">
        <f aca="false">(GW201/GR201)</f>
        <v>0</v>
      </c>
      <c r="HC201" s="9" t="n">
        <f aca="false">(GX201/GS201)</f>
        <v>0.0588235294117647</v>
      </c>
      <c r="HD201" s="9" t="n">
        <f aca="false">(GY201/GT201)</f>
        <v>0</v>
      </c>
      <c r="HE201" s="9" t="n">
        <f aca="false">(GZ201/GU201)/4</f>
        <v>0</v>
      </c>
      <c r="HF201" s="9" t="n">
        <f aca="false">(HB201+HC201+HD201+HE201)/4</f>
        <v>0.0147058823529412</v>
      </c>
      <c r="HG201" s="9" t="n">
        <f aca="false">(100*HF201)</f>
        <v>1.47058823529412</v>
      </c>
      <c r="HH201" s="18" t="n">
        <v>1</v>
      </c>
      <c r="HI201" s="9" t="n">
        <v>0</v>
      </c>
      <c r="HJ201" s="9" t="n">
        <v>0</v>
      </c>
      <c r="HK201" s="9" t="n">
        <v>0</v>
      </c>
      <c r="HL201" s="19" t="n">
        <v>2</v>
      </c>
      <c r="HM201" s="9" t="n">
        <f aca="false">(HI201+HJ201+HK201+HL201)/4</f>
        <v>0.5</v>
      </c>
      <c r="HN201" s="9" t="n">
        <f aca="false">(HI201/GR201)</f>
        <v>0</v>
      </c>
      <c r="HO201" s="9" t="n">
        <f aca="false">(HJ201/GS201)</f>
        <v>0</v>
      </c>
      <c r="HP201" s="9" t="n">
        <f aca="false">(HK201/GT201)</f>
        <v>0</v>
      </c>
      <c r="HQ201" s="9" t="n">
        <f aca="false">(HL201/GU201)</f>
        <v>0.105263157894737</v>
      </c>
      <c r="HR201" s="9" t="n">
        <f aca="false">(HM201/GV201)</f>
        <v>0.0317460317460317</v>
      </c>
      <c r="HS201" s="9" t="n">
        <f aca="false">(100*HR201)</f>
        <v>3.17460317460317</v>
      </c>
      <c r="HT201" s="18" t="n">
        <v>1</v>
      </c>
      <c r="HU201" s="9" t="n">
        <v>0</v>
      </c>
      <c r="HV201" s="9" t="n">
        <v>0</v>
      </c>
      <c r="HW201" s="9" t="n">
        <v>0</v>
      </c>
      <c r="HX201" s="19" t="n">
        <v>0</v>
      </c>
      <c r="HY201" s="9" t="n">
        <f aca="false">(HU201+HV201+HW201+HX201)/4</f>
        <v>0</v>
      </c>
      <c r="HZ201" s="9" t="n">
        <f aca="false">(HU201/GR201)</f>
        <v>0</v>
      </c>
      <c r="IA201" s="9" t="n">
        <f aca="false">HV201/GS201</f>
        <v>0</v>
      </c>
      <c r="IB201" s="9" t="n">
        <f aca="false">(HW201/GT201)</f>
        <v>0</v>
      </c>
      <c r="IC201" s="9" t="n">
        <f aca="false">(HX201/GU201)</f>
        <v>0</v>
      </c>
      <c r="ID201" s="9" t="n">
        <f aca="false">(HY201/GV201)</f>
        <v>0</v>
      </c>
      <c r="IE201" s="9" t="n">
        <f aca="false">(100*ID201)</f>
        <v>0</v>
      </c>
      <c r="IF201" s="18" t="n">
        <v>0</v>
      </c>
      <c r="IG201" s="9" t="n">
        <v>0</v>
      </c>
      <c r="IH201" s="9" t="n">
        <v>0</v>
      </c>
      <c r="II201" s="19" t="n">
        <v>0</v>
      </c>
      <c r="IJ201" s="9" t="n">
        <v>0</v>
      </c>
      <c r="IK201" s="9" t="n">
        <f aca="false">(IG201+IH201+II201+IJ201)/4</f>
        <v>0</v>
      </c>
      <c r="IL201" s="9" t="n">
        <f aca="false">(IG201/GM201)</f>
        <v>0</v>
      </c>
      <c r="IM201" s="9" t="n">
        <f aca="false">(IH201/GN201)</f>
        <v>0</v>
      </c>
      <c r="IN201" s="9" t="e">
        <f aca="false">(II201/GO201)</f>
        <v>#DIV/0!</v>
      </c>
      <c r="IO201" s="9" t="e">
        <f aca="false">(IJ201/GP201)</f>
        <v>#DIV/0!</v>
      </c>
      <c r="IP201" s="9" t="n">
        <f aca="false">(IK201/GQ201)</f>
        <v>0</v>
      </c>
      <c r="IQ201" s="9" t="n">
        <f aca="false">(100*IP201)</f>
        <v>0</v>
      </c>
      <c r="IR201" s="18"/>
      <c r="IS201" s="9" t="n">
        <v>65.4</v>
      </c>
      <c r="IT201" s="9" t="n">
        <v>71.5</v>
      </c>
      <c r="IU201" s="19" t="n">
        <v>66.7</v>
      </c>
      <c r="IV201" s="9" t="n">
        <v>68.9</v>
      </c>
      <c r="IW201" s="9" t="n">
        <f aca="false">(IS201+IT201+IU201+IV201)/4</f>
        <v>68.125</v>
      </c>
      <c r="IX201" s="16" t="n">
        <v>45209</v>
      </c>
      <c r="IY201" s="10" t="s">
        <v>268</v>
      </c>
    </row>
    <row r="202" customFormat="false" ht="15.75" hidden="false" customHeight="true" outlineLevel="0" collapsed="false">
      <c r="A202" s="9" t="s">
        <v>370</v>
      </c>
      <c r="B202" s="10" t="s">
        <v>719</v>
      </c>
      <c r="C202" s="10" t="s">
        <v>626</v>
      </c>
      <c r="D202" s="9" t="n">
        <v>3</v>
      </c>
      <c r="E202" s="9" t="n">
        <v>67</v>
      </c>
      <c r="F202" s="10" t="s">
        <v>725</v>
      </c>
      <c r="G202" s="10" t="s">
        <v>397</v>
      </c>
      <c r="H202" s="9" t="n">
        <v>21</v>
      </c>
      <c r="I202" s="9" t="n">
        <v>20</v>
      </c>
      <c r="J202" s="10" t="s">
        <v>272</v>
      </c>
      <c r="K202" s="20"/>
      <c r="L202" s="20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 t="n">
        <v>0</v>
      </c>
      <c r="Y202" s="9" t="n">
        <v>0</v>
      </c>
      <c r="Z202" s="9" t="n">
        <v>1</v>
      </c>
      <c r="AA202" s="9" t="n">
        <v>1</v>
      </c>
      <c r="AB202" s="11" t="n">
        <f aca="false">(X202+Y202+Z202+AA202)/4</f>
        <v>0.5</v>
      </c>
      <c r="AC202" s="9" t="n">
        <v>0</v>
      </c>
      <c r="AD202" s="9" t="n">
        <v>0</v>
      </c>
      <c r="AE202" s="9" t="n">
        <v>0</v>
      </c>
      <c r="AF202" s="9" t="n">
        <v>0</v>
      </c>
      <c r="AG202" s="11" t="n">
        <f aca="false">(AC202+AD202+AE202+AF202)/4</f>
        <v>0</v>
      </c>
      <c r="AH202" s="9" t="n">
        <v>1</v>
      </c>
      <c r="AI202" s="9" t="n">
        <v>1</v>
      </c>
      <c r="AJ202" s="9" t="n">
        <v>0</v>
      </c>
      <c r="AK202" s="9" t="n">
        <v>1</v>
      </c>
      <c r="AL202" s="11" t="n">
        <f aca="false">(AH202+AI202+AJ202+AK202)/4</f>
        <v>0.75</v>
      </c>
      <c r="AM202" s="9" t="n">
        <v>19</v>
      </c>
      <c r="AN202" s="9" t="n">
        <v>45</v>
      </c>
      <c r="AO202" s="9" t="n">
        <v>60</v>
      </c>
      <c r="AP202" s="9" t="n">
        <v>47</v>
      </c>
      <c r="AQ202" s="11" t="n">
        <f aca="false">(AM202+AN202+AO202+AP202)/4</f>
        <v>42.75</v>
      </c>
      <c r="AR202" s="9" t="n">
        <v>18</v>
      </c>
      <c r="AS202" s="9" t="n">
        <v>17</v>
      </c>
      <c r="AT202" s="9" t="n">
        <v>22</v>
      </c>
      <c r="AU202" s="9" t="n">
        <v>15</v>
      </c>
      <c r="AV202" s="11" t="n">
        <f aca="false">(AR202+AS202+AT202+AU202)/4</f>
        <v>18</v>
      </c>
      <c r="AW202" s="9" t="n">
        <v>0</v>
      </c>
      <c r="AX202" s="9" t="n">
        <v>0</v>
      </c>
      <c r="AY202" s="9" t="n">
        <v>1</v>
      </c>
      <c r="AZ202" s="9" t="n">
        <v>1</v>
      </c>
      <c r="BA202" s="11" t="n">
        <f aca="false">(AW202+AX202+AY202+AZ202)/4</f>
        <v>0.5</v>
      </c>
      <c r="BB202" s="11" t="n">
        <f aca="false">(AW202/AR202)</f>
        <v>0</v>
      </c>
      <c r="BC202" s="11" t="n">
        <f aca="false">(AX202/AS202)</f>
        <v>0</v>
      </c>
      <c r="BD202" s="11" t="n">
        <f aca="false">(AY202/AT202)</f>
        <v>0.0454545454545455</v>
      </c>
      <c r="BE202" s="11" t="n">
        <f aca="false">(AZ202/AU202)</f>
        <v>0.0666666666666667</v>
      </c>
      <c r="BF202" s="11" t="n">
        <f aca="false">(BA202/AV202)</f>
        <v>0.0277777777777778</v>
      </c>
      <c r="BG202" s="11" t="n">
        <f aca="false">(BF202*100)</f>
        <v>2.77777777777778</v>
      </c>
      <c r="BH202" s="9" t="n">
        <v>1</v>
      </c>
      <c r="BI202" s="9" t="n">
        <v>0</v>
      </c>
      <c r="BJ202" s="9" t="n">
        <v>0</v>
      </c>
      <c r="BK202" s="9" t="n">
        <v>0</v>
      </c>
      <c r="BL202" s="9" t="n">
        <v>0</v>
      </c>
      <c r="BM202" s="11" t="n">
        <f aca="false">(BI202+BJ202+BK202+BL202)/4</f>
        <v>0</v>
      </c>
      <c r="BN202" s="11" t="n">
        <f aca="false">(BI202/AR202)</f>
        <v>0</v>
      </c>
      <c r="BO202" s="11" t="n">
        <f aca="false">(BJ202/AS202)</f>
        <v>0</v>
      </c>
      <c r="BP202" s="11" t="n">
        <f aca="false">(BK202/AT202)</f>
        <v>0</v>
      </c>
      <c r="BQ202" s="11" t="n">
        <f aca="false">(BL202/AU202)</f>
        <v>0</v>
      </c>
      <c r="BR202" s="11" t="n">
        <f aca="false">(BM202/AV202)</f>
        <v>0</v>
      </c>
      <c r="BS202" s="11" t="n">
        <f aca="false">(100*BR202)</f>
        <v>0</v>
      </c>
      <c r="BT202" s="9" t="n">
        <v>0</v>
      </c>
      <c r="BU202" s="9" t="n">
        <v>1</v>
      </c>
      <c r="BV202" s="9" t="n">
        <v>0</v>
      </c>
      <c r="BW202" s="9" t="n">
        <v>0</v>
      </c>
      <c r="BX202" s="9" t="n">
        <v>2</v>
      </c>
      <c r="BY202" s="11" t="n">
        <f aca="false">(BU202+BV202+BW202+BX202)/4</f>
        <v>0.75</v>
      </c>
      <c r="BZ202" s="11" t="n">
        <f aca="false">(BU202/AR202)</f>
        <v>0.0555555555555556</v>
      </c>
      <c r="CA202" s="11" t="n">
        <f aca="false">(BV202/AS202)</f>
        <v>0</v>
      </c>
      <c r="CB202" s="11" t="n">
        <f aca="false">(BW202/AT202)</f>
        <v>0</v>
      </c>
      <c r="CC202" s="11" t="n">
        <f aca="false">(BX202/AU202)</f>
        <v>0.133333333333333</v>
      </c>
      <c r="CD202" s="11" t="n">
        <f aca="false">(BY202/AV202)</f>
        <v>0.0416666666666667</v>
      </c>
      <c r="CE202" s="11" t="n">
        <f aca="false">(100*CD202)</f>
        <v>4.16666666666667</v>
      </c>
      <c r="CF202" s="9" t="n">
        <v>1</v>
      </c>
      <c r="CG202" s="9" t="n">
        <v>0</v>
      </c>
      <c r="CH202" s="9" t="n">
        <v>5</v>
      </c>
      <c r="CI202" s="9" t="n">
        <v>0</v>
      </c>
      <c r="CJ202" s="9" t="n">
        <v>5</v>
      </c>
      <c r="CK202" s="11" t="n">
        <f aca="false">(CG202+CH202+CI202+CJ202)/4</f>
        <v>2.5</v>
      </c>
      <c r="CL202" s="11" t="n">
        <f aca="false">(CG202/AM202)</f>
        <v>0</v>
      </c>
      <c r="CM202" s="11" t="n">
        <f aca="false">(CH202/AN202)</f>
        <v>0.111111111111111</v>
      </c>
      <c r="CN202" s="11" t="n">
        <f aca="false">(CI202/AO202)</f>
        <v>0</v>
      </c>
      <c r="CO202" s="9" t="n">
        <f aca="false">(CJ202/AP202)</f>
        <v>0.106382978723404</v>
      </c>
      <c r="CP202" s="9" t="n">
        <f aca="false">(CK202/AQ202)</f>
        <v>0.0584795321637427</v>
      </c>
      <c r="CQ202" s="9" t="n">
        <f aca="false">(100*CP202)</f>
        <v>5.84795321637427</v>
      </c>
      <c r="CR202" s="18" t="n">
        <v>1</v>
      </c>
      <c r="CS202" s="9" t="n">
        <v>71.8</v>
      </c>
      <c r="CT202" s="9" t="n">
        <v>61.2</v>
      </c>
      <c r="CU202" s="9" t="n">
        <v>70.8</v>
      </c>
      <c r="CV202" s="9" t="n">
        <v>75.5</v>
      </c>
      <c r="CW202" s="11" t="n">
        <f aca="false">(CS202+CT202+CU202+CV202)/4</f>
        <v>69.825</v>
      </c>
      <c r="CX202" s="9" t="n">
        <v>0</v>
      </c>
      <c r="CY202" s="9" t="n">
        <v>0</v>
      </c>
      <c r="CZ202" s="9" t="n">
        <v>0</v>
      </c>
      <c r="DA202" s="9" t="n">
        <v>0</v>
      </c>
      <c r="DB202" s="11" t="n">
        <f aca="false">(CX202+CY202+CZ202+DA202)/4</f>
        <v>0</v>
      </c>
      <c r="DC202" s="9" t="n">
        <v>0</v>
      </c>
      <c r="DD202" s="9" t="n">
        <v>1</v>
      </c>
      <c r="DE202" s="9" t="n">
        <v>1</v>
      </c>
      <c r="DF202" s="9" t="n">
        <v>1</v>
      </c>
      <c r="DG202" s="11" t="n">
        <f aca="false">(DC202+DD202+DE202+DF202)/4</f>
        <v>0.75</v>
      </c>
      <c r="DH202" s="9" t="n">
        <v>1</v>
      </c>
      <c r="DI202" s="9" t="n">
        <v>1</v>
      </c>
      <c r="DJ202" s="9" t="n">
        <v>1</v>
      </c>
      <c r="DK202" s="9" t="n">
        <v>1</v>
      </c>
      <c r="DL202" s="11" t="n">
        <f aca="false">(DH202+DI202+DJ202+DK202)/4</f>
        <v>1</v>
      </c>
      <c r="DM202" s="9" t="n">
        <v>25</v>
      </c>
      <c r="DN202" s="9" t="n">
        <v>53</v>
      </c>
      <c r="DO202" s="9" t="n">
        <v>95</v>
      </c>
      <c r="DP202" s="9" t="n">
        <v>60</v>
      </c>
      <c r="DQ202" s="11" t="n">
        <f aca="false">(DM202+DN202+DO202+DP202)/4</f>
        <v>58.25</v>
      </c>
      <c r="DR202" s="9" t="n">
        <v>20</v>
      </c>
      <c r="DS202" s="9" t="n">
        <v>16</v>
      </c>
      <c r="DT202" s="9" t="n">
        <v>25</v>
      </c>
      <c r="DU202" s="9" t="n">
        <v>20</v>
      </c>
      <c r="DV202" s="11" t="n">
        <f aca="false">(DR202+DS202+DT202+DU202)/4</f>
        <v>20.25</v>
      </c>
      <c r="DW202" s="9" t="n">
        <v>0</v>
      </c>
      <c r="DX202" s="9" t="n">
        <v>0</v>
      </c>
      <c r="DY202" s="9" t="n">
        <v>0</v>
      </c>
      <c r="DZ202" s="9" t="n">
        <v>0</v>
      </c>
      <c r="EA202" s="11" t="n">
        <f aca="false">(DW202+DX202+DY202+DZ202)/4</f>
        <v>0</v>
      </c>
      <c r="EB202" s="11" t="n">
        <f aca="false">(DW202/DR202)</f>
        <v>0</v>
      </c>
      <c r="EC202" s="11" t="n">
        <f aca="false">(DX202/DS202)</f>
        <v>0</v>
      </c>
      <c r="ED202" s="11" t="n">
        <f aca="false">(DY202/DT202)</f>
        <v>0</v>
      </c>
      <c r="EE202" s="11" t="n">
        <f aca="false">(DZ202/DU202)</f>
        <v>0</v>
      </c>
      <c r="EF202" s="11" t="n">
        <f aca="false">(EA202/DV202)</f>
        <v>0</v>
      </c>
      <c r="EG202" s="11" t="n">
        <f aca="false">(100*EF202)</f>
        <v>0</v>
      </c>
      <c r="EH202" s="9" t="n">
        <v>0</v>
      </c>
      <c r="EI202" s="9" t="n">
        <v>0</v>
      </c>
      <c r="EJ202" s="9" t="n">
        <v>2</v>
      </c>
      <c r="EK202" s="19" t="n">
        <v>1</v>
      </c>
      <c r="EL202" s="9" t="n">
        <v>2</v>
      </c>
      <c r="EM202" s="9" t="n">
        <f aca="false">(EI202+EJ202+EK202+EL202)/4</f>
        <v>1.25</v>
      </c>
      <c r="EN202" s="9" t="n">
        <f aca="false">(EI202/DR202)</f>
        <v>0</v>
      </c>
      <c r="EO202" s="9" t="n">
        <f aca="false">(EJ202/DS202)</f>
        <v>0.125</v>
      </c>
      <c r="EP202" s="9" t="n">
        <f aca="false">(EK202/DT202)</f>
        <v>0.04</v>
      </c>
      <c r="EQ202" s="9" t="n">
        <f aca="false">(EL202/DU202)</f>
        <v>0.1</v>
      </c>
      <c r="ER202" s="9" t="n">
        <f aca="false">EM202/DV202</f>
        <v>0.0617283950617284</v>
      </c>
      <c r="ES202" s="9" t="n">
        <f aca="false">(100*ER202)</f>
        <v>6.17283950617284</v>
      </c>
      <c r="ET202" s="9" t="n">
        <v>1</v>
      </c>
      <c r="EU202" s="18" t="n">
        <v>1</v>
      </c>
      <c r="EV202" s="9" t="n">
        <v>0</v>
      </c>
      <c r="EW202" s="9" t="n">
        <v>6</v>
      </c>
      <c r="EX202" s="9" t="n">
        <v>0</v>
      </c>
      <c r="EY202" s="11" t="n">
        <f aca="false">(EU202+EV202+EW202+EX202)/4</f>
        <v>1.75</v>
      </c>
      <c r="EZ202" s="11" t="n">
        <f aca="false">(EU202/DR202)</f>
        <v>0.05</v>
      </c>
      <c r="FA202" s="11" t="n">
        <f aca="false">(EV202/DS202)</f>
        <v>0</v>
      </c>
      <c r="FB202" s="11" t="n">
        <f aca="false">(EW202/DT202)</f>
        <v>0.24</v>
      </c>
      <c r="FC202" s="11" t="n">
        <f aca="false">(EX202/DU202)</f>
        <v>0</v>
      </c>
      <c r="FD202" s="11" t="n">
        <f aca="false">(EY202/DV202)</f>
        <v>0.0864197530864198</v>
      </c>
      <c r="FE202" s="11" t="n">
        <f aca="false">(100*FD202)</f>
        <v>8.64197530864198</v>
      </c>
      <c r="FF202" s="9" t="n">
        <v>1</v>
      </c>
      <c r="FG202" s="9" t="n">
        <v>3</v>
      </c>
      <c r="FH202" s="9" t="n">
        <v>3</v>
      </c>
      <c r="FI202" s="9" t="n">
        <v>10</v>
      </c>
      <c r="FJ202" s="9" t="n">
        <v>2</v>
      </c>
      <c r="FK202" s="11" t="n">
        <f aca="false">(FG202+FH202+FI202+FJ202)/4</f>
        <v>4.5</v>
      </c>
      <c r="FL202" s="11" t="n">
        <f aca="false">(FG202/DR202)</f>
        <v>0.15</v>
      </c>
      <c r="FM202" s="11" t="n">
        <f aca="false">(FH202/DS202)</f>
        <v>0.1875</v>
      </c>
      <c r="FN202" s="11" t="n">
        <f aca="false">(FI202/DT202)</f>
        <v>0.4</v>
      </c>
      <c r="FO202" s="11" t="n">
        <f aca="false">(FJ202/DU202)</f>
        <v>0.1</v>
      </c>
      <c r="FP202" s="11" t="n">
        <f aca="false">(FK202/DV202)</f>
        <v>0.222222222222222</v>
      </c>
      <c r="FQ202" s="11" t="n">
        <f aca="false">(100*FP202)</f>
        <v>22.2222222222222</v>
      </c>
      <c r="FR202" s="9" t="n">
        <v>2</v>
      </c>
      <c r="FS202" s="9" t="n">
        <v>69.6</v>
      </c>
      <c r="FT202" s="9" t="n">
        <v>59.2</v>
      </c>
      <c r="FU202" s="9" t="n">
        <v>64.9</v>
      </c>
      <c r="FV202" s="9" t="n">
        <v>70.7</v>
      </c>
      <c r="FW202" s="11" t="n">
        <f aca="false">(FS202+FT202+FU202+FV202)/4</f>
        <v>66.1</v>
      </c>
      <c r="FX202" s="9" t="n">
        <v>0</v>
      </c>
      <c r="FY202" s="9" t="n">
        <v>0</v>
      </c>
      <c r="FZ202" s="9" t="n">
        <v>0</v>
      </c>
      <c r="GA202" s="9" t="n">
        <v>0</v>
      </c>
      <c r="GB202" s="11" t="n">
        <f aca="false">(FX202+FY202+FZ202+GA202)/4</f>
        <v>0</v>
      </c>
      <c r="GC202" s="9" t="n">
        <v>1</v>
      </c>
      <c r="GD202" s="9" t="n">
        <v>0</v>
      </c>
      <c r="GE202" s="9" t="n">
        <v>1</v>
      </c>
      <c r="GF202" s="9" t="n">
        <v>1</v>
      </c>
      <c r="GG202" s="11" t="n">
        <f aca="false">(GC202+GD202+GE202+GF202)/4</f>
        <v>0.75</v>
      </c>
      <c r="GH202" s="9" t="n">
        <v>1</v>
      </c>
      <c r="GI202" s="9" t="n">
        <v>1</v>
      </c>
      <c r="GJ202" s="9" t="n">
        <v>1</v>
      </c>
      <c r="GK202" s="9" t="n">
        <v>1</v>
      </c>
      <c r="GL202" s="11" t="n">
        <f aca="false">(GH202+GI202+GJ202+GK202)/4</f>
        <v>1</v>
      </c>
      <c r="GM202" s="9" t="n">
        <v>67</v>
      </c>
      <c r="GN202" s="9" t="n">
        <v>42</v>
      </c>
      <c r="GO202" s="9" t="n">
        <v>32</v>
      </c>
      <c r="GP202" s="9" t="n">
        <v>65</v>
      </c>
      <c r="GQ202" s="11" t="n">
        <f aca="false">(GM202+GN202+GO202+GP202)/4</f>
        <v>51.5</v>
      </c>
      <c r="GR202" s="9" t="n">
        <v>21</v>
      </c>
      <c r="GS202" s="9" t="n">
        <v>42</v>
      </c>
      <c r="GT202" s="9" t="n">
        <v>23</v>
      </c>
      <c r="GU202" s="9" t="n">
        <v>22</v>
      </c>
      <c r="GV202" s="11" t="n">
        <f aca="false">(GR202+GS202+GT202+GU202)/4</f>
        <v>27</v>
      </c>
      <c r="GW202" s="9" t="n">
        <v>0</v>
      </c>
      <c r="GX202" s="9" t="n">
        <v>0</v>
      </c>
      <c r="GY202" s="9" t="n">
        <v>0</v>
      </c>
      <c r="GZ202" s="9" t="n">
        <v>0</v>
      </c>
      <c r="HA202" s="11" t="n">
        <f aca="false">(GW202+GX202+GY202+GZ202)/4</f>
        <v>0</v>
      </c>
      <c r="HB202" s="9" t="n">
        <f aca="false">(GW202/GR202)</f>
        <v>0</v>
      </c>
      <c r="HC202" s="9" t="n">
        <f aca="false">(GX202/GS202)</f>
        <v>0</v>
      </c>
      <c r="HD202" s="9" t="n">
        <f aca="false">(GY202/GT202)</f>
        <v>0</v>
      </c>
      <c r="HE202" s="9" t="n">
        <f aca="false">(GZ202/GU202)/4</f>
        <v>0</v>
      </c>
      <c r="HF202" s="9" t="n">
        <f aca="false">(HB202+HC202+HD202+HE202)/4</f>
        <v>0</v>
      </c>
      <c r="HG202" s="9" t="n">
        <f aca="false">(100*HF202)</f>
        <v>0</v>
      </c>
      <c r="HH202" s="18" t="n">
        <v>0</v>
      </c>
      <c r="HI202" s="9" t="n">
        <v>1</v>
      </c>
      <c r="HJ202" s="9" t="n">
        <v>0</v>
      </c>
      <c r="HK202" s="9" t="n">
        <v>2</v>
      </c>
      <c r="HL202" s="19" t="n">
        <v>1</v>
      </c>
      <c r="HM202" s="9" t="n">
        <f aca="false">(HI202+HJ202+HK202+HL202)/4</f>
        <v>1</v>
      </c>
      <c r="HN202" s="9" t="n">
        <f aca="false">(HI202/GR202)</f>
        <v>0.0476190476190476</v>
      </c>
      <c r="HO202" s="9" t="n">
        <f aca="false">(HJ202/GS202)</f>
        <v>0</v>
      </c>
      <c r="HP202" s="9" t="n">
        <f aca="false">(HK202/GT202)</f>
        <v>0.0869565217391304</v>
      </c>
      <c r="HQ202" s="9" t="n">
        <f aca="false">(HL202/GU202)</f>
        <v>0.0454545454545455</v>
      </c>
      <c r="HR202" s="9" t="n">
        <f aca="false">(HM202/GV202)</f>
        <v>0.037037037037037</v>
      </c>
      <c r="HS202" s="9" t="n">
        <f aca="false">(100*HR202)</f>
        <v>3.7037037037037</v>
      </c>
      <c r="HT202" s="18" t="n">
        <v>1</v>
      </c>
      <c r="HU202" s="9" t="n">
        <v>0</v>
      </c>
      <c r="HV202" s="9" t="n">
        <v>3</v>
      </c>
      <c r="HW202" s="9" t="n">
        <v>0</v>
      </c>
      <c r="HX202" s="19" t="n">
        <v>0</v>
      </c>
      <c r="HY202" s="9" t="n">
        <f aca="false">(HU202+HV202+HW202+HX202)/4</f>
        <v>0.75</v>
      </c>
      <c r="HZ202" s="9" t="n">
        <f aca="false">(HU202/GR202)</f>
        <v>0</v>
      </c>
      <c r="IA202" s="9" t="n">
        <f aca="false">HV202/GS202</f>
        <v>0.0714285714285714</v>
      </c>
      <c r="IB202" s="9" t="n">
        <f aca="false">(HW202/GT202)</f>
        <v>0</v>
      </c>
      <c r="IC202" s="9" t="n">
        <f aca="false">(HX202/GU202)</f>
        <v>0</v>
      </c>
      <c r="ID202" s="9" t="n">
        <f aca="false">(HY202/GV202)</f>
        <v>0.0277777777777778</v>
      </c>
      <c r="IE202" s="9" t="n">
        <f aca="false">(100*ID202)</f>
        <v>2.77777777777778</v>
      </c>
      <c r="IF202" s="18" t="n">
        <v>1</v>
      </c>
      <c r="IG202" s="9" t="n">
        <v>1</v>
      </c>
      <c r="IH202" s="9" t="n">
        <v>0</v>
      </c>
      <c r="II202" s="19" t="n">
        <v>2</v>
      </c>
      <c r="IJ202" s="9" t="n">
        <v>3</v>
      </c>
      <c r="IK202" s="9" t="n">
        <f aca="false">(IG202+IH202+II202+IJ202)/4</f>
        <v>1.5</v>
      </c>
      <c r="IL202" s="9" t="n">
        <f aca="false">(IG202/GM202)</f>
        <v>0.0149253731343284</v>
      </c>
      <c r="IM202" s="9" t="n">
        <f aca="false">(IH202/GN202)</f>
        <v>0</v>
      </c>
      <c r="IN202" s="9" t="n">
        <f aca="false">(II202/GO202)</f>
        <v>0.0625</v>
      </c>
      <c r="IO202" s="9" t="n">
        <f aca="false">(IJ202/GP202)</f>
        <v>0.0461538461538462</v>
      </c>
      <c r="IP202" s="9" t="n">
        <f aca="false">(IK202/GQ202)</f>
        <v>0.029126213592233</v>
      </c>
      <c r="IQ202" s="9" t="n">
        <f aca="false">(100*IP202)</f>
        <v>2.9126213592233</v>
      </c>
      <c r="IR202" s="18" t="n">
        <v>1</v>
      </c>
      <c r="IS202" s="9" t="n">
        <v>77.3</v>
      </c>
      <c r="IT202" s="9" t="n">
        <v>74.6</v>
      </c>
      <c r="IU202" s="19" t="n">
        <v>69.9</v>
      </c>
      <c r="IV202" s="9" t="n">
        <v>70.5</v>
      </c>
      <c r="IW202" s="9" t="n">
        <f aca="false">(IS202+IT202+IU202+IV202)/4</f>
        <v>73.075</v>
      </c>
      <c r="IX202" s="16" t="n">
        <v>45209</v>
      </c>
      <c r="IY202" s="10" t="s">
        <v>268</v>
      </c>
    </row>
    <row r="203" customFormat="false" ht="15.75" hidden="false" customHeight="true" outlineLevel="0" collapsed="false">
      <c r="A203" s="9" t="s">
        <v>259</v>
      </c>
      <c r="B203" s="10" t="s">
        <v>726</v>
      </c>
      <c r="C203" s="10" t="s">
        <v>727</v>
      </c>
      <c r="D203" s="9" t="n">
        <v>1</v>
      </c>
      <c r="E203" s="9" t="n">
        <v>68</v>
      </c>
      <c r="F203" s="10" t="s">
        <v>728</v>
      </c>
      <c r="G203" s="10" t="s">
        <v>320</v>
      </c>
      <c r="H203" s="9" t="n">
        <v>21</v>
      </c>
      <c r="I203" s="9" t="n">
        <v>3</v>
      </c>
      <c r="J203" s="12" t="s">
        <v>264</v>
      </c>
      <c r="K203" s="13" t="s">
        <v>729</v>
      </c>
      <c r="L203" s="13" t="s">
        <v>730</v>
      </c>
      <c r="M203" s="14" t="n">
        <v>1309</v>
      </c>
      <c r="N203" s="15" t="n">
        <v>45135</v>
      </c>
      <c r="O203" s="10" t="s">
        <v>267</v>
      </c>
      <c r="P203" s="9"/>
      <c r="Q203" s="9" t="n">
        <v>53.82</v>
      </c>
      <c r="R203" s="9" t="n">
        <v>15</v>
      </c>
      <c r="S203" s="9" t="n">
        <v>-10</v>
      </c>
      <c r="T203" s="9" t="n">
        <v>140</v>
      </c>
      <c r="U203" s="9"/>
      <c r="V203" s="9" t="n">
        <v>3.31</v>
      </c>
      <c r="W203" s="9"/>
      <c r="X203" s="9" t="n">
        <v>0</v>
      </c>
      <c r="Y203" s="9" t="n">
        <v>0</v>
      </c>
      <c r="Z203" s="9" t="n">
        <v>0</v>
      </c>
      <c r="AA203" s="9" t="n">
        <v>0</v>
      </c>
      <c r="AB203" s="11" t="n">
        <f aca="false">(X203+Y203+Z203+AA203)/4</f>
        <v>0</v>
      </c>
      <c r="AC203" s="9" t="n">
        <v>1</v>
      </c>
      <c r="AD203" s="9" t="n">
        <v>0</v>
      </c>
      <c r="AE203" s="9" t="n">
        <v>0</v>
      </c>
      <c r="AF203" s="9" t="n">
        <v>0</v>
      </c>
      <c r="AG203" s="11" t="n">
        <f aca="false">(AC203+AD203+AE203+AF203)/4</f>
        <v>0.25</v>
      </c>
      <c r="AH203" s="9" t="n">
        <v>0</v>
      </c>
      <c r="AI203" s="9" t="n">
        <v>0</v>
      </c>
      <c r="AJ203" s="9" t="n">
        <v>0</v>
      </c>
      <c r="AK203" s="9" t="n">
        <v>0</v>
      </c>
      <c r="AL203" s="11" t="n">
        <f aca="false">(AH203+AI203+AJ203+AK203)/4</f>
        <v>0</v>
      </c>
      <c r="AM203" s="9" t="n">
        <v>4</v>
      </c>
      <c r="AN203" s="9" t="n">
        <v>0</v>
      </c>
      <c r="AO203" s="9" t="n">
        <v>0</v>
      </c>
      <c r="AP203" s="9" t="n">
        <v>3</v>
      </c>
      <c r="AQ203" s="11" t="n">
        <f aca="false">(AM203+AN203+AO203+AP203)/4</f>
        <v>1.75</v>
      </c>
      <c r="AR203" s="9" t="n">
        <v>14</v>
      </c>
      <c r="AS203" s="9" t="n">
        <v>5</v>
      </c>
      <c r="AT203" s="9" t="n">
        <v>8</v>
      </c>
      <c r="AU203" s="9" t="n">
        <v>18</v>
      </c>
      <c r="AV203" s="11" t="n">
        <f aca="false">(AR203+AS203+AT203+AU203)/4</f>
        <v>11.25</v>
      </c>
      <c r="AW203" s="9" t="n">
        <v>0</v>
      </c>
      <c r="AX203" s="9" t="n">
        <v>0</v>
      </c>
      <c r="AY203" s="9" t="n">
        <v>0</v>
      </c>
      <c r="AZ203" s="9" t="n">
        <v>0</v>
      </c>
      <c r="BA203" s="11" t="n">
        <f aca="false">(AW203+AX203+AY203+AZ203)/4</f>
        <v>0</v>
      </c>
      <c r="BB203" s="11" t="n">
        <f aca="false">(AW203/AR203)</f>
        <v>0</v>
      </c>
      <c r="BC203" s="11" t="n">
        <f aca="false">(AX203/AS203)</f>
        <v>0</v>
      </c>
      <c r="BD203" s="11" t="n">
        <f aca="false">(AY203/AT203)</f>
        <v>0</v>
      </c>
      <c r="BE203" s="11" t="n">
        <f aca="false">(AZ203/AU203)</f>
        <v>0</v>
      </c>
      <c r="BF203" s="11" t="n">
        <f aca="false">(BA203/AV203)</f>
        <v>0</v>
      </c>
      <c r="BG203" s="11" t="n">
        <f aca="false">(BF203*100)</f>
        <v>0</v>
      </c>
      <c r="BH203" s="9" t="n">
        <v>0</v>
      </c>
      <c r="BI203" s="9" t="n">
        <v>5</v>
      </c>
      <c r="BJ203" s="9" t="n">
        <v>0</v>
      </c>
      <c r="BK203" s="9" t="n">
        <v>0</v>
      </c>
      <c r="BL203" s="9" t="n">
        <v>0</v>
      </c>
      <c r="BM203" s="11" t="n">
        <f aca="false">(BI203+BJ203+BK203+BL203)/4</f>
        <v>1.25</v>
      </c>
      <c r="BN203" s="11" t="n">
        <f aca="false">(BI203/AR203)</f>
        <v>0.357142857142857</v>
      </c>
      <c r="BO203" s="11" t="n">
        <f aca="false">(BJ203/AS203)</f>
        <v>0</v>
      </c>
      <c r="BP203" s="11" t="n">
        <f aca="false">(BK203/AT203)</f>
        <v>0</v>
      </c>
      <c r="BQ203" s="11" t="n">
        <f aca="false">(BL203/AU203)</f>
        <v>0</v>
      </c>
      <c r="BR203" s="11" t="n">
        <f aca="false">(BM203/AV203)</f>
        <v>0.111111111111111</v>
      </c>
      <c r="BS203" s="11" t="n">
        <f aca="false">(100*BR203)</f>
        <v>11.1111111111111</v>
      </c>
      <c r="BT203" s="9" t="n">
        <v>2</v>
      </c>
      <c r="BU203" s="9" t="n">
        <v>0</v>
      </c>
      <c r="BV203" s="9" t="n">
        <v>0</v>
      </c>
      <c r="BW203" s="9" t="n">
        <v>0</v>
      </c>
      <c r="BX203" s="9" t="n">
        <v>0</v>
      </c>
      <c r="BY203" s="11" t="n">
        <f aca="false">(BU203+BV203+BW203+BX203)/4</f>
        <v>0</v>
      </c>
      <c r="BZ203" s="11" t="n">
        <f aca="false">(BU203/AR203)</f>
        <v>0</v>
      </c>
      <c r="CA203" s="11" t="n">
        <f aca="false">(BV203/AS203)</f>
        <v>0</v>
      </c>
      <c r="CB203" s="11" t="n">
        <f aca="false">(BW203/AT203)</f>
        <v>0</v>
      </c>
      <c r="CC203" s="11" t="n">
        <f aca="false">(BX203/AU203)</f>
        <v>0</v>
      </c>
      <c r="CD203" s="11" t="n">
        <f aca="false">(BY203/AV203)</f>
        <v>0</v>
      </c>
      <c r="CE203" s="11" t="n">
        <f aca="false">(100*CD203)</f>
        <v>0</v>
      </c>
      <c r="CF203" s="9" t="n">
        <v>0</v>
      </c>
      <c r="CG203" s="9" t="n">
        <v>0</v>
      </c>
      <c r="CH203" s="9" t="n">
        <v>0</v>
      </c>
      <c r="CI203" s="9" t="n">
        <v>0</v>
      </c>
      <c r="CJ203" s="9" t="n">
        <v>0</v>
      </c>
      <c r="CK203" s="11" t="n">
        <f aca="false">(CG203+CH203+CI203+CJ203)/4</f>
        <v>0</v>
      </c>
      <c r="CL203" s="11" t="n">
        <f aca="false">(CG203/AM203)</f>
        <v>0</v>
      </c>
      <c r="CM203" s="11" t="e">
        <f aca="false">(CH203/AN203)</f>
        <v>#DIV/0!</v>
      </c>
      <c r="CN203" s="11" t="e">
        <f aca="false">(CI203/AO203)</f>
        <v>#DIV/0!</v>
      </c>
      <c r="CO203" s="9" t="n">
        <f aca="false">(CJ203/AP203)</f>
        <v>0</v>
      </c>
      <c r="CP203" s="9" t="n">
        <f aca="false">(CK203/AQ203)</f>
        <v>0</v>
      </c>
      <c r="CQ203" s="9" t="n">
        <f aca="false">(100*CP203)</f>
        <v>0</v>
      </c>
      <c r="CR203" s="18" t="n">
        <v>0</v>
      </c>
      <c r="CS203" s="9" t="n">
        <v>68.6</v>
      </c>
      <c r="CT203" s="9" t="n">
        <v>55.7</v>
      </c>
      <c r="CU203" s="9" t="n">
        <v>65.5</v>
      </c>
      <c r="CV203" s="9" t="n">
        <v>66.5</v>
      </c>
      <c r="CW203" s="11" t="n">
        <f aca="false">(CS203+CT203+CU203+CV203)/4</f>
        <v>64.075</v>
      </c>
      <c r="CX203" s="9" t="n">
        <v>0</v>
      </c>
      <c r="CY203" s="9" t="n">
        <v>0</v>
      </c>
      <c r="CZ203" s="9" t="n">
        <v>0</v>
      </c>
      <c r="DA203" s="9" t="n">
        <v>0</v>
      </c>
      <c r="DB203" s="11" t="n">
        <f aca="false">(CX203+CY203+CZ203+DA203)/4</f>
        <v>0</v>
      </c>
      <c r="DC203" s="9" t="n">
        <v>1</v>
      </c>
      <c r="DD203" s="9" t="n">
        <v>0</v>
      </c>
      <c r="DE203" s="9" t="n">
        <v>1</v>
      </c>
      <c r="DF203" s="9" t="n">
        <v>1</v>
      </c>
      <c r="DG203" s="11" t="n">
        <f aca="false">(DC203+DD203+DE203+DF203)/4</f>
        <v>0.75</v>
      </c>
      <c r="DH203" s="9" t="n">
        <v>0</v>
      </c>
      <c r="DI203" s="9" t="n">
        <v>0</v>
      </c>
      <c r="DJ203" s="9" t="n">
        <v>0</v>
      </c>
      <c r="DK203" s="9" t="n">
        <v>0</v>
      </c>
      <c r="DL203" s="11" t="n">
        <f aca="false">(DH203+DI203+DJ203+DK203)/4</f>
        <v>0</v>
      </c>
      <c r="DM203" s="9" t="n">
        <v>33</v>
      </c>
      <c r="DN203" s="9" t="n">
        <v>86</v>
      </c>
      <c r="DO203" s="9" t="n">
        <v>74</v>
      </c>
      <c r="DP203" s="9" t="n">
        <v>45</v>
      </c>
      <c r="DQ203" s="11" t="n">
        <f aca="false">(DM203+DN203+DO203+DP203)/4</f>
        <v>59.5</v>
      </c>
      <c r="DR203" s="9" t="n">
        <v>26</v>
      </c>
      <c r="DS203" s="9" t="n">
        <v>24</v>
      </c>
      <c r="DT203" s="9" t="n">
        <v>27</v>
      </c>
      <c r="DU203" s="9" t="n">
        <v>23</v>
      </c>
      <c r="DV203" s="11" t="n">
        <f aca="false">(DR203+DS203+DT203+DU203)/4</f>
        <v>25</v>
      </c>
      <c r="DW203" s="9" t="n">
        <v>0</v>
      </c>
      <c r="DX203" s="9" t="n">
        <v>0</v>
      </c>
      <c r="DY203" s="9" t="n">
        <v>0</v>
      </c>
      <c r="DZ203" s="9" t="n">
        <v>0</v>
      </c>
      <c r="EA203" s="11" t="n">
        <f aca="false">(DW203+DX203+DY203+DZ203)/4</f>
        <v>0</v>
      </c>
      <c r="EB203" s="11" t="n">
        <f aca="false">(DW203/DR203)</f>
        <v>0</v>
      </c>
      <c r="EC203" s="11" t="n">
        <f aca="false">(DX203/DS203)</f>
        <v>0</v>
      </c>
      <c r="ED203" s="11" t="n">
        <f aca="false">(DY203/DT203)</f>
        <v>0</v>
      </c>
      <c r="EE203" s="11" t="n">
        <f aca="false">(DZ203/DU203)</f>
        <v>0</v>
      </c>
      <c r="EF203" s="11" t="n">
        <f aca="false">(EA203/DV203)</f>
        <v>0</v>
      </c>
      <c r="EG203" s="11" t="n">
        <f aca="false">(100*EF203)</f>
        <v>0</v>
      </c>
      <c r="EH203" s="9" t="n">
        <v>0</v>
      </c>
      <c r="EI203" s="9" t="n">
        <v>2</v>
      </c>
      <c r="EJ203" s="9" t="n">
        <v>0</v>
      </c>
      <c r="EK203" s="19" t="n">
        <v>1</v>
      </c>
      <c r="EL203" s="9" t="n">
        <v>3</v>
      </c>
      <c r="EM203" s="9" t="n">
        <f aca="false">(EI203+EJ203+EK203+EL203)/4</f>
        <v>1.5</v>
      </c>
      <c r="EN203" s="9" t="n">
        <f aca="false">(EI203/DR203)</f>
        <v>0.0769230769230769</v>
      </c>
      <c r="EO203" s="9" t="n">
        <f aca="false">(EJ203/DS203)</f>
        <v>0</v>
      </c>
      <c r="EP203" s="9" t="n">
        <f aca="false">(EK203/DT203)</f>
        <v>0.037037037037037</v>
      </c>
      <c r="EQ203" s="9" t="n">
        <f aca="false">(EL203/DU203)</f>
        <v>0.130434782608696</v>
      </c>
      <c r="ER203" s="9" t="n">
        <f aca="false">EM203/DV203</f>
        <v>0.06</v>
      </c>
      <c r="ES203" s="9" t="n">
        <f aca="false">(100*ER203)</f>
        <v>6</v>
      </c>
      <c r="ET203" s="9" t="n">
        <v>1</v>
      </c>
      <c r="EU203" s="18" t="n">
        <v>0</v>
      </c>
      <c r="EV203" s="9" t="n">
        <v>0</v>
      </c>
      <c r="EW203" s="9" t="n">
        <v>0</v>
      </c>
      <c r="EX203" s="9" t="n">
        <v>0</v>
      </c>
      <c r="EY203" s="11" t="n">
        <f aca="false">(EU203+EV203+EW203+EX203)/4</f>
        <v>0</v>
      </c>
      <c r="EZ203" s="11" t="n">
        <f aca="false">(EU203/DR203)</f>
        <v>0</v>
      </c>
      <c r="FA203" s="11" t="n">
        <f aca="false">(EV203/DS203)</f>
        <v>0</v>
      </c>
      <c r="FB203" s="11" t="n">
        <f aca="false">(EW203/DT203)</f>
        <v>0</v>
      </c>
      <c r="FC203" s="11" t="n">
        <f aca="false">(EX203/DU203)</f>
        <v>0</v>
      </c>
      <c r="FD203" s="11" t="n">
        <f aca="false">(EY203/DV203)</f>
        <v>0</v>
      </c>
      <c r="FE203" s="11" t="n">
        <f aca="false">(100*FD203)</f>
        <v>0</v>
      </c>
      <c r="FF203" s="9" t="n">
        <v>0</v>
      </c>
      <c r="FG203" s="9" t="n">
        <v>0</v>
      </c>
      <c r="FH203" s="9" t="n">
        <v>0</v>
      </c>
      <c r="FI203" s="9" t="n">
        <v>0</v>
      </c>
      <c r="FJ203" s="9" t="n">
        <v>0</v>
      </c>
      <c r="FK203" s="11" t="n">
        <f aca="false">(FG203+FH203+FI203+FJ203)/4</f>
        <v>0</v>
      </c>
      <c r="FL203" s="11" t="n">
        <f aca="false">(FG203/DR203)</f>
        <v>0</v>
      </c>
      <c r="FM203" s="11" t="n">
        <f aca="false">(FH203/DS203)</f>
        <v>0</v>
      </c>
      <c r="FN203" s="11" t="n">
        <f aca="false">(FI203/DT203)</f>
        <v>0</v>
      </c>
      <c r="FO203" s="11" t="n">
        <f aca="false">(FJ203/DU203)</f>
        <v>0</v>
      </c>
      <c r="FP203" s="11" t="n">
        <f aca="false">(FK203/DV203)</f>
        <v>0</v>
      </c>
      <c r="FQ203" s="11" t="n">
        <f aca="false">(100*FP203)</f>
        <v>0</v>
      </c>
      <c r="FR203" s="9" t="n">
        <v>0</v>
      </c>
      <c r="FS203" s="9" t="n">
        <v>61.4</v>
      </c>
      <c r="FT203" s="9" t="n">
        <v>69.3</v>
      </c>
      <c r="FU203" s="9" t="n">
        <v>68.7</v>
      </c>
      <c r="FV203" s="9" t="n">
        <v>70.2</v>
      </c>
      <c r="FW203" s="11" t="n">
        <f aca="false">(FS203+FT203+FU203+FV203)/4</f>
        <v>67.4</v>
      </c>
      <c r="FX203" s="9" t="n">
        <v>0</v>
      </c>
      <c r="FY203" s="9" t="n">
        <v>0</v>
      </c>
      <c r="FZ203" s="9" t="n">
        <v>0</v>
      </c>
      <c r="GA203" s="9" t="n">
        <v>0</v>
      </c>
      <c r="GB203" s="11" t="n">
        <f aca="false">(FX203+FY203+FZ203+GA203)/4</f>
        <v>0</v>
      </c>
      <c r="GC203" s="9" t="n">
        <v>1</v>
      </c>
      <c r="GD203" s="9" t="n">
        <v>0</v>
      </c>
      <c r="GE203" s="9" t="n">
        <v>0</v>
      </c>
      <c r="GF203" s="9" t="n">
        <v>1</v>
      </c>
      <c r="GG203" s="11" t="n">
        <f aca="false">(GC203+GD203+GE203+GF203)/4</f>
        <v>0.5</v>
      </c>
      <c r="GH203" s="9" t="n">
        <v>1</v>
      </c>
      <c r="GI203" s="9" t="n">
        <v>1</v>
      </c>
      <c r="GJ203" s="9" t="n">
        <v>1</v>
      </c>
      <c r="GK203" s="9" t="n">
        <v>0</v>
      </c>
      <c r="GL203" s="11" t="n">
        <f aca="false">(GH203+GI203+GJ203+GK203)/4</f>
        <v>0.75</v>
      </c>
      <c r="GM203" s="9" t="n">
        <v>52</v>
      </c>
      <c r="GN203" s="9" t="n">
        <v>73</v>
      </c>
      <c r="GO203" s="9" t="n">
        <v>93</v>
      </c>
      <c r="GP203" s="9" t="n">
        <v>84</v>
      </c>
      <c r="GQ203" s="11" t="n">
        <f aca="false">(GM203+GN203+GO203+GP203)/4</f>
        <v>75.5</v>
      </c>
      <c r="GR203" s="9" t="n">
        <v>6</v>
      </c>
      <c r="GS203" s="9" t="n">
        <v>20</v>
      </c>
      <c r="GT203" s="9" t="n">
        <v>20</v>
      </c>
      <c r="GU203" s="9" t="n">
        <v>22</v>
      </c>
      <c r="GV203" s="11" t="n">
        <f aca="false">(GR203+GS203+GT203+GU203)/4</f>
        <v>17</v>
      </c>
      <c r="GW203" s="9" t="n">
        <v>0</v>
      </c>
      <c r="GX203" s="9" t="n">
        <v>0</v>
      </c>
      <c r="GY203" s="9" t="n">
        <v>0</v>
      </c>
      <c r="GZ203" s="9" t="n">
        <v>0</v>
      </c>
      <c r="HA203" s="11" t="n">
        <f aca="false">(GW203+GX203+GY203+GZ203)/4</f>
        <v>0</v>
      </c>
      <c r="HB203" s="9" t="n">
        <f aca="false">(GW203/GR203)</f>
        <v>0</v>
      </c>
      <c r="HC203" s="9" t="n">
        <f aca="false">(GX203/GS203)</f>
        <v>0</v>
      </c>
      <c r="HD203" s="9" t="n">
        <f aca="false">(GY203/GT203)</f>
        <v>0</v>
      </c>
      <c r="HE203" s="9" t="n">
        <f aca="false">(GZ203/GU203)/4</f>
        <v>0</v>
      </c>
      <c r="HF203" s="9" t="n">
        <f aca="false">(HB203+HC203+HD203+HE203)/4</f>
        <v>0</v>
      </c>
      <c r="HG203" s="9" t="n">
        <f aca="false">(100*HF203)</f>
        <v>0</v>
      </c>
      <c r="HH203" s="18" t="n">
        <v>0</v>
      </c>
      <c r="HI203" s="9" t="n">
        <v>3</v>
      </c>
      <c r="HJ203" s="9" t="n">
        <v>0</v>
      </c>
      <c r="HK203" s="9" t="n">
        <v>0</v>
      </c>
      <c r="HL203" s="19" t="n">
        <v>2</v>
      </c>
      <c r="HM203" s="9" t="n">
        <f aca="false">(HI203+HJ203+HK203+HL203)/4</f>
        <v>1.25</v>
      </c>
      <c r="HN203" s="9" t="n">
        <f aca="false">(HI203/GR203)</f>
        <v>0.5</v>
      </c>
      <c r="HO203" s="9" t="n">
        <f aca="false">(HJ203/GS203)</f>
        <v>0</v>
      </c>
      <c r="HP203" s="9" t="n">
        <f aca="false">(HK203/GT203)</f>
        <v>0</v>
      </c>
      <c r="HQ203" s="9" t="n">
        <f aca="false">(HL203/GU203)</f>
        <v>0.0909090909090909</v>
      </c>
      <c r="HR203" s="9" t="n">
        <f aca="false">(HM203/GV203)</f>
        <v>0.0735294117647059</v>
      </c>
      <c r="HS203" s="9" t="n">
        <f aca="false">(100*HR203)</f>
        <v>7.35294117647059</v>
      </c>
      <c r="HT203" s="18" t="n">
        <v>1</v>
      </c>
      <c r="HU203" s="9" t="n">
        <v>2</v>
      </c>
      <c r="HV203" s="9" t="n">
        <v>0</v>
      </c>
      <c r="HW203" s="9" t="n">
        <v>3</v>
      </c>
      <c r="HX203" s="19" t="n">
        <v>0</v>
      </c>
      <c r="HY203" s="9" t="n">
        <f aca="false">(HU203+HV203+HW203+HX203)/4</f>
        <v>1.25</v>
      </c>
      <c r="HZ203" s="9" t="n">
        <f aca="false">(HU203/GR203)</f>
        <v>0.333333333333333</v>
      </c>
      <c r="IA203" s="9" t="n">
        <f aca="false">HV203/GS203</f>
        <v>0</v>
      </c>
      <c r="IB203" s="9" t="n">
        <f aca="false">(HW203/GT203)</f>
        <v>0.15</v>
      </c>
      <c r="IC203" s="9" t="n">
        <f aca="false">(HX203/GU203)</f>
        <v>0</v>
      </c>
      <c r="ID203" s="9" t="n">
        <f aca="false">(HY203/GV203)</f>
        <v>0.0735294117647059</v>
      </c>
      <c r="IE203" s="9" t="n">
        <f aca="false">(100*ID203)</f>
        <v>7.35294117647059</v>
      </c>
      <c r="IF203" s="18" t="n">
        <v>1</v>
      </c>
      <c r="IG203" s="9" t="n">
        <v>18</v>
      </c>
      <c r="IH203" s="9" t="n">
        <v>15</v>
      </c>
      <c r="II203" s="19" t="n">
        <v>0</v>
      </c>
      <c r="IJ203" s="9" t="n">
        <v>0</v>
      </c>
      <c r="IK203" s="9" t="n">
        <f aca="false">(IG203+IH203+II203+IJ203)/4</f>
        <v>8.25</v>
      </c>
      <c r="IL203" s="9" t="n">
        <f aca="false">(IG203/GM203)</f>
        <v>0.346153846153846</v>
      </c>
      <c r="IM203" s="9" t="n">
        <f aca="false">(IH203/GN203)</f>
        <v>0.205479452054795</v>
      </c>
      <c r="IN203" s="9" t="n">
        <f aca="false">(II203/GO203)</f>
        <v>0</v>
      </c>
      <c r="IO203" s="9" t="n">
        <f aca="false">(IJ203/GP203)</f>
        <v>0</v>
      </c>
      <c r="IP203" s="9" t="n">
        <f aca="false">(IK203/GQ203)</f>
        <v>0.109271523178808</v>
      </c>
      <c r="IQ203" s="9" t="n">
        <f aca="false">(100*IP203)</f>
        <v>10.9271523178808</v>
      </c>
      <c r="IR203" s="18" t="n">
        <v>2</v>
      </c>
      <c r="IS203" s="9" t="n">
        <v>57.5</v>
      </c>
      <c r="IT203" s="9" t="n">
        <v>62.9</v>
      </c>
      <c r="IU203" s="19" t="n">
        <v>67.3</v>
      </c>
      <c r="IV203" s="9" t="n">
        <v>66.6</v>
      </c>
      <c r="IW203" s="9" t="n">
        <f aca="false">(IS203+IT203+IU203+IV203)/4</f>
        <v>63.575</v>
      </c>
      <c r="IX203" s="16" t="n">
        <v>45203</v>
      </c>
      <c r="IY203" s="42" t="s">
        <v>268</v>
      </c>
    </row>
    <row r="204" customFormat="false" ht="15.75" hidden="false" customHeight="true" outlineLevel="0" collapsed="false">
      <c r="A204" s="9" t="s">
        <v>259</v>
      </c>
      <c r="B204" s="10" t="s">
        <v>726</v>
      </c>
      <c r="C204" s="10" t="s">
        <v>727</v>
      </c>
      <c r="D204" s="9" t="n">
        <v>1</v>
      </c>
      <c r="E204" s="9" t="n">
        <v>68</v>
      </c>
      <c r="F204" s="10" t="s">
        <v>731</v>
      </c>
      <c r="G204" s="10" t="s">
        <v>280</v>
      </c>
      <c r="H204" s="9" t="n">
        <v>21</v>
      </c>
      <c r="I204" s="9" t="n">
        <v>10</v>
      </c>
      <c r="J204" s="12" t="s">
        <v>270</v>
      </c>
      <c r="K204" s="20"/>
      <c r="L204" s="20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 t="n">
        <v>0</v>
      </c>
      <c r="Y204" s="9" t="n">
        <v>0</v>
      </c>
      <c r="Z204" s="9" t="n">
        <v>0</v>
      </c>
      <c r="AA204" s="9" t="n">
        <v>0</v>
      </c>
      <c r="AB204" s="11" t="n">
        <f aca="false">(X204+Y204+Z204+AA204)/4</f>
        <v>0</v>
      </c>
      <c r="AC204" s="9" t="n">
        <v>1</v>
      </c>
      <c r="AD204" s="9" t="n">
        <v>0</v>
      </c>
      <c r="AE204" s="9" t="n">
        <v>1</v>
      </c>
      <c r="AF204" s="9" t="n">
        <v>0</v>
      </c>
      <c r="AG204" s="11" t="n">
        <f aca="false">(AC204+AD204+AE204+AF204)/4</f>
        <v>0.5</v>
      </c>
      <c r="AH204" s="9" t="n">
        <v>0</v>
      </c>
      <c r="AI204" s="9" t="n">
        <v>1</v>
      </c>
      <c r="AJ204" s="9" t="n">
        <v>0</v>
      </c>
      <c r="AK204" s="9" t="n">
        <v>0</v>
      </c>
      <c r="AL204" s="11" t="n">
        <f aca="false">(AH204+AI204+AJ204+AK204)/4</f>
        <v>0.25</v>
      </c>
      <c r="AM204" s="9" t="n">
        <v>0</v>
      </c>
      <c r="AN204" s="9" t="n">
        <v>14</v>
      </c>
      <c r="AO204" s="9" t="n">
        <v>95</v>
      </c>
      <c r="AP204" s="9" t="n">
        <v>95</v>
      </c>
      <c r="AQ204" s="11" t="n">
        <f aca="false">(AM204+AN204+AO204+AP204)/4</f>
        <v>51</v>
      </c>
      <c r="AR204" s="9" t="n">
        <v>10</v>
      </c>
      <c r="AS204" s="9" t="n">
        <v>8</v>
      </c>
      <c r="AT204" s="9" t="n">
        <v>22</v>
      </c>
      <c r="AU204" s="9" t="n">
        <v>18</v>
      </c>
      <c r="AV204" s="11" t="n">
        <f aca="false">(AR204+AS204+AT204+AU204)/4</f>
        <v>14.5</v>
      </c>
      <c r="AW204" s="9" t="n">
        <v>0</v>
      </c>
      <c r="AX204" s="9" t="n">
        <v>0</v>
      </c>
      <c r="AY204" s="9" t="n">
        <v>0</v>
      </c>
      <c r="AZ204" s="9" t="n">
        <v>0</v>
      </c>
      <c r="BA204" s="11" t="n">
        <f aca="false">(AW204+AX204+AY204+AZ204)/4</f>
        <v>0</v>
      </c>
      <c r="BB204" s="11" t="n">
        <f aca="false">(AW204/AR204)</f>
        <v>0</v>
      </c>
      <c r="BC204" s="11" t="n">
        <f aca="false">(AX204/AS204)</f>
        <v>0</v>
      </c>
      <c r="BD204" s="11" t="n">
        <f aca="false">(AY204/AT204)</f>
        <v>0</v>
      </c>
      <c r="BE204" s="11" t="n">
        <f aca="false">(AZ204/AU204)</f>
        <v>0</v>
      </c>
      <c r="BF204" s="11" t="n">
        <f aca="false">(BA204/AV204)</f>
        <v>0</v>
      </c>
      <c r="BG204" s="11" t="n">
        <f aca="false">(BF204*100)</f>
        <v>0</v>
      </c>
      <c r="BH204" s="9" t="n">
        <v>0</v>
      </c>
      <c r="BI204" s="9" t="n">
        <v>1</v>
      </c>
      <c r="BJ204" s="9" t="n">
        <v>0</v>
      </c>
      <c r="BK204" s="9" t="n">
        <v>1</v>
      </c>
      <c r="BL204" s="9" t="n">
        <v>0</v>
      </c>
      <c r="BM204" s="11" t="n">
        <f aca="false">(BI204+BJ204+BK204+BL204)/4</f>
        <v>0.5</v>
      </c>
      <c r="BN204" s="11" t="n">
        <f aca="false">(BI204/AR204)</f>
        <v>0.1</v>
      </c>
      <c r="BO204" s="11" t="n">
        <f aca="false">(BJ204/AS204)</f>
        <v>0</v>
      </c>
      <c r="BP204" s="11" t="n">
        <f aca="false">(BK204/AT204)</f>
        <v>0.0454545454545455</v>
      </c>
      <c r="BQ204" s="11" t="n">
        <f aca="false">(BL204/AU204)</f>
        <v>0</v>
      </c>
      <c r="BR204" s="11" t="n">
        <f aca="false">(BM204/AV204)</f>
        <v>0.0344827586206897</v>
      </c>
      <c r="BS204" s="11" t="n">
        <f aca="false">(100*BR204)</f>
        <v>3.44827586206897</v>
      </c>
      <c r="BT204" s="9" t="n">
        <v>1</v>
      </c>
      <c r="BU204" s="9" t="n">
        <v>0</v>
      </c>
      <c r="BV204" s="9" t="n">
        <v>1</v>
      </c>
      <c r="BW204" s="9" t="n">
        <v>0</v>
      </c>
      <c r="BX204" s="9" t="n">
        <v>0</v>
      </c>
      <c r="BY204" s="11" t="n">
        <f aca="false">(BU204+BV204+BW204+BX204)/4</f>
        <v>0.25</v>
      </c>
      <c r="BZ204" s="11" t="n">
        <f aca="false">(BU204/AR204)</f>
        <v>0</v>
      </c>
      <c r="CA204" s="11" t="n">
        <f aca="false">(BV204/AS204)</f>
        <v>0.125</v>
      </c>
      <c r="CB204" s="11" t="n">
        <f aca="false">(BW204/AT204)</f>
        <v>0</v>
      </c>
      <c r="CC204" s="11" t="n">
        <f aca="false">(BX204/AU204)</f>
        <v>0</v>
      </c>
      <c r="CD204" s="11" t="n">
        <f aca="false">(BY204/AV204)</f>
        <v>0.0172413793103448</v>
      </c>
      <c r="CE204" s="11" t="n">
        <f aca="false">(100*CD204)</f>
        <v>1.72413793103448</v>
      </c>
      <c r="CF204" s="9" t="n">
        <v>1</v>
      </c>
      <c r="CG204" s="9" t="n">
        <v>0</v>
      </c>
      <c r="CH204" s="9" t="n">
        <v>0</v>
      </c>
      <c r="CI204" s="9" t="n">
        <v>0</v>
      </c>
      <c r="CJ204" s="9" t="n">
        <v>0</v>
      </c>
      <c r="CK204" s="11" t="n">
        <f aca="false">(CG204+CH204+CI204+CJ204)/4</f>
        <v>0</v>
      </c>
      <c r="CL204" s="11" t="e">
        <f aca="false">(CG204/AM204)</f>
        <v>#DIV/0!</v>
      </c>
      <c r="CM204" s="11" t="n">
        <f aca="false">(CH204/AN204)</f>
        <v>0</v>
      </c>
      <c r="CN204" s="11" t="n">
        <f aca="false">(CI204/AO204)</f>
        <v>0</v>
      </c>
      <c r="CO204" s="9" t="n">
        <f aca="false">(CJ204/AP204)</f>
        <v>0</v>
      </c>
      <c r="CP204" s="9" t="n">
        <f aca="false">(CK204/AQ204)</f>
        <v>0</v>
      </c>
      <c r="CQ204" s="9" t="n">
        <f aca="false">(100*CP204)</f>
        <v>0</v>
      </c>
      <c r="CR204" s="18" t="n">
        <v>0</v>
      </c>
      <c r="CS204" s="9" t="n">
        <v>64.3</v>
      </c>
      <c r="CT204" s="9" t="n">
        <v>53.3</v>
      </c>
      <c r="CU204" s="9" t="n">
        <v>67.6</v>
      </c>
      <c r="CV204" s="9" t="n">
        <v>60.5</v>
      </c>
      <c r="CW204" s="11" t="n">
        <f aca="false">(CS204+CT204+CU204+CV204)/4</f>
        <v>61.425</v>
      </c>
      <c r="CX204" s="9" t="n">
        <v>0</v>
      </c>
      <c r="CY204" s="9" t="n">
        <v>0</v>
      </c>
      <c r="CZ204" s="9" t="n">
        <v>0</v>
      </c>
      <c r="DA204" s="9" t="n">
        <v>0</v>
      </c>
      <c r="DB204" s="11" t="n">
        <f aca="false">(CX204+CY204+CZ204+DA204)/4</f>
        <v>0</v>
      </c>
      <c r="DC204" s="9" t="n">
        <v>1</v>
      </c>
      <c r="DD204" s="9" t="n">
        <v>0</v>
      </c>
      <c r="DE204" s="9" t="n">
        <v>0</v>
      </c>
      <c r="DF204" s="9" t="n">
        <v>0</v>
      </c>
      <c r="DG204" s="11" t="n">
        <f aca="false">(DC204+DD204+DE204+DF204)/4</f>
        <v>0.25</v>
      </c>
      <c r="DH204" s="9" t="n">
        <v>1</v>
      </c>
      <c r="DI204" s="9" t="n">
        <v>1</v>
      </c>
      <c r="DJ204" s="9" t="n">
        <v>1</v>
      </c>
      <c r="DK204" s="9" t="n">
        <v>1</v>
      </c>
      <c r="DL204" s="11" t="n">
        <f aca="false">(DH204+DI204+DJ204+DK204)/4</f>
        <v>1</v>
      </c>
      <c r="DM204" s="11" t="n">
        <v>248</v>
      </c>
      <c r="DN204" s="11" t="n">
        <v>135</v>
      </c>
      <c r="DO204" s="11" t="n">
        <v>34</v>
      </c>
      <c r="DP204" s="11" t="n">
        <v>192</v>
      </c>
      <c r="DQ204" s="11" t="n">
        <f aca="false">(DM204+DN204+DO204+DP204)/4</f>
        <v>152.25</v>
      </c>
      <c r="DR204" s="9" t="n">
        <v>16</v>
      </c>
      <c r="DS204" s="9" t="n">
        <v>33</v>
      </c>
      <c r="DT204" s="9" t="n">
        <v>16</v>
      </c>
      <c r="DU204" s="9" t="n">
        <v>21</v>
      </c>
      <c r="DV204" s="11" t="n">
        <f aca="false">(DR204+DS204+DT204+DU204)/4</f>
        <v>21.5</v>
      </c>
      <c r="DW204" s="9" t="n">
        <v>0</v>
      </c>
      <c r="DX204" s="9" t="n">
        <v>0</v>
      </c>
      <c r="DY204" s="9" t="n">
        <v>0</v>
      </c>
      <c r="DZ204" s="9" t="n">
        <v>0</v>
      </c>
      <c r="EA204" s="11" t="n">
        <f aca="false">(DW204+DX204+DY204+DZ204)/4</f>
        <v>0</v>
      </c>
      <c r="EB204" s="11" t="n">
        <f aca="false">(DW204/DR204)</f>
        <v>0</v>
      </c>
      <c r="EC204" s="11" t="n">
        <f aca="false">(DX204/DS204)</f>
        <v>0</v>
      </c>
      <c r="ED204" s="11" t="n">
        <f aca="false">(DY204/DT204)</f>
        <v>0</v>
      </c>
      <c r="EE204" s="11" t="n">
        <f aca="false">(DZ204/DU204)</f>
        <v>0</v>
      </c>
      <c r="EF204" s="11" t="n">
        <f aca="false">(EA204/DV204)</f>
        <v>0</v>
      </c>
      <c r="EG204" s="11" t="n">
        <f aca="false">(100*EF204)</f>
        <v>0</v>
      </c>
      <c r="EH204" s="9" t="n">
        <v>0</v>
      </c>
      <c r="EI204" s="9" t="n">
        <v>1</v>
      </c>
      <c r="EJ204" s="9" t="n">
        <v>0</v>
      </c>
      <c r="EK204" s="19" t="n">
        <v>0</v>
      </c>
      <c r="EL204" s="9" t="n">
        <v>0</v>
      </c>
      <c r="EM204" s="9" t="n">
        <f aca="false">(EI204+EJ204+EK204+EL204)/4</f>
        <v>0.25</v>
      </c>
      <c r="EN204" s="9" t="n">
        <f aca="false">(EI204/DR204)</f>
        <v>0.0625</v>
      </c>
      <c r="EO204" s="9" t="n">
        <f aca="false">(EJ204/DS204)</f>
        <v>0</v>
      </c>
      <c r="EP204" s="9" t="n">
        <f aca="false">(EK204/DT204)</f>
        <v>0</v>
      </c>
      <c r="EQ204" s="9" t="n">
        <f aca="false">(EL204/DU204)</f>
        <v>0</v>
      </c>
      <c r="ER204" s="9" t="n">
        <f aca="false">EM204/DV204</f>
        <v>0.0116279069767442</v>
      </c>
      <c r="ES204" s="9" t="n">
        <f aca="false">(100*ER204)</f>
        <v>1.16279069767442</v>
      </c>
      <c r="ET204" s="9" t="n">
        <v>1</v>
      </c>
      <c r="EU204" s="18" t="n">
        <v>0</v>
      </c>
      <c r="EV204" s="9" t="n">
        <v>0</v>
      </c>
      <c r="EW204" s="9" t="n">
        <v>0</v>
      </c>
      <c r="EX204" s="9" t="n">
        <v>2</v>
      </c>
      <c r="EY204" s="11" t="n">
        <f aca="false">(EU204+EV204+EW204+EX204)/4</f>
        <v>0.5</v>
      </c>
      <c r="EZ204" s="11" t="n">
        <f aca="false">(EU204/DR204)</f>
        <v>0</v>
      </c>
      <c r="FA204" s="11" t="n">
        <f aca="false">(EV204/DS204)</f>
        <v>0</v>
      </c>
      <c r="FB204" s="11" t="n">
        <f aca="false">(EW204/DT204)</f>
        <v>0</v>
      </c>
      <c r="FC204" s="11" t="n">
        <f aca="false">(EX204/DU204)</f>
        <v>0.0952380952380952</v>
      </c>
      <c r="FD204" s="11" t="n">
        <f aca="false">(EY204/DV204)</f>
        <v>0.0232558139534884</v>
      </c>
      <c r="FE204" s="11" t="n">
        <f aca="false">(100*FD204)</f>
        <v>2.32558139534884</v>
      </c>
      <c r="FF204" s="9" t="n">
        <v>1</v>
      </c>
      <c r="FG204" s="9" t="n">
        <v>3</v>
      </c>
      <c r="FH204" s="9" t="n">
        <v>90</v>
      </c>
      <c r="FI204" s="9" t="n">
        <v>16</v>
      </c>
      <c r="FJ204" s="9" t="n">
        <v>0</v>
      </c>
      <c r="FK204" s="11" t="n">
        <f aca="false">(FG204+FH204+FI204+FJ204)/4</f>
        <v>27.25</v>
      </c>
      <c r="FL204" s="11" t="n">
        <f aca="false">(FG204/DR204)</f>
        <v>0.1875</v>
      </c>
      <c r="FM204" s="11" t="n">
        <f aca="false">(FH204/DS204)</f>
        <v>2.72727272727273</v>
      </c>
      <c r="FN204" s="11" t="n">
        <f aca="false">(FI204/DT204)</f>
        <v>1</v>
      </c>
      <c r="FO204" s="11" t="n">
        <f aca="false">(FJ204/DU204)</f>
        <v>0</v>
      </c>
      <c r="FP204" s="11" t="n">
        <f aca="false">(FK204/DV204)</f>
        <v>1.26744186046512</v>
      </c>
      <c r="FQ204" s="11" t="n">
        <f aca="false">(100*FP204)</f>
        <v>126.744186046512</v>
      </c>
      <c r="FR204" s="9" t="n">
        <v>3</v>
      </c>
      <c r="FS204" s="9" t="n">
        <v>67</v>
      </c>
      <c r="FT204" s="9" t="n">
        <v>69.3</v>
      </c>
      <c r="FU204" s="9" t="n">
        <v>61.9</v>
      </c>
      <c r="FV204" s="9" t="n">
        <v>60.2</v>
      </c>
      <c r="FW204" s="11" t="n">
        <f aca="false">(FS204+FT204+FU204+FV204)/4</f>
        <v>64.6</v>
      </c>
      <c r="FX204" s="9" t="n">
        <v>0</v>
      </c>
      <c r="FY204" s="9" t="n">
        <v>0</v>
      </c>
      <c r="FZ204" s="9" t="n">
        <v>0</v>
      </c>
      <c r="GA204" s="9" t="n">
        <v>0</v>
      </c>
      <c r="GB204" s="11" t="n">
        <f aca="false">(FX204+FY204+FZ204+GA204)/4</f>
        <v>0</v>
      </c>
      <c r="GC204" s="9" t="n">
        <v>0</v>
      </c>
      <c r="GD204" s="9" t="n">
        <v>0</v>
      </c>
      <c r="GE204" s="9" t="n">
        <v>0</v>
      </c>
      <c r="GF204" s="9" t="n">
        <v>0</v>
      </c>
      <c r="GG204" s="11" t="n">
        <f aca="false">(GC204+GD204+GE204+GF204)/4</f>
        <v>0</v>
      </c>
      <c r="GH204" s="9" t="n">
        <v>1</v>
      </c>
      <c r="GI204" s="9" t="n">
        <v>0</v>
      </c>
      <c r="GJ204" s="9" t="n">
        <v>1</v>
      </c>
      <c r="GK204" s="9" t="n">
        <v>1</v>
      </c>
      <c r="GL204" s="11" t="n">
        <f aca="false">(GH204+GI204+GJ204+GK204)/4</f>
        <v>0.75</v>
      </c>
      <c r="GM204" s="9" t="n">
        <v>73</v>
      </c>
      <c r="GN204" s="9" t="n">
        <v>45</v>
      </c>
      <c r="GO204" s="9" t="n">
        <v>55</v>
      </c>
      <c r="GP204" s="9" t="n">
        <v>152</v>
      </c>
      <c r="GQ204" s="11" t="n">
        <f aca="false">(GM204+GN204+GO204+GP204)/4</f>
        <v>81.25</v>
      </c>
      <c r="GR204" s="9" t="n">
        <v>27</v>
      </c>
      <c r="GS204" s="9" t="n">
        <v>20</v>
      </c>
      <c r="GT204" s="9" t="n">
        <v>34</v>
      </c>
      <c r="GU204" s="9" t="n">
        <v>20</v>
      </c>
      <c r="GV204" s="11" t="n">
        <f aca="false">(GR204+GS204+GT204+GU204)/4</f>
        <v>25.25</v>
      </c>
      <c r="GW204" s="9" t="n">
        <v>0</v>
      </c>
      <c r="GX204" s="9" t="n">
        <v>0</v>
      </c>
      <c r="GY204" s="9" t="n">
        <v>0</v>
      </c>
      <c r="GZ204" s="9" t="n">
        <v>0</v>
      </c>
      <c r="HA204" s="11" t="n">
        <f aca="false">(GW204+GX204+GY204+GZ204)/4</f>
        <v>0</v>
      </c>
      <c r="HB204" s="9" t="n">
        <f aca="false">(GW204/GR204)</f>
        <v>0</v>
      </c>
      <c r="HC204" s="9" t="n">
        <f aca="false">(GX204/GS204)</f>
        <v>0</v>
      </c>
      <c r="HD204" s="9" t="n">
        <f aca="false">(GY204/GT204)</f>
        <v>0</v>
      </c>
      <c r="HE204" s="9" t="n">
        <f aca="false">(GZ204/GU204)/4</f>
        <v>0</v>
      </c>
      <c r="HF204" s="9" t="n">
        <f aca="false">(HB204+HC204+HD204+HE204)/4</f>
        <v>0</v>
      </c>
      <c r="HG204" s="9" t="n">
        <f aca="false">(100*HF204)</f>
        <v>0</v>
      </c>
      <c r="HH204" s="18" t="n">
        <v>0</v>
      </c>
      <c r="HI204" s="9" t="n">
        <v>0</v>
      </c>
      <c r="HJ204" s="9" t="n">
        <v>0</v>
      </c>
      <c r="HK204" s="9" t="n">
        <v>0</v>
      </c>
      <c r="HL204" s="19" t="n">
        <v>0</v>
      </c>
      <c r="HM204" s="9" t="n">
        <f aca="false">(HI204+HJ204+HK204+HL204)/4</f>
        <v>0</v>
      </c>
      <c r="HN204" s="9" t="n">
        <f aca="false">(HI204/GR204)</f>
        <v>0</v>
      </c>
      <c r="HO204" s="9" t="n">
        <f aca="false">(HJ204/GS204)</f>
        <v>0</v>
      </c>
      <c r="HP204" s="9" t="n">
        <f aca="false">(HK204/GT204)</f>
        <v>0</v>
      </c>
      <c r="HQ204" s="9" t="n">
        <f aca="false">(HL204/GU204)</f>
        <v>0</v>
      </c>
      <c r="HR204" s="9" t="n">
        <f aca="false">(HM204/GV204)</f>
        <v>0</v>
      </c>
      <c r="HS204" s="9" t="n">
        <f aca="false">(100*HR204)</f>
        <v>0</v>
      </c>
      <c r="HT204" s="18" t="n">
        <v>0</v>
      </c>
      <c r="HU204" s="9" t="n">
        <v>0</v>
      </c>
      <c r="HV204" s="9" t="n">
        <v>0</v>
      </c>
      <c r="HW204" s="9" t="n">
        <v>2</v>
      </c>
      <c r="HX204" s="19" t="n">
        <v>5</v>
      </c>
      <c r="HY204" s="9" t="n">
        <f aca="false">(HU204+HV204+HW204+HX204)/4</f>
        <v>1.75</v>
      </c>
      <c r="HZ204" s="9" t="n">
        <f aca="false">(HU204/GR204)</f>
        <v>0</v>
      </c>
      <c r="IA204" s="9" t="n">
        <f aca="false">HV204/GS204</f>
        <v>0</v>
      </c>
      <c r="IB204" s="9" t="n">
        <f aca="false">(HW204/GT204)</f>
        <v>0.0588235294117647</v>
      </c>
      <c r="IC204" s="9" t="n">
        <f aca="false">(HX204/GU204)</f>
        <v>0.25</v>
      </c>
      <c r="ID204" s="9" t="n">
        <f aca="false">(HY204/GV204)</f>
        <v>0.0693069306930693</v>
      </c>
      <c r="IE204" s="9" t="n">
        <f aca="false">(100*ID204)</f>
        <v>6.93069306930693</v>
      </c>
      <c r="IF204" s="18" t="n">
        <v>1</v>
      </c>
      <c r="IG204" s="9" t="n">
        <v>26</v>
      </c>
      <c r="IH204" s="9" t="n">
        <v>0</v>
      </c>
      <c r="II204" s="19" t="n">
        <v>10</v>
      </c>
      <c r="IJ204" s="9" t="n">
        <v>14</v>
      </c>
      <c r="IK204" s="9" t="n">
        <f aca="false">(IG204+IH204+II204+IJ204)/4</f>
        <v>12.5</v>
      </c>
      <c r="IL204" s="9" t="n">
        <f aca="false">(IG204/GM204)</f>
        <v>0.356164383561644</v>
      </c>
      <c r="IM204" s="9" t="n">
        <f aca="false">(IH204/GN204)</f>
        <v>0</v>
      </c>
      <c r="IN204" s="9" t="n">
        <f aca="false">(II204/GO204)</f>
        <v>0.181818181818182</v>
      </c>
      <c r="IO204" s="9" t="n">
        <f aca="false">(IJ204/GP204)</f>
        <v>0.0921052631578947</v>
      </c>
      <c r="IP204" s="9" t="n">
        <f aca="false">(IK204/GQ204)</f>
        <v>0.153846153846154</v>
      </c>
      <c r="IQ204" s="9" t="n">
        <f aca="false">(100*IP204)</f>
        <v>15.3846153846154</v>
      </c>
      <c r="IR204" s="18" t="n">
        <v>2</v>
      </c>
      <c r="IS204" s="9" t="n">
        <v>70.5</v>
      </c>
      <c r="IT204" s="9" t="n">
        <v>67.4</v>
      </c>
      <c r="IU204" s="19" t="n">
        <v>69.7</v>
      </c>
      <c r="IV204" s="9" t="n">
        <v>61.4</v>
      </c>
      <c r="IW204" s="9" t="n">
        <f aca="false">(IS204+IT204+IU204+IV204)/4</f>
        <v>67.25</v>
      </c>
      <c r="IX204" s="16" t="n">
        <v>45203</v>
      </c>
      <c r="IY204" s="42" t="s">
        <v>268</v>
      </c>
    </row>
    <row r="205" customFormat="false" ht="15.75" hidden="false" customHeight="true" outlineLevel="0" collapsed="false">
      <c r="A205" s="9" t="s">
        <v>259</v>
      </c>
      <c r="B205" s="10" t="s">
        <v>726</v>
      </c>
      <c r="C205" s="10" t="s">
        <v>727</v>
      </c>
      <c r="D205" s="9" t="n">
        <v>1</v>
      </c>
      <c r="E205" s="9" t="n">
        <v>68</v>
      </c>
      <c r="F205" s="10" t="s">
        <v>732</v>
      </c>
      <c r="G205" s="10" t="s">
        <v>275</v>
      </c>
      <c r="H205" s="9" t="n">
        <v>21</v>
      </c>
      <c r="I205" s="9" t="n">
        <v>20</v>
      </c>
      <c r="J205" s="10" t="s">
        <v>272</v>
      </c>
      <c r="K205" s="20"/>
      <c r="L205" s="20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 t="n">
        <v>0</v>
      </c>
      <c r="Y205" s="9" t="n">
        <v>0</v>
      </c>
      <c r="Z205" s="9" t="n">
        <v>0</v>
      </c>
      <c r="AA205" s="9" t="n">
        <v>0</v>
      </c>
      <c r="AB205" s="11" t="n">
        <f aca="false">(X205+Y205+Z205+AA205)/4</f>
        <v>0</v>
      </c>
      <c r="AC205" s="9" t="n">
        <v>0</v>
      </c>
      <c r="AD205" s="9" t="n">
        <v>1</v>
      </c>
      <c r="AE205" s="9" t="n">
        <v>0</v>
      </c>
      <c r="AF205" s="9" t="n">
        <v>1</v>
      </c>
      <c r="AG205" s="11" t="n">
        <f aca="false">(AC205+AD205+AE205+AF205)/4</f>
        <v>0.5</v>
      </c>
      <c r="AH205" s="9" t="n">
        <v>0</v>
      </c>
      <c r="AI205" s="9" t="n">
        <v>1</v>
      </c>
      <c r="AJ205" s="9" t="n">
        <v>1</v>
      </c>
      <c r="AK205" s="9" t="n">
        <v>1</v>
      </c>
      <c r="AL205" s="11" t="n">
        <f aca="false">(AH205+AI205+AJ205+AK205)/4</f>
        <v>0.75</v>
      </c>
      <c r="AM205" s="9" t="n">
        <v>11</v>
      </c>
      <c r="AN205" s="9" t="n">
        <v>108</v>
      </c>
      <c r="AO205" s="9" t="n">
        <v>95</v>
      </c>
      <c r="AP205" s="9" t="n">
        <v>63</v>
      </c>
      <c r="AQ205" s="11" t="n">
        <f aca="false">(AM205+AN205+AO205+AP205)/4</f>
        <v>69.25</v>
      </c>
      <c r="AR205" s="9" t="n">
        <v>4</v>
      </c>
      <c r="AS205" s="9" t="n">
        <v>2</v>
      </c>
      <c r="AT205" s="9" t="n">
        <v>0</v>
      </c>
      <c r="AU205" s="9" t="n">
        <v>3</v>
      </c>
      <c r="AV205" s="11" t="n">
        <f aca="false">(AR205+AS205+AT205+AU205)/4</f>
        <v>2.25</v>
      </c>
      <c r="AW205" s="9" t="n">
        <v>0</v>
      </c>
      <c r="AX205" s="9" t="n">
        <v>0</v>
      </c>
      <c r="AY205" s="9" t="n">
        <v>0</v>
      </c>
      <c r="AZ205" s="9" t="n">
        <v>0</v>
      </c>
      <c r="BA205" s="11" t="n">
        <f aca="false">(AW205+AX205+AY205+AZ205)/4</f>
        <v>0</v>
      </c>
      <c r="BB205" s="11" t="n">
        <f aca="false">(AW205/AR205)</f>
        <v>0</v>
      </c>
      <c r="BC205" s="11" t="n">
        <f aca="false">(AX205/AS205)</f>
        <v>0</v>
      </c>
      <c r="BD205" s="11" t="e">
        <f aca="false">(AY205/AT205)</f>
        <v>#DIV/0!</v>
      </c>
      <c r="BE205" s="11" t="n">
        <f aca="false">(AZ205/AU205)</f>
        <v>0</v>
      </c>
      <c r="BF205" s="11" t="n">
        <f aca="false">(BA205/AV205)</f>
        <v>0</v>
      </c>
      <c r="BG205" s="11" t="n">
        <f aca="false">(BF205*100)</f>
        <v>0</v>
      </c>
      <c r="BH205" s="9" t="n">
        <v>0</v>
      </c>
      <c r="BI205" s="9" t="n">
        <v>0</v>
      </c>
      <c r="BJ205" s="9" t="n">
        <v>2</v>
      </c>
      <c r="BK205" s="9" t="n">
        <v>0</v>
      </c>
      <c r="BL205" s="9" t="n">
        <v>3</v>
      </c>
      <c r="BM205" s="11" t="n">
        <f aca="false">(BI205+BJ205+BK205+BL205)/4</f>
        <v>1.25</v>
      </c>
      <c r="BN205" s="11" t="n">
        <f aca="false">(BI205/AR205)</f>
        <v>0</v>
      </c>
      <c r="BO205" s="11" t="n">
        <f aca="false">(BJ205/AS205)</f>
        <v>1</v>
      </c>
      <c r="BP205" s="11" t="e">
        <f aca="false">(BK205/AT205)</f>
        <v>#DIV/0!</v>
      </c>
      <c r="BQ205" s="11" t="n">
        <f aca="false">(BL205/AU205)</f>
        <v>1</v>
      </c>
      <c r="BR205" s="11" t="n">
        <f aca="false">(BM205/AV205)</f>
        <v>0.555555555555556</v>
      </c>
      <c r="BS205" s="11" t="n">
        <f aca="false">(100*BR205)</f>
        <v>55.5555555555556</v>
      </c>
      <c r="BT205" s="9" t="n">
        <v>3</v>
      </c>
      <c r="BU205" s="9" t="n">
        <v>0</v>
      </c>
      <c r="BV205" s="9" t="n">
        <v>0</v>
      </c>
      <c r="BW205" s="9" t="n">
        <v>0</v>
      </c>
      <c r="BX205" s="9" t="n">
        <v>0</v>
      </c>
      <c r="BY205" s="11" t="n">
        <f aca="false">(BU205+BV205+BW205+BX205)/4</f>
        <v>0</v>
      </c>
      <c r="BZ205" s="11" t="n">
        <f aca="false">(BU205/AR205)</f>
        <v>0</v>
      </c>
      <c r="CA205" s="11" t="n">
        <f aca="false">(BV205/AS205)</f>
        <v>0</v>
      </c>
      <c r="CB205" s="11" t="e">
        <f aca="false">(BW205/AT205)</f>
        <v>#DIV/0!</v>
      </c>
      <c r="CC205" s="11" t="n">
        <f aca="false">(BX205/AU205)</f>
        <v>0</v>
      </c>
      <c r="CD205" s="11" t="n">
        <f aca="false">(BY205/AV205)</f>
        <v>0</v>
      </c>
      <c r="CE205" s="11" t="n">
        <f aca="false">(100*CD205)</f>
        <v>0</v>
      </c>
      <c r="CF205" s="9" t="n">
        <v>0</v>
      </c>
      <c r="CG205" s="9" t="n">
        <v>0</v>
      </c>
      <c r="CH205" s="9" t="n">
        <v>12</v>
      </c>
      <c r="CI205" s="9" t="n">
        <v>6</v>
      </c>
      <c r="CJ205" s="9" t="n">
        <v>2</v>
      </c>
      <c r="CK205" s="11" t="n">
        <f aca="false">(CG205+CH205+CI205+CJ205)/4</f>
        <v>5</v>
      </c>
      <c r="CL205" s="11" t="n">
        <f aca="false">(CG205/AM205)</f>
        <v>0</v>
      </c>
      <c r="CM205" s="11" t="n">
        <f aca="false">(CH205/AN205)</f>
        <v>0.111111111111111</v>
      </c>
      <c r="CN205" s="11" t="n">
        <f aca="false">(CI205/AO205)</f>
        <v>0.0631578947368421</v>
      </c>
      <c r="CO205" s="9" t="n">
        <f aca="false">(CJ205/AP205)</f>
        <v>0.0317460317460317</v>
      </c>
      <c r="CP205" s="9" t="n">
        <f aca="false">(CK205/AQ205)</f>
        <v>0.072202166064982</v>
      </c>
      <c r="CQ205" s="9" t="n">
        <f aca="false">(100*CP205)</f>
        <v>7.22021660649819</v>
      </c>
      <c r="CR205" s="18" t="n">
        <v>1</v>
      </c>
      <c r="CS205" s="9" t="n">
        <v>43.8</v>
      </c>
      <c r="CT205" s="9" t="n">
        <v>50.1</v>
      </c>
      <c r="CU205" s="9" t="n">
        <v>42.6</v>
      </c>
      <c r="CV205" s="9" t="n">
        <v>44.1</v>
      </c>
      <c r="CW205" s="11" t="n">
        <f aca="false">(CS205+CT205+CU205+CV205)/4</f>
        <v>45.15</v>
      </c>
      <c r="CX205" s="9" t="n">
        <v>0</v>
      </c>
      <c r="CY205" s="9" t="n">
        <v>0</v>
      </c>
      <c r="CZ205" s="9" t="n">
        <v>0</v>
      </c>
      <c r="DA205" s="9" t="n">
        <v>0</v>
      </c>
      <c r="DB205" s="11" t="n">
        <f aca="false">(CX205+CY205+CZ205+DA205)/4</f>
        <v>0</v>
      </c>
      <c r="DC205" s="9" t="n">
        <v>1</v>
      </c>
      <c r="DD205" s="9" t="n">
        <v>1</v>
      </c>
      <c r="DE205" s="9" t="n">
        <v>1</v>
      </c>
      <c r="DF205" s="9" t="n">
        <v>1</v>
      </c>
      <c r="DG205" s="11" t="n">
        <f aca="false">(DC205+DD205+DE205+DF205)/4</f>
        <v>1</v>
      </c>
      <c r="DH205" s="9" t="n">
        <v>1</v>
      </c>
      <c r="DI205" s="9" t="n">
        <v>0</v>
      </c>
      <c r="DJ205" s="9" t="n">
        <v>0</v>
      </c>
      <c r="DK205" s="9" t="n">
        <v>1</v>
      </c>
      <c r="DL205" s="11" t="n">
        <f aca="false">(DH205+DI205+DJ205+DK205)/4</f>
        <v>0.5</v>
      </c>
      <c r="DM205" s="9" t="n">
        <v>101</v>
      </c>
      <c r="DN205" s="9" t="n">
        <v>135</v>
      </c>
      <c r="DO205" s="9" t="n">
        <v>117</v>
      </c>
      <c r="DP205" s="9" t="n">
        <v>51</v>
      </c>
      <c r="DQ205" s="11" t="n">
        <f aca="false">(DM205+DN205+DO205+DP205)/4</f>
        <v>101</v>
      </c>
      <c r="DR205" s="9" t="n">
        <v>3</v>
      </c>
      <c r="DS205" s="9" t="n">
        <v>2</v>
      </c>
      <c r="DT205" s="9" t="n">
        <v>9</v>
      </c>
      <c r="DU205" s="9" t="n">
        <v>6</v>
      </c>
      <c r="DV205" s="11" t="n">
        <f aca="false">(DR205+DS205+DT205+DU205)/4</f>
        <v>5</v>
      </c>
      <c r="DW205" s="9" t="n">
        <v>0</v>
      </c>
      <c r="DX205" s="9" t="n">
        <v>0</v>
      </c>
      <c r="DY205" s="9" t="n">
        <v>0</v>
      </c>
      <c r="DZ205" s="9" t="n">
        <v>0</v>
      </c>
      <c r="EA205" s="11" t="n">
        <f aca="false">(DW205+DX205+DY205+DZ205)/4</f>
        <v>0</v>
      </c>
      <c r="EB205" s="11" t="n">
        <f aca="false">(DW205/DR205)</f>
        <v>0</v>
      </c>
      <c r="EC205" s="11" t="n">
        <f aca="false">(DX205/DS205)</f>
        <v>0</v>
      </c>
      <c r="ED205" s="11" t="n">
        <f aca="false">(DY205/DT205)</f>
        <v>0</v>
      </c>
      <c r="EE205" s="11" t="n">
        <f aca="false">(DZ205/DU205)</f>
        <v>0</v>
      </c>
      <c r="EF205" s="11" t="n">
        <f aca="false">(EA205/DV205)</f>
        <v>0</v>
      </c>
      <c r="EG205" s="11" t="n">
        <f aca="false">(100*EF205)</f>
        <v>0</v>
      </c>
      <c r="EH205" s="9" t="n">
        <v>0</v>
      </c>
      <c r="EI205" s="9" t="n">
        <v>3</v>
      </c>
      <c r="EJ205" s="9" t="n">
        <v>2</v>
      </c>
      <c r="EK205" s="19" t="n">
        <v>5</v>
      </c>
      <c r="EL205" s="9" t="n">
        <v>3</v>
      </c>
      <c r="EM205" s="9" t="n">
        <f aca="false">(EI205+EJ205+EK205+EL205)/4</f>
        <v>3.25</v>
      </c>
      <c r="EN205" s="9" t="n">
        <f aca="false">(EI205/DR205)</f>
        <v>1</v>
      </c>
      <c r="EO205" s="9" t="n">
        <f aca="false">(EJ205/DS205)</f>
        <v>1</v>
      </c>
      <c r="EP205" s="9" t="n">
        <f aca="false">(EK205/DT205)</f>
        <v>0.555555555555556</v>
      </c>
      <c r="EQ205" s="9" t="n">
        <f aca="false">(EL205/DU205)</f>
        <v>0.5</v>
      </c>
      <c r="ER205" s="9" t="n">
        <f aca="false">EM205/DV205</f>
        <v>0.65</v>
      </c>
      <c r="ES205" s="9" t="n">
        <f aca="false">(100*ER205)</f>
        <v>65</v>
      </c>
      <c r="ET205" s="9" t="n">
        <v>3</v>
      </c>
      <c r="EU205" s="18" t="n">
        <v>0</v>
      </c>
      <c r="EV205" s="9" t="n">
        <v>0</v>
      </c>
      <c r="EW205" s="9" t="n">
        <v>0</v>
      </c>
      <c r="EX205" s="9" t="n">
        <v>0</v>
      </c>
      <c r="EY205" s="11" t="n">
        <f aca="false">(EU205+EV205+EW205+EX205)/4</f>
        <v>0</v>
      </c>
      <c r="EZ205" s="11" t="n">
        <f aca="false">(EU205/DR205)</f>
        <v>0</v>
      </c>
      <c r="FA205" s="11" t="n">
        <f aca="false">(EV205/DS205)</f>
        <v>0</v>
      </c>
      <c r="FB205" s="11" t="n">
        <f aca="false">(EW205/DT205)</f>
        <v>0</v>
      </c>
      <c r="FC205" s="11" t="n">
        <f aca="false">(EX205/DU205)</f>
        <v>0</v>
      </c>
      <c r="FD205" s="11" t="n">
        <f aca="false">(EY205/DV205)</f>
        <v>0</v>
      </c>
      <c r="FE205" s="11" t="n">
        <f aca="false">(100*FD205)</f>
        <v>0</v>
      </c>
      <c r="FF205" s="9" t="n">
        <v>0</v>
      </c>
      <c r="FG205" s="9" t="n">
        <v>4</v>
      </c>
      <c r="FH205" s="9" t="n">
        <v>0</v>
      </c>
      <c r="FI205" s="9" t="n">
        <v>0</v>
      </c>
      <c r="FJ205" s="9" t="n">
        <v>12</v>
      </c>
      <c r="FK205" s="11" t="n">
        <f aca="false">(FG205+FH205+FI205+FJ205)/4</f>
        <v>4</v>
      </c>
      <c r="FL205" s="11" t="n">
        <f aca="false">(FG205/DR205)</f>
        <v>1.33333333333333</v>
      </c>
      <c r="FM205" s="11" t="n">
        <f aca="false">(FH205/DS205)</f>
        <v>0</v>
      </c>
      <c r="FN205" s="11" t="n">
        <f aca="false">(FI205/DT205)</f>
        <v>0</v>
      </c>
      <c r="FO205" s="11" t="n">
        <f aca="false">(FJ205/DU205)</f>
        <v>2</v>
      </c>
      <c r="FP205" s="11" t="n">
        <f aca="false">(FK205/DV205)</f>
        <v>0.8</v>
      </c>
      <c r="FQ205" s="11" t="n">
        <f aca="false">(100*FP205)</f>
        <v>80</v>
      </c>
      <c r="FR205" s="9" t="n">
        <v>3</v>
      </c>
      <c r="FS205" s="9" t="n">
        <v>54</v>
      </c>
      <c r="FT205" s="9" t="n">
        <v>64.8</v>
      </c>
      <c r="FU205" s="9" t="n">
        <v>59.9</v>
      </c>
      <c r="FV205" s="9" t="n">
        <v>61.1</v>
      </c>
      <c r="FW205" s="11" t="n">
        <f aca="false">(FS205+FT205+FU205+FV205)/4</f>
        <v>59.95</v>
      </c>
      <c r="FX205" s="9" t="n">
        <v>0</v>
      </c>
      <c r="FY205" s="9" t="n">
        <v>0</v>
      </c>
      <c r="FZ205" s="9" t="n">
        <v>0</v>
      </c>
      <c r="GA205" s="9" t="n">
        <v>0</v>
      </c>
      <c r="GB205" s="11" t="n">
        <f aca="false">(FX205+FY205+FZ205+GA205)/4</f>
        <v>0</v>
      </c>
      <c r="GC205" s="9" t="n">
        <v>1</v>
      </c>
      <c r="GD205" s="9" t="n">
        <v>1</v>
      </c>
      <c r="GE205" s="9" t="n">
        <v>1</v>
      </c>
      <c r="GF205" s="9" t="n">
        <v>1</v>
      </c>
      <c r="GG205" s="11" t="n">
        <f aca="false">(GC205+GD205+GE205+GF205)/4</f>
        <v>1</v>
      </c>
      <c r="GH205" s="9" t="n">
        <v>0</v>
      </c>
      <c r="GI205" s="9" t="n">
        <v>1</v>
      </c>
      <c r="GJ205" s="9" t="n">
        <v>0</v>
      </c>
      <c r="GK205" s="9" t="n">
        <v>0</v>
      </c>
      <c r="GL205" s="11" t="n">
        <f aca="false">(GH205+GI205+GJ205+GK205)/4</f>
        <v>0.25</v>
      </c>
      <c r="GM205" s="9" t="n">
        <v>67</v>
      </c>
      <c r="GN205" s="9" t="n">
        <v>57</v>
      </c>
      <c r="GO205" s="9" t="n">
        <v>36</v>
      </c>
      <c r="GP205" s="9" t="n">
        <v>10</v>
      </c>
      <c r="GQ205" s="11" t="n">
        <f aca="false">(GM205+GN205+GO205+GP205)/4</f>
        <v>42.5</v>
      </c>
      <c r="GR205" s="9" t="n">
        <v>16</v>
      </c>
      <c r="GS205" s="9" t="n">
        <v>12</v>
      </c>
      <c r="GT205" s="9" t="n">
        <v>14</v>
      </c>
      <c r="GU205" s="9" t="n">
        <v>17</v>
      </c>
      <c r="GV205" s="11" t="n">
        <f aca="false">(GR205+GS205+GT205+GU205)/4</f>
        <v>14.75</v>
      </c>
      <c r="GW205" s="9" t="n">
        <v>0</v>
      </c>
      <c r="GX205" s="9" t="n">
        <v>0</v>
      </c>
      <c r="GY205" s="9" t="n">
        <v>0</v>
      </c>
      <c r="GZ205" s="9" t="n">
        <v>0</v>
      </c>
      <c r="HA205" s="11" t="n">
        <f aca="false">(GW205+GX205+GY205+GZ205)/4</f>
        <v>0</v>
      </c>
      <c r="HB205" s="9" t="n">
        <f aca="false">(GW205/GR205)</f>
        <v>0</v>
      </c>
      <c r="HC205" s="9" t="n">
        <f aca="false">(GX205/GS205)</f>
        <v>0</v>
      </c>
      <c r="HD205" s="9" t="n">
        <f aca="false">(GY205/GT205)</f>
        <v>0</v>
      </c>
      <c r="HE205" s="9" t="n">
        <f aca="false">(GZ205/GU205)/4</f>
        <v>0</v>
      </c>
      <c r="HF205" s="9" t="n">
        <f aca="false">(HB205+HC205+HD205+HE205)/4</f>
        <v>0</v>
      </c>
      <c r="HG205" s="9" t="n">
        <f aca="false">(100*HF205)</f>
        <v>0</v>
      </c>
      <c r="HH205" s="18" t="n">
        <v>0</v>
      </c>
      <c r="HI205" s="9" t="n">
        <v>2</v>
      </c>
      <c r="HJ205" s="9" t="n">
        <v>3</v>
      </c>
      <c r="HK205" s="9" t="n">
        <v>6</v>
      </c>
      <c r="HL205" s="19" t="n">
        <v>3</v>
      </c>
      <c r="HM205" s="9" t="n">
        <f aca="false">(HI205+HJ205+HK205+HL205)/4</f>
        <v>3.5</v>
      </c>
      <c r="HN205" s="9" t="n">
        <f aca="false">(HI205/GR205)</f>
        <v>0.125</v>
      </c>
      <c r="HO205" s="9" t="n">
        <f aca="false">(HJ205/GS205)</f>
        <v>0.25</v>
      </c>
      <c r="HP205" s="9" t="n">
        <f aca="false">(HK205/GT205)</f>
        <v>0.428571428571429</v>
      </c>
      <c r="HQ205" s="9" t="n">
        <f aca="false">(HL205/GU205)</f>
        <v>0.176470588235294</v>
      </c>
      <c r="HR205" s="9" t="n">
        <f aca="false">(HM205/GV205)</f>
        <v>0.23728813559322</v>
      </c>
      <c r="HS205" s="9" t="n">
        <f aca="false">(100*HR205)</f>
        <v>23.728813559322</v>
      </c>
      <c r="HT205" s="18" t="n">
        <v>2</v>
      </c>
      <c r="HU205" s="9" t="n">
        <v>0</v>
      </c>
      <c r="HV205" s="9" t="n">
        <v>6</v>
      </c>
      <c r="HW205" s="9" t="n">
        <v>0</v>
      </c>
      <c r="HX205" s="19" t="n">
        <v>0</v>
      </c>
      <c r="HY205" s="9" t="n">
        <f aca="false">(HU205+HV205+HW205+HX205)/4</f>
        <v>1.5</v>
      </c>
      <c r="HZ205" s="9" t="n">
        <f aca="false">(HU205/GR205)</f>
        <v>0</v>
      </c>
      <c r="IA205" s="9" t="n">
        <f aca="false">HV205/GS205</f>
        <v>0.5</v>
      </c>
      <c r="IB205" s="9" t="n">
        <f aca="false">(HW205/GT205)</f>
        <v>0</v>
      </c>
      <c r="IC205" s="9" t="n">
        <f aca="false">(HX205/GU205)</f>
        <v>0</v>
      </c>
      <c r="ID205" s="9" t="n">
        <f aca="false">(HY205/GV205)</f>
        <v>0.101694915254237</v>
      </c>
      <c r="IE205" s="9" t="n">
        <f aca="false">(100*ID205)</f>
        <v>10.1694915254237</v>
      </c>
      <c r="IF205" s="18" t="n">
        <v>2</v>
      </c>
      <c r="IG205" s="9" t="n">
        <v>0</v>
      </c>
      <c r="IH205" s="9" t="n">
        <v>0</v>
      </c>
      <c r="II205" s="19" t="n">
        <v>0</v>
      </c>
      <c r="IJ205" s="9" t="n">
        <v>0</v>
      </c>
      <c r="IK205" s="9" t="n">
        <f aca="false">(IG205+IH205+II205+IJ205)/4</f>
        <v>0</v>
      </c>
      <c r="IL205" s="9" t="n">
        <f aca="false">(IG205/GM205)</f>
        <v>0</v>
      </c>
      <c r="IM205" s="9" t="n">
        <f aca="false">(IH205/GN205)</f>
        <v>0</v>
      </c>
      <c r="IN205" s="9" t="n">
        <f aca="false">(II205/GO205)</f>
        <v>0</v>
      </c>
      <c r="IO205" s="9" t="n">
        <f aca="false">(IJ205/GP205)</f>
        <v>0</v>
      </c>
      <c r="IP205" s="9" t="n">
        <f aca="false">(IK205/GQ205)</f>
        <v>0</v>
      </c>
      <c r="IQ205" s="9" t="n">
        <f aca="false">(100*IP205)</f>
        <v>0</v>
      </c>
      <c r="IR205" s="18" t="n">
        <v>0</v>
      </c>
      <c r="IS205" s="9" t="n">
        <v>64.1</v>
      </c>
      <c r="IT205" s="9" t="n">
        <v>71.4</v>
      </c>
      <c r="IU205" s="19" t="n">
        <v>66.3</v>
      </c>
      <c r="IV205" s="9" t="n">
        <v>65.2</v>
      </c>
      <c r="IW205" s="9" t="n">
        <f aca="false">(IS205+IT205+IU205+IV205)/4</f>
        <v>66.75</v>
      </c>
      <c r="IX205" s="16" t="n">
        <v>45203</v>
      </c>
      <c r="IY205" s="42" t="s">
        <v>268</v>
      </c>
    </row>
    <row r="206" customFormat="false" ht="15.75" hidden="false" customHeight="true" outlineLevel="0" collapsed="false">
      <c r="A206" s="9" t="s">
        <v>259</v>
      </c>
      <c r="B206" s="10" t="s">
        <v>733</v>
      </c>
      <c r="C206" s="10" t="s">
        <v>727</v>
      </c>
      <c r="D206" s="9" t="n">
        <v>2</v>
      </c>
      <c r="E206" s="9" t="n">
        <v>69</v>
      </c>
      <c r="F206" s="10" t="s">
        <v>734</v>
      </c>
      <c r="G206" s="10" t="s">
        <v>320</v>
      </c>
      <c r="H206" s="9" t="n">
        <v>21</v>
      </c>
      <c r="I206" s="9" t="n">
        <v>7</v>
      </c>
      <c r="J206" s="12" t="s">
        <v>264</v>
      </c>
      <c r="K206" s="13" t="s">
        <v>735</v>
      </c>
      <c r="L206" s="13" t="s">
        <v>736</v>
      </c>
      <c r="M206" s="14" t="n">
        <v>1303</v>
      </c>
      <c r="N206" s="15" t="n">
        <v>45155</v>
      </c>
      <c r="O206" s="10" t="s">
        <v>294</v>
      </c>
      <c r="P206" s="9"/>
      <c r="Q206" s="9" t="n">
        <v>28.5</v>
      </c>
      <c r="R206" s="9" t="n">
        <v>15</v>
      </c>
      <c r="S206" s="9" t="n">
        <v>-10</v>
      </c>
      <c r="T206" s="9" t="n">
        <v>140</v>
      </c>
      <c r="U206" s="9"/>
      <c r="V206" s="9" t="n">
        <v>1.81</v>
      </c>
      <c r="W206" s="9"/>
      <c r="X206" s="9" t="n">
        <v>0</v>
      </c>
      <c r="Y206" s="9" t="n">
        <v>0</v>
      </c>
      <c r="Z206" s="9" t="n">
        <v>0</v>
      </c>
      <c r="AA206" s="9" t="n">
        <v>0</v>
      </c>
      <c r="AB206" s="11" t="n">
        <f aca="false">(X206+Y206+Z206+AA206)/4</f>
        <v>0</v>
      </c>
      <c r="AC206" s="9" t="n">
        <v>1</v>
      </c>
      <c r="AD206" s="9" t="n">
        <v>0</v>
      </c>
      <c r="AE206" s="9" t="n">
        <v>0</v>
      </c>
      <c r="AF206" s="9" t="n">
        <v>0</v>
      </c>
      <c r="AG206" s="11" t="n">
        <f aca="false">(AC206+AD206+AE206+AF206)/4</f>
        <v>0.25</v>
      </c>
      <c r="AH206" s="9" t="n">
        <v>0</v>
      </c>
      <c r="AI206" s="9" t="n">
        <v>0</v>
      </c>
      <c r="AJ206" s="9" t="n">
        <v>0</v>
      </c>
      <c r="AK206" s="9" t="n">
        <v>0</v>
      </c>
      <c r="AL206" s="11" t="n">
        <f aca="false">(AH206+AI206+AJ206+AK206)/4</f>
        <v>0</v>
      </c>
      <c r="AM206" s="9" t="n">
        <v>21</v>
      </c>
      <c r="AN206" s="9" t="n">
        <v>60</v>
      </c>
      <c r="AO206" s="9" t="n">
        <v>54</v>
      </c>
      <c r="AP206" s="9" t="n">
        <v>21</v>
      </c>
      <c r="AQ206" s="11" t="n">
        <f aca="false">(AM206+AN206+AO206+AP206)/4</f>
        <v>39</v>
      </c>
      <c r="AR206" s="9" t="n">
        <v>5</v>
      </c>
      <c r="AS206" s="9" t="n">
        <v>12</v>
      </c>
      <c r="AT206" s="9" t="n">
        <v>12</v>
      </c>
      <c r="AU206" s="9" t="n">
        <v>9</v>
      </c>
      <c r="AV206" s="11" t="n">
        <f aca="false">(AR206+AS206+AT206+AU206)/4</f>
        <v>9.5</v>
      </c>
      <c r="AW206" s="9" t="n">
        <v>0</v>
      </c>
      <c r="AX206" s="9" t="n">
        <v>0</v>
      </c>
      <c r="AY206" s="9" t="n">
        <v>0</v>
      </c>
      <c r="AZ206" s="9" t="n">
        <v>0</v>
      </c>
      <c r="BA206" s="11" t="n">
        <f aca="false">(AW206+AX206+AY206+AZ206)/4</f>
        <v>0</v>
      </c>
      <c r="BB206" s="11" t="n">
        <f aca="false">(AW206/AR206)</f>
        <v>0</v>
      </c>
      <c r="BC206" s="11" t="n">
        <f aca="false">(AX206/AS206)</f>
        <v>0</v>
      </c>
      <c r="BD206" s="11" t="n">
        <f aca="false">(AY206/AT206)</f>
        <v>0</v>
      </c>
      <c r="BE206" s="11" t="n">
        <f aca="false">(AZ206/AU206)</f>
        <v>0</v>
      </c>
      <c r="BF206" s="11" t="n">
        <f aca="false">(BA206/AV206)</f>
        <v>0</v>
      </c>
      <c r="BG206" s="11" t="n">
        <f aca="false">(BF206*100)</f>
        <v>0</v>
      </c>
      <c r="BH206" s="9" t="n">
        <v>0</v>
      </c>
      <c r="BI206" s="9" t="n">
        <v>1</v>
      </c>
      <c r="BJ206" s="9" t="n">
        <v>0</v>
      </c>
      <c r="BK206" s="9" t="n">
        <v>0</v>
      </c>
      <c r="BL206" s="9" t="n">
        <v>0</v>
      </c>
      <c r="BM206" s="11" t="n">
        <f aca="false">(BI206+BJ206+BK206+BL206)/4</f>
        <v>0.25</v>
      </c>
      <c r="BN206" s="11" t="n">
        <f aca="false">(BI206/AR206)</f>
        <v>0.2</v>
      </c>
      <c r="BO206" s="11" t="n">
        <f aca="false">(BJ206/AS206)</f>
        <v>0</v>
      </c>
      <c r="BP206" s="11" t="n">
        <f aca="false">(BK206/AT206)</f>
        <v>0</v>
      </c>
      <c r="BQ206" s="11" t="n">
        <f aca="false">(BL206/AU206)</f>
        <v>0</v>
      </c>
      <c r="BR206" s="11" t="n">
        <f aca="false">(BM206/AV206)</f>
        <v>0.0263157894736842</v>
      </c>
      <c r="BS206" s="11" t="n">
        <f aca="false">(100*BR206)</f>
        <v>2.63157894736842</v>
      </c>
      <c r="BT206" s="9" t="n">
        <v>1</v>
      </c>
      <c r="BU206" s="9" t="n">
        <v>0</v>
      </c>
      <c r="BV206" s="9" t="n">
        <v>0</v>
      </c>
      <c r="BW206" s="9" t="n">
        <v>0</v>
      </c>
      <c r="BX206" s="9" t="n">
        <v>0</v>
      </c>
      <c r="BY206" s="11" t="n">
        <f aca="false">(BU206+BV206+BW206+BX206)/4</f>
        <v>0</v>
      </c>
      <c r="BZ206" s="11" t="n">
        <f aca="false">(BU206/AR206)</f>
        <v>0</v>
      </c>
      <c r="CA206" s="11" t="n">
        <f aca="false">(BV206/AS206)</f>
        <v>0</v>
      </c>
      <c r="CB206" s="11" t="n">
        <f aca="false">(BW206/AT206)</f>
        <v>0</v>
      </c>
      <c r="CC206" s="11" t="n">
        <f aca="false">(BX206/AU206)</f>
        <v>0</v>
      </c>
      <c r="CD206" s="11" t="n">
        <f aca="false">(BY206/AV206)</f>
        <v>0</v>
      </c>
      <c r="CE206" s="11" t="n">
        <f aca="false">(100*CD206)</f>
        <v>0</v>
      </c>
      <c r="CF206" s="9" t="n">
        <v>0</v>
      </c>
      <c r="CG206" s="9" t="n">
        <v>0</v>
      </c>
      <c r="CH206" s="9" t="n">
        <v>0</v>
      </c>
      <c r="CI206" s="9" t="n">
        <v>0</v>
      </c>
      <c r="CJ206" s="9" t="n">
        <v>0</v>
      </c>
      <c r="CK206" s="11" t="n">
        <f aca="false">(CG206+CH206+CI206+CJ206)/4</f>
        <v>0</v>
      </c>
      <c r="CL206" s="11" t="n">
        <f aca="false">(CG206/AM206)</f>
        <v>0</v>
      </c>
      <c r="CM206" s="11" t="n">
        <f aca="false">(CH206/AN206)</f>
        <v>0</v>
      </c>
      <c r="CN206" s="11" t="n">
        <f aca="false">(CI206/AO206)</f>
        <v>0</v>
      </c>
      <c r="CO206" s="9" t="n">
        <f aca="false">(CJ206/AP206)</f>
        <v>0</v>
      </c>
      <c r="CP206" s="9" t="n">
        <f aca="false">(CK206/AQ206)</f>
        <v>0</v>
      </c>
      <c r="CQ206" s="9" t="n">
        <f aca="false">(100*CP206)</f>
        <v>0</v>
      </c>
      <c r="CR206" s="18" t="n">
        <v>0</v>
      </c>
      <c r="CS206" s="9" t="n">
        <v>50.5</v>
      </c>
      <c r="CT206" s="9" t="n">
        <v>49.8</v>
      </c>
      <c r="CU206" s="9" t="n">
        <v>47.4</v>
      </c>
      <c r="CV206" s="9" t="n">
        <v>52.3</v>
      </c>
      <c r="CW206" s="11" t="n">
        <f aca="false">(CS206+CT206+CU206+CV206)/4</f>
        <v>50</v>
      </c>
      <c r="CX206" s="9" t="n">
        <v>0</v>
      </c>
      <c r="CY206" s="9" t="n">
        <v>0</v>
      </c>
      <c r="CZ206" s="9" t="n">
        <v>0</v>
      </c>
      <c r="DA206" s="9" t="n">
        <v>0</v>
      </c>
      <c r="DB206" s="11" t="n">
        <f aca="false">(CX206+CY206+CZ206+DA206)/4</f>
        <v>0</v>
      </c>
      <c r="DC206" s="9" t="n">
        <v>1</v>
      </c>
      <c r="DD206" s="9" t="n">
        <v>1</v>
      </c>
      <c r="DE206" s="9" t="n">
        <v>0</v>
      </c>
      <c r="DF206" s="9" t="n">
        <v>0</v>
      </c>
      <c r="DG206" s="11" t="n">
        <f aca="false">(DC206+DD206+DE206+DF206)/4</f>
        <v>0.5</v>
      </c>
      <c r="DH206" s="9" t="n">
        <v>0</v>
      </c>
      <c r="DI206" s="9" t="n">
        <v>1</v>
      </c>
      <c r="DJ206" s="9" t="n">
        <v>0</v>
      </c>
      <c r="DK206" s="9" t="n">
        <v>0</v>
      </c>
      <c r="DL206" s="11" t="n">
        <f aca="false">(DH206+DI206+DJ206+DK206)/4</f>
        <v>0.25</v>
      </c>
      <c r="DM206" s="9" t="n">
        <v>106</v>
      </c>
      <c r="DN206" s="9" t="n">
        <v>150</v>
      </c>
      <c r="DO206" s="9" t="n">
        <v>38</v>
      </c>
      <c r="DP206" s="9" t="n">
        <v>142</v>
      </c>
      <c r="DQ206" s="11" t="n">
        <f aca="false">(DM206+DN206+DO206+DP206)/4</f>
        <v>109</v>
      </c>
      <c r="DR206" s="9" t="n">
        <v>18</v>
      </c>
      <c r="DS206" s="9" t="n">
        <v>16</v>
      </c>
      <c r="DT206" s="9" t="n">
        <v>6</v>
      </c>
      <c r="DU206" s="9" t="n">
        <v>18</v>
      </c>
      <c r="DV206" s="11" t="n">
        <f aca="false">(DR206+DS206+DT206+DU206)/4</f>
        <v>14.5</v>
      </c>
      <c r="DW206" s="9" t="n">
        <v>0</v>
      </c>
      <c r="DX206" s="9" t="n">
        <v>0</v>
      </c>
      <c r="DY206" s="9" t="n">
        <v>0</v>
      </c>
      <c r="DZ206" s="9" t="n">
        <v>0</v>
      </c>
      <c r="EA206" s="11" t="n">
        <f aca="false">(DW206+DX206+DY206+DZ206)/4</f>
        <v>0</v>
      </c>
      <c r="EB206" s="11" t="n">
        <f aca="false">(DW206/DR206)</f>
        <v>0</v>
      </c>
      <c r="EC206" s="11" t="n">
        <f aca="false">(DX206/DS206)</f>
        <v>0</v>
      </c>
      <c r="ED206" s="11" t="n">
        <f aca="false">(DY206/DT206)</f>
        <v>0</v>
      </c>
      <c r="EE206" s="11" t="n">
        <f aca="false">(DZ206/DU206)</f>
        <v>0</v>
      </c>
      <c r="EF206" s="11" t="n">
        <f aca="false">(EA206/DV206)</f>
        <v>0</v>
      </c>
      <c r="EG206" s="11" t="n">
        <f aca="false">(100*EF206)</f>
        <v>0</v>
      </c>
      <c r="EH206" s="9" t="n">
        <v>0</v>
      </c>
      <c r="EI206" s="9" t="n">
        <v>1</v>
      </c>
      <c r="EJ206" s="9" t="n">
        <v>1</v>
      </c>
      <c r="EK206" s="19" t="n">
        <v>0</v>
      </c>
      <c r="EL206" s="9" t="n">
        <v>0</v>
      </c>
      <c r="EM206" s="9" t="n">
        <f aca="false">(EI206+EJ206+EK206+EL206)/4</f>
        <v>0.5</v>
      </c>
      <c r="EN206" s="9" t="n">
        <f aca="false">(EI206/DR206)</f>
        <v>0.0555555555555556</v>
      </c>
      <c r="EO206" s="9" t="n">
        <f aca="false">(EJ206/DS206)</f>
        <v>0.0625</v>
      </c>
      <c r="EP206" s="9" t="n">
        <f aca="false">(EK206/DT206)</f>
        <v>0</v>
      </c>
      <c r="EQ206" s="9" t="n">
        <f aca="false">(EL206/DU206)</f>
        <v>0</v>
      </c>
      <c r="ER206" s="9" t="n">
        <f aca="false">EM206/DV206</f>
        <v>0.0344827586206897</v>
      </c>
      <c r="ES206" s="9" t="n">
        <f aca="false">(100*ER206)</f>
        <v>3.44827586206897</v>
      </c>
      <c r="ET206" s="9" t="n">
        <v>1</v>
      </c>
      <c r="EU206" s="18" t="n">
        <v>0</v>
      </c>
      <c r="EV206" s="9" t="n">
        <v>0</v>
      </c>
      <c r="EW206" s="9" t="n">
        <v>0</v>
      </c>
      <c r="EX206" s="9" t="n">
        <v>0</v>
      </c>
      <c r="EY206" s="11" t="n">
        <f aca="false">(EU206+EV206+EW206+EX206)/4</f>
        <v>0</v>
      </c>
      <c r="EZ206" s="11" t="n">
        <f aca="false">(EU206/DR206)</f>
        <v>0</v>
      </c>
      <c r="FA206" s="11" t="n">
        <f aca="false">(EV206/DS206)</f>
        <v>0</v>
      </c>
      <c r="FB206" s="11" t="n">
        <f aca="false">(EW206/DT206)</f>
        <v>0</v>
      </c>
      <c r="FC206" s="11" t="n">
        <f aca="false">(EX206/DU206)</f>
        <v>0</v>
      </c>
      <c r="FD206" s="11" t="n">
        <f aca="false">(EY206/DV206)</f>
        <v>0</v>
      </c>
      <c r="FE206" s="11" t="n">
        <f aca="false">(100*FD206)</f>
        <v>0</v>
      </c>
      <c r="FF206" s="9" t="n">
        <v>0</v>
      </c>
      <c r="FG206" s="9" t="n">
        <v>0</v>
      </c>
      <c r="FH206" s="9" t="n">
        <v>2</v>
      </c>
      <c r="FI206" s="9" t="n">
        <v>0</v>
      </c>
      <c r="FJ206" s="9" t="n">
        <v>0</v>
      </c>
      <c r="FK206" s="11" t="n">
        <f aca="false">(FG206+FH206+FI206+FJ206)/4</f>
        <v>0.5</v>
      </c>
      <c r="FL206" s="11" t="n">
        <f aca="false">(FG206/DR206)</f>
        <v>0</v>
      </c>
      <c r="FM206" s="11" t="n">
        <f aca="false">(FH206/DS206)</f>
        <v>0.125</v>
      </c>
      <c r="FN206" s="11" t="n">
        <f aca="false">(FI206/DT206)</f>
        <v>0</v>
      </c>
      <c r="FO206" s="11" t="n">
        <f aca="false">(FJ206/DU206)</f>
        <v>0</v>
      </c>
      <c r="FP206" s="11" t="n">
        <f aca="false">(FK206/DV206)</f>
        <v>0.0344827586206897</v>
      </c>
      <c r="FQ206" s="11" t="n">
        <f aca="false">(100*FP206)</f>
        <v>3.44827586206897</v>
      </c>
      <c r="FR206" s="9" t="n">
        <v>1</v>
      </c>
      <c r="FS206" s="9" t="n">
        <v>48.1</v>
      </c>
      <c r="FT206" s="9" t="n">
        <v>51.8</v>
      </c>
      <c r="FU206" s="9" t="n">
        <v>56.4</v>
      </c>
      <c r="FV206" s="9" t="n">
        <v>56.2</v>
      </c>
      <c r="FW206" s="11" t="n">
        <f aca="false">(FS206+FT206+FU206+FV206)/4</f>
        <v>53.125</v>
      </c>
      <c r="FX206" s="9" t="n">
        <v>0</v>
      </c>
      <c r="FY206" s="9" t="n">
        <v>0</v>
      </c>
      <c r="FZ206" s="9" t="n">
        <v>0</v>
      </c>
      <c r="GA206" s="9" t="n">
        <v>0</v>
      </c>
      <c r="GB206" s="11" t="n">
        <f aca="false">(FX206+FY206+FZ206+GA206)/4</f>
        <v>0</v>
      </c>
      <c r="GC206" s="9" t="n">
        <v>1</v>
      </c>
      <c r="GD206" s="9" t="n">
        <v>0</v>
      </c>
      <c r="GE206" s="9" t="n">
        <v>0</v>
      </c>
      <c r="GF206" s="9" t="n">
        <v>0</v>
      </c>
      <c r="GG206" s="11" t="n">
        <f aca="false">(GC206+GD206+GE206+GF206)/4</f>
        <v>0.25</v>
      </c>
      <c r="GH206" s="9" t="n">
        <v>0</v>
      </c>
      <c r="GI206" s="9" t="n">
        <v>1</v>
      </c>
      <c r="GJ206" s="9" t="n">
        <v>0</v>
      </c>
      <c r="GK206" s="9" t="n">
        <v>1</v>
      </c>
      <c r="GL206" s="11" t="n">
        <f aca="false">(GH206+GI206+GJ206+GK206)/4</f>
        <v>0.5</v>
      </c>
      <c r="GM206" s="9" t="n">
        <v>96</v>
      </c>
      <c r="GN206" s="9" t="n">
        <v>151</v>
      </c>
      <c r="GO206" s="9" t="n">
        <v>33</v>
      </c>
      <c r="GP206" s="9" t="n">
        <v>81</v>
      </c>
      <c r="GQ206" s="11" t="n">
        <f aca="false">(GM206+GN206+GO206+GP206)/4</f>
        <v>90.25</v>
      </c>
      <c r="GR206" s="9" t="n">
        <v>25</v>
      </c>
      <c r="GS206" s="9" t="n">
        <v>18</v>
      </c>
      <c r="GT206" s="9" t="n">
        <v>23</v>
      </c>
      <c r="GU206" s="9" t="n">
        <v>23</v>
      </c>
      <c r="GV206" s="11" t="n">
        <f aca="false">(GR206+GS206+GT206+GU206)/4</f>
        <v>22.25</v>
      </c>
      <c r="GW206" s="9" t="n">
        <v>0</v>
      </c>
      <c r="GX206" s="9" t="n">
        <v>0</v>
      </c>
      <c r="GY206" s="9" t="n">
        <v>0</v>
      </c>
      <c r="GZ206" s="9" t="n">
        <v>0</v>
      </c>
      <c r="HA206" s="11" t="n">
        <f aca="false">(GW206+GX206+GY206+GZ206)/4</f>
        <v>0</v>
      </c>
      <c r="HB206" s="9" t="n">
        <f aca="false">(GW206/GR206)</f>
        <v>0</v>
      </c>
      <c r="HC206" s="9" t="n">
        <f aca="false">(GX206/GS206)</f>
        <v>0</v>
      </c>
      <c r="HD206" s="9" t="n">
        <f aca="false">(GY206/GT206)</f>
        <v>0</v>
      </c>
      <c r="HE206" s="9" t="n">
        <f aca="false">(GZ206/GU206)/4</f>
        <v>0</v>
      </c>
      <c r="HF206" s="9" t="n">
        <f aca="false">(HB206+HC206+HD206+HE206)/4</f>
        <v>0</v>
      </c>
      <c r="HG206" s="9" t="n">
        <f aca="false">(100*HF206)</f>
        <v>0</v>
      </c>
      <c r="HH206" s="18" t="n">
        <v>0</v>
      </c>
      <c r="HI206" s="9" t="n">
        <v>1</v>
      </c>
      <c r="HJ206" s="9" t="n">
        <v>0</v>
      </c>
      <c r="HK206" s="9" t="n">
        <v>0</v>
      </c>
      <c r="HL206" s="19" t="n">
        <v>0</v>
      </c>
      <c r="HM206" s="9" t="n">
        <f aca="false">(HI206+HJ206+HK206+HL206)/4</f>
        <v>0.25</v>
      </c>
      <c r="HN206" s="9" t="n">
        <f aca="false">(HI206/GR206)</f>
        <v>0.04</v>
      </c>
      <c r="HO206" s="9" t="n">
        <f aca="false">(HJ206/GS206)</f>
        <v>0</v>
      </c>
      <c r="HP206" s="9" t="n">
        <f aca="false">(HK206/GT206)</f>
        <v>0</v>
      </c>
      <c r="HQ206" s="9" t="n">
        <f aca="false">(HL206/GU206)</f>
        <v>0</v>
      </c>
      <c r="HR206" s="9" t="n">
        <f aca="false">(HM206/GV206)</f>
        <v>0.0112359550561798</v>
      </c>
      <c r="HS206" s="9" t="n">
        <f aca="false">(100*HR206)</f>
        <v>1.12359550561798</v>
      </c>
      <c r="HT206" s="18" t="n">
        <v>1</v>
      </c>
      <c r="HU206" s="9" t="n">
        <v>0</v>
      </c>
      <c r="HV206" s="9" t="n">
        <v>0</v>
      </c>
      <c r="HW206" s="9" t="n">
        <v>0</v>
      </c>
      <c r="HX206" s="19" t="n">
        <v>0</v>
      </c>
      <c r="HY206" s="9" t="n">
        <f aca="false">(HU206+HV206+HW206+HX206)/4</f>
        <v>0</v>
      </c>
      <c r="HZ206" s="9" t="n">
        <f aca="false">(HU206/GR206)</f>
        <v>0</v>
      </c>
      <c r="IA206" s="9" t="n">
        <f aca="false">HV206/GS206</f>
        <v>0</v>
      </c>
      <c r="IB206" s="9" t="n">
        <f aca="false">(HW206/GT206)</f>
        <v>0</v>
      </c>
      <c r="IC206" s="9" t="n">
        <f aca="false">(HX206/GU206)</f>
        <v>0</v>
      </c>
      <c r="ID206" s="9" t="n">
        <f aca="false">(HY206/GV206)</f>
        <v>0</v>
      </c>
      <c r="IE206" s="9" t="n">
        <f aca="false">(100*ID206)</f>
        <v>0</v>
      </c>
      <c r="IF206" s="18" t="n">
        <v>0</v>
      </c>
      <c r="IG206" s="9" t="n">
        <v>0</v>
      </c>
      <c r="IH206" s="9" t="n">
        <v>0</v>
      </c>
      <c r="II206" s="19" t="n">
        <v>0</v>
      </c>
      <c r="IJ206" s="9" t="n">
        <v>0</v>
      </c>
      <c r="IK206" s="9" t="n">
        <f aca="false">(IG206+IH206+II206+IJ206)/4</f>
        <v>0</v>
      </c>
      <c r="IL206" s="9" t="n">
        <f aca="false">(IG206/GM206)</f>
        <v>0</v>
      </c>
      <c r="IM206" s="9" t="n">
        <f aca="false">(IH206/GN206)</f>
        <v>0</v>
      </c>
      <c r="IN206" s="9" t="n">
        <f aca="false">(II206/GO206)</f>
        <v>0</v>
      </c>
      <c r="IO206" s="9" t="n">
        <f aca="false">(IJ206/GP206)</f>
        <v>0</v>
      </c>
      <c r="IP206" s="9" t="n">
        <f aca="false">(IK206/GQ206)</f>
        <v>0</v>
      </c>
      <c r="IQ206" s="9" t="n">
        <f aca="false">(100*IP206)</f>
        <v>0</v>
      </c>
      <c r="IR206" s="18" t="n">
        <v>0</v>
      </c>
      <c r="IS206" s="9" t="n">
        <v>56.9</v>
      </c>
      <c r="IT206" s="9" t="n">
        <v>55.9</v>
      </c>
      <c r="IU206" s="19" t="n">
        <v>54</v>
      </c>
      <c r="IV206" s="9" t="n">
        <v>53.4</v>
      </c>
      <c r="IW206" s="9" t="n">
        <f aca="false">(IS206+IT206+IU206+IV206)/4</f>
        <v>55.05</v>
      </c>
      <c r="IX206" s="16" t="n">
        <v>45203</v>
      </c>
      <c r="IY206" s="42" t="s">
        <v>268</v>
      </c>
    </row>
    <row r="207" customFormat="false" ht="15.75" hidden="false" customHeight="true" outlineLevel="0" collapsed="false">
      <c r="A207" s="9" t="s">
        <v>259</v>
      </c>
      <c r="B207" s="10" t="s">
        <v>733</v>
      </c>
      <c r="C207" s="10" t="s">
        <v>727</v>
      </c>
      <c r="D207" s="9" t="n">
        <v>2</v>
      </c>
      <c r="E207" s="9" t="n">
        <v>69</v>
      </c>
      <c r="F207" s="10" t="s">
        <v>737</v>
      </c>
      <c r="G207" s="10" t="s">
        <v>275</v>
      </c>
      <c r="H207" s="9" t="n">
        <v>21</v>
      </c>
      <c r="I207" s="9" t="n">
        <v>11</v>
      </c>
      <c r="J207" s="12" t="s">
        <v>270</v>
      </c>
      <c r="K207" s="20"/>
      <c r="L207" s="20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 t="n">
        <v>0</v>
      </c>
      <c r="Y207" s="9" t="n">
        <v>0</v>
      </c>
      <c r="Z207" s="9" t="n">
        <v>0</v>
      </c>
      <c r="AA207" s="9" t="n">
        <v>0</v>
      </c>
      <c r="AB207" s="11" t="n">
        <f aca="false">(X207+Y207+Z207+AA207)/4</f>
        <v>0</v>
      </c>
      <c r="AC207" s="9" t="n">
        <v>1</v>
      </c>
      <c r="AD207" s="9" t="n">
        <v>1</v>
      </c>
      <c r="AE207" s="9" t="n">
        <v>1</v>
      </c>
      <c r="AF207" s="9" t="n">
        <v>1</v>
      </c>
      <c r="AG207" s="11" t="n">
        <f aca="false">(AC207+AD207+AE207+AF207)/4</f>
        <v>1</v>
      </c>
      <c r="AH207" s="9" t="n">
        <v>1</v>
      </c>
      <c r="AI207" s="9" t="n">
        <v>0</v>
      </c>
      <c r="AJ207" s="9" t="n">
        <v>0</v>
      </c>
      <c r="AK207" s="9" t="n">
        <v>0</v>
      </c>
      <c r="AL207" s="11" t="n">
        <f aca="false">(AH207+AI207+AJ207+AK207)/4</f>
        <v>0.25</v>
      </c>
      <c r="AM207" s="9" t="n">
        <v>46</v>
      </c>
      <c r="AN207" s="9" t="n">
        <v>49</v>
      </c>
      <c r="AO207" s="9" t="n">
        <v>56</v>
      </c>
      <c r="AP207" s="9" t="n">
        <v>0</v>
      </c>
      <c r="AQ207" s="11" t="n">
        <f aca="false">(AM207+AN207+AO207+AP207)/4</f>
        <v>37.75</v>
      </c>
      <c r="AR207" s="9" t="n">
        <v>4</v>
      </c>
      <c r="AS207" s="9" t="n">
        <v>5</v>
      </c>
      <c r="AT207" s="9" t="n">
        <v>8</v>
      </c>
      <c r="AU207" s="9" t="n">
        <v>10</v>
      </c>
      <c r="AV207" s="11" t="n">
        <f aca="false">(AR207+AS207+AT207+AU207)/4</f>
        <v>6.75</v>
      </c>
      <c r="AW207" s="9" t="n">
        <v>0</v>
      </c>
      <c r="AX207" s="9" t="n">
        <v>0</v>
      </c>
      <c r="AY207" s="9" t="n">
        <v>0</v>
      </c>
      <c r="AZ207" s="9" t="n">
        <v>0</v>
      </c>
      <c r="BA207" s="11" t="n">
        <f aca="false">(AW207+AX207+AY207+AZ207)/4</f>
        <v>0</v>
      </c>
      <c r="BB207" s="11" t="n">
        <f aca="false">(AW207/AR207)</f>
        <v>0</v>
      </c>
      <c r="BC207" s="11" t="n">
        <f aca="false">(AX207/AS207)</f>
        <v>0</v>
      </c>
      <c r="BD207" s="11" t="n">
        <f aca="false">(AY207/AT207)</f>
        <v>0</v>
      </c>
      <c r="BE207" s="11" t="n">
        <f aca="false">(AZ207/AU207)</f>
        <v>0</v>
      </c>
      <c r="BF207" s="11" t="n">
        <f aca="false">(BA207/AV207)</f>
        <v>0</v>
      </c>
      <c r="BG207" s="11" t="n">
        <f aca="false">(BF207*100)</f>
        <v>0</v>
      </c>
      <c r="BH207" s="9" t="n">
        <v>0</v>
      </c>
      <c r="BI207" s="9" t="n">
        <v>1</v>
      </c>
      <c r="BJ207" s="9" t="n">
        <v>3</v>
      </c>
      <c r="BK207" s="9" t="n">
        <v>4</v>
      </c>
      <c r="BL207" s="9" t="n">
        <v>5</v>
      </c>
      <c r="BM207" s="11" t="n">
        <f aca="false">(BI207+BJ207+BK207+BL207)/4</f>
        <v>3.25</v>
      </c>
      <c r="BN207" s="11" t="n">
        <f aca="false">(BI207/AR207)</f>
        <v>0.25</v>
      </c>
      <c r="BO207" s="11" t="n">
        <f aca="false">(BJ207/AS207)</f>
        <v>0.6</v>
      </c>
      <c r="BP207" s="11" t="n">
        <f aca="false">(BK207/AT207)</f>
        <v>0.5</v>
      </c>
      <c r="BQ207" s="11" t="n">
        <f aca="false">(BL207/AU207)</f>
        <v>0.5</v>
      </c>
      <c r="BR207" s="11" t="n">
        <f aca="false">(BM207/AV207)</f>
        <v>0.481481481481481</v>
      </c>
      <c r="BS207" s="11" t="n">
        <f aca="false">(100*BR207)</f>
        <v>48.1481481481481</v>
      </c>
      <c r="BT207" s="9" t="n">
        <v>3</v>
      </c>
      <c r="BU207" s="9" t="n">
        <v>0</v>
      </c>
      <c r="BV207" s="9" t="n">
        <v>0</v>
      </c>
      <c r="BW207" s="9" t="n">
        <v>0</v>
      </c>
      <c r="BX207" s="9" t="n">
        <v>0</v>
      </c>
      <c r="BY207" s="11" t="n">
        <f aca="false">(BU207+BV207+BW207+BX207)/4</f>
        <v>0</v>
      </c>
      <c r="BZ207" s="11" t="n">
        <f aca="false">(BU207/AR207)</f>
        <v>0</v>
      </c>
      <c r="CA207" s="11" t="n">
        <f aca="false">(BV207/AS207)</f>
        <v>0</v>
      </c>
      <c r="CB207" s="11" t="n">
        <f aca="false">(BW207/AT207)</f>
        <v>0</v>
      </c>
      <c r="CC207" s="11" t="n">
        <f aca="false">(BX207/AU207)</f>
        <v>0</v>
      </c>
      <c r="CD207" s="11" t="n">
        <f aca="false">(BY207/AV207)</f>
        <v>0</v>
      </c>
      <c r="CE207" s="11" t="n">
        <f aca="false">(100*CD207)</f>
        <v>0</v>
      </c>
      <c r="CF207" s="9" t="n">
        <v>0</v>
      </c>
      <c r="CG207" s="9" t="n">
        <v>5</v>
      </c>
      <c r="CH207" s="9" t="n">
        <v>0</v>
      </c>
      <c r="CI207" s="9" t="n">
        <v>0</v>
      </c>
      <c r="CJ207" s="9" t="n">
        <v>0</v>
      </c>
      <c r="CK207" s="11" t="n">
        <f aca="false">(CG207+CH207+CI207+CJ207)/4</f>
        <v>1.25</v>
      </c>
      <c r="CL207" s="11" t="n">
        <f aca="false">(CG207/AM207)</f>
        <v>0.108695652173913</v>
      </c>
      <c r="CM207" s="11" t="n">
        <f aca="false">(CH207/AN207)</f>
        <v>0</v>
      </c>
      <c r="CN207" s="11" t="n">
        <f aca="false">(CI207/AO207)</f>
        <v>0</v>
      </c>
      <c r="CO207" s="9" t="e">
        <f aca="false">(CJ207/AP207)</f>
        <v>#DIV/0!</v>
      </c>
      <c r="CP207" s="9" t="n">
        <f aca="false">(CK207/AQ207)</f>
        <v>0.033112582781457</v>
      </c>
      <c r="CQ207" s="9" t="n">
        <f aca="false">(100*CP207)</f>
        <v>3.3112582781457</v>
      </c>
      <c r="CR207" s="18" t="n">
        <v>1</v>
      </c>
      <c r="CS207" s="9" t="n">
        <v>40.4</v>
      </c>
      <c r="CT207" s="9" t="n">
        <v>51.1</v>
      </c>
      <c r="CU207" s="9" t="n">
        <v>53</v>
      </c>
      <c r="CV207" s="9" t="n">
        <v>48.6</v>
      </c>
      <c r="CW207" s="11" t="n">
        <f aca="false">(CS207+CT207+CU207+CV207)/4</f>
        <v>48.275</v>
      </c>
      <c r="CX207" s="9" t="n">
        <v>0</v>
      </c>
      <c r="CY207" s="9" t="n">
        <v>0</v>
      </c>
      <c r="CZ207" s="9" t="n">
        <v>0</v>
      </c>
      <c r="DA207" s="9" t="n">
        <v>0</v>
      </c>
      <c r="DB207" s="11" t="n">
        <f aca="false">(CX207+CY207+CZ207+DA207)/4</f>
        <v>0</v>
      </c>
      <c r="DC207" s="9" t="n">
        <v>1</v>
      </c>
      <c r="DD207" s="9" t="n">
        <v>1</v>
      </c>
      <c r="DE207" s="9" t="n">
        <v>1</v>
      </c>
      <c r="DF207" s="9" t="n">
        <v>1</v>
      </c>
      <c r="DG207" s="11" t="n">
        <f aca="false">(DC207+DD207+DE207+DF207)/4</f>
        <v>1</v>
      </c>
      <c r="DH207" s="9" t="n">
        <v>1</v>
      </c>
      <c r="DI207" s="9" t="n">
        <v>0</v>
      </c>
      <c r="DJ207" s="9" t="n">
        <v>1</v>
      </c>
      <c r="DK207" s="9" t="n">
        <v>1</v>
      </c>
      <c r="DL207" s="11" t="n">
        <f aca="false">(DH207+DI207+DJ207+DK207)/4</f>
        <v>0.75</v>
      </c>
      <c r="DM207" s="9" t="n">
        <v>66</v>
      </c>
      <c r="DN207" s="9" t="n">
        <v>58</v>
      </c>
      <c r="DO207" s="9" t="n">
        <v>63</v>
      </c>
      <c r="DP207" s="9" t="n">
        <v>25</v>
      </c>
      <c r="DQ207" s="11" t="n">
        <f aca="false">(DM207+DN207+DO207+DP207)/4</f>
        <v>53</v>
      </c>
      <c r="DR207" s="9" t="n">
        <v>15</v>
      </c>
      <c r="DS207" s="9" t="n">
        <v>12</v>
      </c>
      <c r="DT207" s="9" t="n">
        <v>21</v>
      </c>
      <c r="DU207" s="9" t="n">
        <v>5</v>
      </c>
      <c r="DV207" s="11" t="n">
        <f aca="false">(DR207+DS207+DT207+DU207)/4</f>
        <v>13.25</v>
      </c>
      <c r="DW207" s="9" t="n">
        <v>0</v>
      </c>
      <c r="DX207" s="9" t="n">
        <v>0</v>
      </c>
      <c r="DY207" s="9" t="n">
        <v>0</v>
      </c>
      <c r="DZ207" s="9" t="n">
        <v>0</v>
      </c>
      <c r="EA207" s="11" t="n">
        <f aca="false">(DW207+DX207+DY207+DZ207)/4</f>
        <v>0</v>
      </c>
      <c r="EB207" s="11" t="n">
        <f aca="false">(DW207/DR207)</f>
        <v>0</v>
      </c>
      <c r="EC207" s="11" t="n">
        <f aca="false">(DX207/DS207)</f>
        <v>0</v>
      </c>
      <c r="ED207" s="11" t="n">
        <f aca="false">(DY207/DT207)</f>
        <v>0</v>
      </c>
      <c r="EE207" s="11" t="n">
        <f aca="false">(DZ207/DU207)</f>
        <v>0</v>
      </c>
      <c r="EF207" s="11" t="n">
        <f aca="false">(EA207/DV207)</f>
        <v>0</v>
      </c>
      <c r="EG207" s="11" t="n">
        <f aca="false">(100*EF207)</f>
        <v>0</v>
      </c>
      <c r="EH207" s="9" t="n">
        <v>0</v>
      </c>
      <c r="EI207" s="9" t="n">
        <v>8</v>
      </c>
      <c r="EJ207" s="9" t="n">
        <v>4</v>
      </c>
      <c r="EK207" s="19" t="n">
        <v>6</v>
      </c>
      <c r="EL207" s="9" t="n">
        <v>3</v>
      </c>
      <c r="EM207" s="9" t="n">
        <f aca="false">(EI207+EJ207+EK207+EL207)/4</f>
        <v>5.25</v>
      </c>
      <c r="EN207" s="9" t="n">
        <f aca="false">(EI207/DR207)</f>
        <v>0.533333333333333</v>
      </c>
      <c r="EO207" s="9" t="n">
        <f aca="false">(EJ207/DS207)</f>
        <v>0.333333333333333</v>
      </c>
      <c r="EP207" s="9" t="n">
        <f aca="false">(EK207/DT207)</f>
        <v>0.285714285714286</v>
      </c>
      <c r="EQ207" s="9" t="n">
        <f aca="false">(EL207/DU207)</f>
        <v>0.6</v>
      </c>
      <c r="ER207" s="9" t="n">
        <f aca="false">EM207/DV207</f>
        <v>0.39622641509434</v>
      </c>
      <c r="ES207" s="9" t="n">
        <f aca="false">(100*ER207)</f>
        <v>39.622641509434</v>
      </c>
      <c r="ET207" s="9" t="n">
        <v>3</v>
      </c>
      <c r="EU207" s="18" t="n">
        <v>0</v>
      </c>
      <c r="EV207" s="9" t="n">
        <v>0</v>
      </c>
      <c r="EW207" s="9" t="n">
        <v>0</v>
      </c>
      <c r="EX207" s="9" t="n">
        <v>0</v>
      </c>
      <c r="EY207" s="11" t="n">
        <f aca="false">(EU207+EV207+EW207+EX207)/4</f>
        <v>0</v>
      </c>
      <c r="EZ207" s="11" t="n">
        <f aca="false">(EU207/DR207)</f>
        <v>0</v>
      </c>
      <c r="FA207" s="11" t="n">
        <f aca="false">(EV207/DS207)</f>
        <v>0</v>
      </c>
      <c r="FB207" s="11" t="n">
        <f aca="false">(EW207/DT207)</f>
        <v>0</v>
      </c>
      <c r="FC207" s="11" t="n">
        <f aca="false">(EX207/DU207)</f>
        <v>0</v>
      </c>
      <c r="FD207" s="11" t="n">
        <f aca="false">(EY207/DV207)</f>
        <v>0</v>
      </c>
      <c r="FE207" s="11" t="n">
        <f aca="false">(100*FD207)</f>
        <v>0</v>
      </c>
      <c r="FF207" s="9" t="n">
        <v>0</v>
      </c>
      <c r="FG207" s="9" t="n">
        <v>4</v>
      </c>
      <c r="FH207" s="9" t="n">
        <v>0</v>
      </c>
      <c r="FI207" s="9" t="n">
        <v>4</v>
      </c>
      <c r="FJ207" s="9" t="n">
        <v>3</v>
      </c>
      <c r="FK207" s="11" t="n">
        <f aca="false">(FG207+FH207+FI207+FJ207)/4</f>
        <v>2.75</v>
      </c>
      <c r="FL207" s="11" t="n">
        <f aca="false">(FG207/DR207)</f>
        <v>0.266666666666667</v>
      </c>
      <c r="FM207" s="11" t="n">
        <f aca="false">(FH207/DS207)</f>
        <v>0</v>
      </c>
      <c r="FN207" s="11" t="n">
        <f aca="false">(FI207/DT207)</f>
        <v>0.19047619047619</v>
      </c>
      <c r="FO207" s="11" t="n">
        <f aca="false">(FJ207/DU207)</f>
        <v>0.6</v>
      </c>
      <c r="FP207" s="11" t="n">
        <f aca="false">(FK207/DV207)</f>
        <v>0.207547169811321</v>
      </c>
      <c r="FQ207" s="11" t="n">
        <f aca="false">(100*FP207)</f>
        <v>20.7547169811321</v>
      </c>
      <c r="FR207" s="9" t="n">
        <v>2</v>
      </c>
      <c r="FS207" s="9" t="n">
        <v>48.1</v>
      </c>
      <c r="FT207" s="9" t="n">
        <v>46.4</v>
      </c>
      <c r="FU207" s="9" t="n">
        <v>35.9</v>
      </c>
      <c r="FV207" s="9" t="n">
        <v>51</v>
      </c>
      <c r="FW207" s="11" t="n">
        <f aca="false">(FS207+FT207+FU207+FV207)/4</f>
        <v>45.35</v>
      </c>
      <c r="FX207" s="9" t="n">
        <v>0</v>
      </c>
      <c r="FY207" s="9" t="n">
        <v>0</v>
      </c>
      <c r="FZ207" s="9" t="n">
        <v>0</v>
      </c>
      <c r="GA207" s="9" t="n">
        <v>0</v>
      </c>
      <c r="GB207" s="11" t="n">
        <f aca="false">(FX207+FY207+FZ207+GA207)/4</f>
        <v>0</v>
      </c>
      <c r="GC207" s="9" t="n">
        <v>1</v>
      </c>
      <c r="GD207" s="9" t="n">
        <v>1</v>
      </c>
      <c r="GE207" s="9" t="n">
        <v>1</v>
      </c>
      <c r="GF207" s="9" t="n">
        <v>1</v>
      </c>
      <c r="GG207" s="11" t="n">
        <f aca="false">(GC207+GD207+GE207+GF207)/4</f>
        <v>1</v>
      </c>
      <c r="GH207" s="9" t="n">
        <v>1</v>
      </c>
      <c r="GI207" s="9" t="n">
        <v>1</v>
      </c>
      <c r="GJ207" s="9" t="n">
        <v>1</v>
      </c>
      <c r="GK207" s="9" t="n">
        <v>1</v>
      </c>
      <c r="GL207" s="11" t="n">
        <f aca="false">(GH207+GI207+GJ207+GK207)/4</f>
        <v>1</v>
      </c>
      <c r="GM207" s="9" t="n">
        <v>70</v>
      </c>
      <c r="GN207" s="9" t="n">
        <v>87</v>
      </c>
      <c r="GO207" s="9" t="n">
        <v>126</v>
      </c>
      <c r="GP207" s="9" t="n">
        <v>100</v>
      </c>
      <c r="GQ207" s="11" t="n">
        <f aca="false">(GM207+GN207+GO207+GP207)/4</f>
        <v>95.75</v>
      </c>
      <c r="GR207" s="9" t="n">
        <v>8</v>
      </c>
      <c r="GS207" s="9" t="n">
        <v>8</v>
      </c>
      <c r="GT207" s="9" t="n">
        <v>9</v>
      </c>
      <c r="GU207" s="9" t="n">
        <v>7</v>
      </c>
      <c r="GV207" s="11" t="n">
        <f aca="false">(GR207+GS207+GT207+GU207)/4</f>
        <v>8</v>
      </c>
      <c r="GW207" s="9" t="n">
        <v>0</v>
      </c>
      <c r="GX207" s="9" t="n">
        <v>0</v>
      </c>
      <c r="GY207" s="9" t="n">
        <v>0</v>
      </c>
      <c r="GZ207" s="9" t="n">
        <v>0</v>
      </c>
      <c r="HA207" s="11" t="n">
        <f aca="false">(GW207+GX207+GY207+GZ207)/4</f>
        <v>0</v>
      </c>
      <c r="HB207" s="9" t="n">
        <f aca="false">(GW207/GR207)</f>
        <v>0</v>
      </c>
      <c r="HC207" s="9" t="n">
        <f aca="false">(GX207/GS207)</f>
        <v>0</v>
      </c>
      <c r="HD207" s="9" t="n">
        <f aca="false">(GY207/GT207)</f>
        <v>0</v>
      </c>
      <c r="HE207" s="9" t="n">
        <f aca="false">(GZ207/GU207)/4</f>
        <v>0</v>
      </c>
      <c r="HF207" s="9" t="n">
        <f aca="false">(HB207+HC207+HD207+HE207)/4</f>
        <v>0</v>
      </c>
      <c r="HG207" s="9" t="n">
        <f aca="false">(100*HF207)</f>
        <v>0</v>
      </c>
      <c r="HH207" s="18" t="n">
        <v>0</v>
      </c>
      <c r="HI207" s="9" t="n">
        <v>5</v>
      </c>
      <c r="HJ207" s="9" t="n">
        <v>2</v>
      </c>
      <c r="HK207" s="9" t="n">
        <v>5</v>
      </c>
      <c r="HL207" s="19" t="n">
        <v>3</v>
      </c>
      <c r="HM207" s="9" t="n">
        <f aca="false">(HI207+HJ207+HK207+HL207)/4</f>
        <v>3.75</v>
      </c>
      <c r="HN207" s="9" t="n">
        <f aca="false">(HI207/GR207)</f>
        <v>0.625</v>
      </c>
      <c r="HO207" s="9" t="n">
        <f aca="false">(HJ207/GS207)</f>
        <v>0.25</v>
      </c>
      <c r="HP207" s="9" t="n">
        <f aca="false">(HK207/GT207)</f>
        <v>0.555555555555556</v>
      </c>
      <c r="HQ207" s="9" t="n">
        <f aca="false">(HL207/GU207)</f>
        <v>0.428571428571429</v>
      </c>
      <c r="HR207" s="9" t="n">
        <f aca="false">(HM207/GV207)</f>
        <v>0.46875</v>
      </c>
      <c r="HS207" s="9" t="n">
        <f aca="false">(100*HR207)</f>
        <v>46.875</v>
      </c>
      <c r="HT207" s="18" t="n">
        <v>3</v>
      </c>
      <c r="HU207" s="9" t="n">
        <v>0</v>
      </c>
      <c r="HV207" s="9" t="n">
        <v>0</v>
      </c>
      <c r="HW207" s="9" t="n">
        <v>0</v>
      </c>
      <c r="HX207" s="19" t="n">
        <v>0</v>
      </c>
      <c r="HY207" s="9" t="n">
        <f aca="false">(HU207+HV207+HW207+HX207)/4</f>
        <v>0</v>
      </c>
      <c r="HZ207" s="9" t="n">
        <f aca="false">(HU207/GR207)</f>
        <v>0</v>
      </c>
      <c r="IA207" s="9" t="n">
        <f aca="false">HV207/GS207</f>
        <v>0</v>
      </c>
      <c r="IB207" s="9" t="n">
        <f aca="false">(HW207/GT207)</f>
        <v>0</v>
      </c>
      <c r="IC207" s="9" t="n">
        <f aca="false">(HX207/GU207)</f>
        <v>0</v>
      </c>
      <c r="ID207" s="9" t="n">
        <f aca="false">(HY207/GV207)</f>
        <v>0</v>
      </c>
      <c r="IE207" s="9" t="n">
        <f aca="false">(100*ID207)</f>
        <v>0</v>
      </c>
      <c r="IF207" s="18" t="n">
        <v>0</v>
      </c>
      <c r="IG207" s="9" t="n">
        <v>3</v>
      </c>
      <c r="IH207" s="9" t="n">
        <v>5</v>
      </c>
      <c r="II207" s="19" t="n">
        <v>6</v>
      </c>
      <c r="IJ207" s="9" t="n">
        <v>8</v>
      </c>
      <c r="IK207" s="9" t="n">
        <f aca="false">(IG207+IH207+II207+IJ207)/4</f>
        <v>5.5</v>
      </c>
      <c r="IL207" s="9" t="n">
        <f aca="false">(IG207/GM207)</f>
        <v>0.0428571428571429</v>
      </c>
      <c r="IM207" s="9" t="n">
        <f aca="false">(IH207/GN207)</f>
        <v>0.0574712643678161</v>
      </c>
      <c r="IN207" s="9" t="n">
        <f aca="false">(II207/GO207)</f>
        <v>0.0476190476190476</v>
      </c>
      <c r="IO207" s="9" t="n">
        <f aca="false">(IJ207/GP207)</f>
        <v>0.08</v>
      </c>
      <c r="IP207" s="9" t="n">
        <f aca="false">(IK207/GQ207)</f>
        <v>0.0574412532637076</v>
      </c>
      <c r="IQ207" s="9" t="n">
        <f aca="false">(100*IP207)</f>
        <v>5.74412532637076</v>
      </c>
      <c r="IR207" s="18" t="n">
        <v>1</v>
      </c>
      <c r="IS207" s="9" t="n">
        <v>53.2</v>
      </c>
      <c r="IT207" s="9" t="n">
        <v>46.7</v>
      </c>
      <c r="IU207" s="19" t="n">
        <v>56.8</v>
      </c>
      <c r="IV207" s="9" t="n">
        <v>48.7</v>
      </c>
      <c r="IW207" s="9" t="n">
        <f aca="false">(IS207+IT207+IU207+IV207)/4</f>
        <v>51.35</v>
      </c>
      <c r="IX207" s="16" t="n">
        <v>45203</v>
      </c>
      <c r="IY207" s="42" t="s">
        <v>268</v>
      </c>
    </row>
    <row r="208" customFormat="false" ht="15.75" hidden="false" customHeight="true" outlineLevel="0" collapsed="false">
      <c r="A208" s="9" t="s">
        <v>259</v>
      </c>
      <c r="B208" s="10" t="s">
        <v>733</v>
      </c>
      <c r="C208" s="10" t="s">
        <v>727</v>
      </c>
      <c r="D208" s="9" t="n">
        <v>2</v>
      </c>
      <c r="E208" s="9" t="n">
        <v>69</v>
      </c>
      <c r="F208" s="10" t="s">
        <v>738</v>
      </c>
      <c r="G208" s="10" t="s">
        <v>275</v>
      </c>
      <c r="H208" s="9" t="n">
        <v>21</v>
      </c>
      <c r="I208" s="9" t="n">
        <v>20</v>
      </c>
      <c r="J208" s="10" t="s">
        <v>272</v>
      </c>
      <c r="K208" s="20"/>
      <c r="L208" s="20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 t="n">
        <v>0</v>
      </c>
      <c r="Y208" s="9" t="n">
        <v>0</v>
      </c>
      <c r="Z208" s="9" t="n">
        <v>0</v>
      </c>
      <c r="AA208" s="9" t="n">
        <v>0</v>
      </c>
      <c r="AB208" s="11" t="n">
        <f aca="false">(X208+Y208+Z208+AA208)/4</f>
        <v>0</v>
      </c>
      <c r="AC208" s="9" t="n">
        <v>1</v>
      </c>
      <c r="AD208" s="9" t="n">
        <v>1</v>
      </c>
      <c r="AE208" s="9" t="n">
        <v>1</v>
      </c>
      <c r="AF208" s="9" t="n">
        <v>1</v>
      </c>
      <c r="AG208" s="11" t="n">
        <f aca="false">(AC208+AD208+AE208+AF208)/4</f>
        <v>1</v>
      </c>
      <c r="AH208" s="9" t="n">
        <v>1</v>
      </c>
      <c r="AI208" s="9" t="n">
        <v>1</v>
      </c>
      <c r="AJ208" s="9" t="n">
        <v>1</v>
      </c>
      <c r="AK208" s="9" t="n">
        <v>1</v>
      </c>
      <c r="AL208" s="11" t="n">
        <f aca="false">(AH208+AI208+AJ208+AK208)/4</f>
        <v>1</v>
      </c>
      <c r="AM208" s="9" t="n">
        <v>20</v>
      </c>
      <c r="AN208" s="9" t="n">
        <v>59</v>
      </c>
      <c r="AO208" s="9" t="n">
        <v>60</v>
      </c>
      <c r="AP208" s="9" t="n">
        <v>38</v>
      </c>
      <c r="AQ208" s="11" t="n">
        <f aca="false">(AM208+AN208+AO208+AP208)/4</f>
        <v>44.25</v>
      </c>
      <c r="AR208" s="9" t="n">
        <v>10</v>
      </c>
      <c r="AS208" s="9" t="n">
        <v>8</v>
      </c>
      <c r="AT208" s="9" t="n">
        <v>12</v>
      </c>
      <c r="AU208" s="9" t="n">
        <v>4</v>
      </c>
      <c r="AV208" s="11" t="n">
        <f aca="false">(AR208+AS208+AT208+AU208)/4</f>
        <v>8.5</v>
      </c>
      <c r="AW208" s="9" t="n">
        <v>0</v>
      </c>
      <c r="AX208" s="9" t="n">
        <v>0</v>
      </c>
      <c r="AY208" s="9" t="n">
        <v>0</v>
      </c>
      <c r="AZ208" s="9" t="n">
        <v>0</v>
      </c>
      <c r="BA208" s="11" t="n">
        <f aca="false">(AW208+AX208+AY208+AZ208)/4</f>
        <v>0</v>
      </c>
      <c r="BB208" s="11" t="n">
        <f aca="false">(AW208/AR208)</f>
        <v>0</v>
      </c>
      <c r="BC208" s="11" t="n">
        <f aca="false">(AX208/AS208)</f>
        <v>0</v>
      </c>
      <c r="BD208" s="11" t="n">
        <f aca="false">(AY208/AT208)</f>
        <v>0</v>
      </c>
      <c r="BE208" s="11" t="n">
        <f aca="false">(AZ208/AU208)</f>
        <v>0</v>
      </c>
      <c r="BF208" s="11" t="n">
        <f aca="false">(BA208/AV208)</f>
        <v>0</v>
      </c>
      <c r="BG208" s="11" t="n">
        <f aca="false">(BF208*100)</f>
        <v>0</v>
      </c>
      <c r="BH208" s="9" t="n">
        <v>0</v>
      </c>
      <c r="BI208" s="9" t="n">
        <v>4</v>
      </c>
      <c r="BJ208" s="9" t="n">
        <v>5</v>
      </c>
      <c r="BK208" s="9" t="n">
        <v>4</v>
      </c>
      <c r="BL208" s="9" t="n">
        <v>2</v>
      </c>
      <c r="BM208" s="11" t="n">
        <f aca="false">(BI208+BJ208+BK208+BL208)/4</f>
        <v>3.75</v>
      </c>
      <c r="BN208" s="11" t="n">
        <f aca="false">(BI208/AR208)</f>
        <v>0.4</v>
      </c>
      <c r="BO208" s="11" t="n">
        <f aca="false">(BJ208/AS208)</f>
        <v>0.625</v>
      </c>
      <c r="BP208" s="11" t="n">
        <f aca="false">(BK208/AT208)</f>
        <v>0.333333333333333</v>
      </c>
      <c r="BQ208" s="11" t="n">
        <f aca="false">(BL208/AU208)</f>
        <v>0.5</v>
      </c>
      <c r="BR208" s="11" t="n">
        <f aca="false">(BM208/AV208)</f>
        <v>0.441176470588235</v>
      </c>
      <c r="BS208" s="11" t="n">
        <f aca="false">(100*BR208)</f>
        <v>44.1176470588235</v>
      </c>
      <c r="BT208" s="9" t="n">
        <v>3</v>
      </c>
      <c r="BU208" s="9" t="n">
        <v>0</v>
      </c>
      <c r="BV208" s="9" t="n">
        <v>0</v>
      </c>
      <c r="BW208" s="9" t="n">
        <v>0</v>
      </c>
      <c r="BX208" s="9" t="n">
        <v>0</v>
      </c>
      <c r="BY208" s="11" t="n">
        <f aca="false">(BU208+BV208+BW208+BX208)/4</f>
        <v>0</v>
      </c>
      <c r="BZ208" s="11" t="n">
        <f aca="false">(BU208/AR208)</f>
        <v>0</v>
      </c>
      <c r="CA208" s="11" t="n">
        <f aca="false">(BV208/AS208)</f>
        <v>0</v>
      </c>
      <c r="CB208" s="11" t="n">
        <f aca="false">(BW208/AT208)</f>
        <v>0</v>
      </c>
      <c r="CC208" s="11" t="n">
        <f aca="false">(BX208/AU208)</f>
        <v>0</v>
      </c>
      <c r="CD208" s="11" t="n">
        <f aca="false">(BY208/AV208)</f>
        <v>0</v>
      </c>
      <c r="CE208" s="11" t="n">
        <f aca="false">(100*CD208)</f>
        <v>0</v>
      </c>
      <c r="CF208" s="9" t="n">
        <v>0</v>
      </c>
      <c r="CG208" s="9" t="n">
        <v>2</v>
      </c>
      <c r="CH208" s="9" t="n">
        <v>1</v>
      </c>
      <c r="CI208" s="9" t="n">
        <v>8</v>
      </c>
      <c r="CJ208" s="9" t="n">
        <v>10</v>
      </c>
      <c r="CK208" s="11" t="n">
        <f aca="false">(CG208+CH208+CI208+CJ208)/4</f>
        <v>5.25</v>
      </c>
      <c r="CL208" s="11" t="n">
        <f aca="false">(CG208/AM208)</f>
        <v>0.1</v>
      </c>
      <c r="CM208" s="11" t="n">
        <f aca="false">(CH208/AN208)</f>
        <v>0.0169491525423729</v>
      </c>
      <c r="CN208" s="11" t="n">
        <f aca="false">(CI208/AO208)</f>
        <v>0.133333333333333</v>
      </c>
      <c r="CO208" s="9" t="n">
        <f aca="false">(CJ208/AP208)</f>
        <v>0.263157894736842</v>
      </c>
      <c r="CP208" s="9" t="n">
        <f aca="false">(CK208/AQ208)</f>
        <v>0.11864406779661</v>
      </c>
      <c r="CQ208" s="9" t="n">
        <f aca="false">(100*CP208)</f>
        <v>11.864406779661</v>
      </c>
      <c r="CR208" s="18" t="n">
        <v>2</v>
      </c>
      <c r="CS208" s="9" t="n">
        <v>47.3</v>
      </c>
      <c r="CT208" s="9" t="n">
        <v>49.4</v>
      </c>
      <c r="CU208" s="9" t="n">
        <v>42.9</v>
      </c>
      <c r="CV208" s="9" t="n">
        <v>49.1</v>
      </c>
      <c r="CW208" s="11" t="n">
        <f aca="false">(CS208+CT208+CU208+CV208)/4</f>
        <v>47.175</v>
      </c>
      <c r="CX208" s="9" t="n">
        <v>0</v>
      </c>
      <c r="CY208" s="9" t="n">
        <v>0</v>
      </c>
      <c r="CZ208" s="9" t="n">
        <v>0</v>
      </c>
      <c r="DA208" s="9" t="n">
        <v>0</v>
      </c>
      <c r="DB208" s="11" t="n">
        <f aca="false">(CX208+CY208+CZ208+DA208)/4</f>
        <v>0</v>
      </c>
      <c r="DC208" s="9" t="n">
        <v>1</v>
      </c>
      <c r="DD208" s="9" t="n">
        <v>1</v>
      </c>
      <c r="DE208" s="9" t="n">
        <v>1</v>
      </c>
      <c r="DF208" s="9" t="n">
        <v>1</v>
      </c>
      <c r="DG208" s="11" t="n">
        <f aca="false">(DC208+DD208+DE208+DF208)/4</f>
        <v>1</v>
      </c>
      <c r="DH208" s="9" t="n">
        <v>1</v>
      </c>
      <c r="DI208" s="9" t="n">
        <v>1</v>
      </c>
      <c r="DJ208" s="9" t="n">
        <v>1</v>
      </c>
      <c r="DK208" s="9" t="n">
        <v>1</v>
      </c>
      <c r="DL208" s="11" t="n">
        <f aca="false">(DH208+DI208+DJ208+DK208)/4</f>
        <v>1</v>
      </c>
      <c r="DM208" s="9" t="n">
        <v>164</v>
      </c>
      <c r="DN208" s="9" t="n">
        <v>187</v>
      </c>
      <c r="DO208" s="9" t="n">
        <v>158</v>
      </c>
      <c r="DP208" s="9" t="n">
        <v>230</v>
      </c>
      <c r="DQ208" s="11" t="n">
        <f aca="false">(DM208+DN208+DO208+DP208)/4</f>
        <v>184.75</v>
      </c>
      <c r="DR208" s="9" t="n">
        <v>7</v>
      </c>
      <c r="DS208" s="9" t="n">
        <v>9</v>
      </c>
      <c r="DT208" s="9" t="n">
        <v>8</v>
      </c>
      <c r="DU208" s="9" t="n">
        <v>7</v>
      </c>
      <c r="DV208" s="11" t="n">
        <f aca="false">(DR208+DS208+DT208+DU208)/4</f>
        <v>7.75</v>
      </c>
      <c r="DW208" s="9" t="n">
        <v>0</v>
      </c>
      <c r="DX208" s="9" t="n">
        <v>0</v>
      </c>
      <c r="DY208" s="9" t="n">
        <v>0</v>
      </c>
      <c r="DZ208" s="9" t="n">
        <v>0</v>
      </c>
      <c r="EA208" s="11" t="n">
        <f aca="false">(DW208+DX208+DY208+DZ208)/4</f>
        <v>0</v>
      </c>
      <c r="EB208" s="11" t="n">
        <f aca="false">(DW208/DR208)</f>
        <v>0</v>
      </c>
      <c r="EC208" s="11" t="n">
        <f aca="false">(DX208/DS208)</f>
        <v>0</v>
      </c>
      <c r="ED208" s="11" t="n">
        <f aca="false">(DY208/DT208)</f>
        <v>0</v>
      </c>
      <c r="EE208" s="11" t="n">
        <f aca="false">(DZ208/DU208)</f>
        <v>0</v>
      </c>
      <c r="EF208" s="11" t="n">
        <f aca="false">(EA208/DV208)</f>
        <v>0</v>
      </c>
      <c r="EG208" s="11" t="n">
        <f aca="false">(100*EF208)</f>
        <v>0</v>
      </c>
      <c r="EH208" s="9" t="n">
        <v>0</v>
      </c>
      <c r="EI208" s="9" t="n">
        <v>7</v>
      </c>
      <c r="EJ208" s="9" t="n">
        <v>6</v>
      </c>
      <c r="EK208" s="19" t="n">
        <v>5</v>
      </c>
      <c r="EL208" s="9" t="n">
        <v>6</v>
      </c>
      <c r="EM208" s="9" t="n">
        <f aca="false">(EI208+EJ208+EK208+EL208)/4</f>
        <v>6</v>
      </c>
      <c r="EN208" s="9" t="n">
        <f aca="false">(EI208/DR208)</f>
        <v>1</v>
      </c>
      <c r="EO208" s="9" t="n">
        <f aca="false">(EJ208/DS208)</f>
        <v>0.666666666666667</v>
      </c>
      <c r="EP208" s="9" t="n">
        <f aca="false">(EK208/DT208)</f>
        <v>0.625</v>
      </c>
      <c r="EQ208" s="9" t="n">
        <f aca="false">(EL208/DU208)</f>
        <v>0.857142857142857</v>
      </c>
      <c r="ER208" s="9" t="n">
        <f aca="false">EM208/DV208</f>
        <v>0.774193548387097</v>
      </c>
      <c r="ES208" s="9" t="n">
        <f aca="false">(100*ER208)</f>
        <v>77.4193548387097</v>
      </c>
      <c r="ET208" s="9" t="n">
        <v>3</v>
      </c>
      <c r="EU208" s="18" t="n">
        <v>0</v>
      </c>
      <c r="EV208" s="9" t="n">
        <v>0</v>
      </c>
      <c r="EW208" s="9" t="n">
        <v>0</v>
      </c>
      <c r="EX208" s="9" t="n">
        <v>0</v>
      </c>
      <c r="EY208" s="11" t="n">
        <f aca="false">(EU208+EV208+EW208+EX208)/4</f>
        <v>0</v>
      </c>
      <c r="EZ208" s="11" t="n">
        <f aca="false">(EU208/DR208)</f>
        <v>0</v>
      </c>
      <c r="FA208" s="11" t="n">
        <f aca="false">(EV208/DS208)</f>
        <v>0</v>
      </c>
      <c r="FB208" s="11" t="n">
        <f aca="false">(EW208/DT208)</f>
        <v>0</v>
      </c>
      <c r="FC208" s="11" t="n">
        <f aca="false">(EX208/DU208)</f>
        <v>0</v>
      </c>
      <c r="FD208" s="11" t="n">
        <f aca="false">(EY208/DV208)</f>
        <v>0</v>
      </c>
      <c r="FE208" s="11" t="n">
        <f aca="false">(100*FD208)</f>
        <v>0</v>
      </c>
      <c r="FF208" s="9" t="n">
        <v>0</v>
      </c>
      <c r="FG208" s="9" t="n">
        <v>11</v>
      </c>
      <c r="FH208" s="9" t="n">
        <v>10</v>
      </c>
      <c r="FI208" s="9" t="n">
        <v>14</v>
      </c>
      <c r="FJ208" s="9" t="n">
        <v>4</v>
      </c>
      <c r="FK208" s="11" t="n">
        <f aca="false">(FG208+FH208+FI208+FJ208)/4</f>
        <v>9.75</v>
      </c>
      <c r="FL208" s="11" t="n">
        <f aca="false">(FG208/DR208)</f>
        <v>1.57142857142857</v>
      </c>
      <c r="FM208" s="11" t="n">
        <f aca="false">(FH208/DS208)</f>
        <v>1.11111111111111</v>
      </c>
      <c r="FN208" s="11" t="n">
        <f aca="false">(FI208/DT208)</f>
        <v>1.75</v>
      </c>
      <c r="FO208" s="11" t="n">
        <f aca="false">(FJ208/DU208)</f>
        <v>0.571428571428571</v>
      </c>
      <c r="FP208" s="11" t="n">
        <f aca="false">(FK208/DV208)</f>
        <v>1.25806451612903</v>
      </c>
      <c r="FQ208" s="11" t="n">
        <f aca="false">(100*FP208)</f>
        <v>125.806451612903</v>
      </c>
      <c r="FR208" s="9" t="n">
        <v>3</v>
      </c>
      <c r="FS208" s="9" t="n">
        <v>55.1</v>
      </c>
      <c r="FT208" s="9" t="n">
        <v>41.7</v>
      </c>
      <c r="FU208" s="9" t="n">
        <v>40.8</v>
      </c>
      <c r="FV208" s="9" t="n">
        <v>39.9</v>
      </c>
      <c r="FW208" s="11" t="n">
        <f aca="false">(FS208+FT208+FU208+FV208)/4</f>
        <v>44.375</v>
      </c>
      <c r="FX208" s="9" t="n">
        <v>0</v>
      </c>
      <c r="FY208" s="9" t="n">
        <v>0</v>
      </c>
      <c r="FZ208" s="9" t="n">
        <v>0</v>
      </c>
      <c r="GA208" s="9" t="n">
        <v>0</v>
      </c>
      <c r="GB208" s="11" t="n">
        <f aca="false">(FX208+FY208+FZ208+GA208)/4</f>
        <v>0</v>
      </c>
      <c r="GC208" s="9" t="n">
        <v>1</v>
      </c>
      <c r="GD208" s="9" t="n">
        <v>1</v>
      </c>
      <c r="GE208" s="9" t="n">
        <v>1</v>
      </c>
      <c r="GF208" s="9" t="n">
        <v>1</v>
      </c>
      <c r="GG208" s="11" t="n">
        <f aca="false">(GC208+GD208+GE208+GF208)/4</f>
        <v>1</v>
      </c>
      <c r="GH208" s="9" t="n">
        <v>0</v>
      </c>
      <c r="GI208" s="9" t="n">
        <v>1</v>
      </c>
      <c r="GJ208" s="9" t="n">
        <v>0</v>
      </c>
      <c r="GK208" s="9" t="n">
        <v>1</v>
      </c>
      <c r="GL208" s="11" t="n">
        <f aca="false">(GH208+GI208+GJ208+GK208)/4</f>
        <v>0.5</v>
      </c>
      <c r="GM208" s="9" t="n">
        <v>38</v>
      </c>
      <c r="GN208" s="9" t="n">
        <v>83</v>
      </c>
      <c r="GO208" s="9" t="n">
        <v>96</v>
      </c>
      <c r="GP208" s="9" t="n">
        <v>120</v>
      </c>
      <c r="GQ208" s="11" t="n">
        <f aca="false">(GM208+GN208+GO208+GP208)/4</f>
        <v>84.25</v>
      </c>
      <c r="GR208" s="9" t="n">
        <v>20</v>
      </c>
      <c r="GS208" s="9" t="n">
        <v>16</v>
      </c>
      <c r="GT208" s="9" t="n">
        <v>14</v>
      </c>
      <c r="GU208" s="9" t="n">
        <v>8</v>
      </c>
      <c r="GV208" s="11" t="n">
        <f aca="false">(GR208+GS208+GT208+GU208)/4</f>
        <v>14.5</v>
      </c>
      <c r="GW208" s="9" t="n">
        <v>0</v>
      </c>
      <c r="GX208" s="9" t="n">
        <v>0</v>
      </c>
      <c r="GY208" s="9" t="n">
        <v>0</v>
      </c>
      <c r="GZ208" s="9" t="n">
        <v>0</v>
      </c>
      <c r="HA208" s="11" t="n">
        <f aca="false">(GW208+GX208+GY208+GZ208)/4</f>
        <v>0</v>
      </c>
      <c r="HB208" s="9" t="n">
        <f aca="false">(GW208/GR208)</f>
        <v>0</v>
      </c>
      <c r="HC208" s="9" t="n">
        <f aca="false">(GX208/GS208)</f>
        <v>0</v>
      </c>
      <c r="HD208" s="9" t="n">
        <f aca="false">(GY208/GT208)</f>
        <v>0</v>
      </c>
      <c r="HE208" s="9" t="n">
        <f aca="false">(GZ208/GU208)/4</f>
        <v>0</v>
      </c>
      <c r="HF208" s="9" t="n">
        <f aca="false">(HB208+HC208+HD208+HE208)/4</f>
        <v>0</v>
      </c>
      <c r="HG208" s="9" t="n">
        <f aca="false">(100*HF208)</f>
        <v>0</v>
      </c>
      <c r="HH208" s="18" t="n">
        <v>0</v>
      </c>
      <c r="HI208" s="9" t="n">
        <v>9</v>
      </c>
      <c r="HJ208" s="9" t="n">
        <v>7</v>
      </c>
      <c r="HK208" s="9" t="n">
        <v>7</v>
      </c>
      <c r="HL208" s="19" t="n">
        <v>4</v>
      </c>
      <c r="HM208" s="9" t="n">
        <f aca="false">(HI208+HJ208+HK208+HL208)/4</f>
        <v>6.75</v>
      </c>
      <c r="HN208" s="9" t="n">
        <f aca="false">(HI208/GR208)</f>
        <v>0.45</v>
      </c>
      <c r="HO208" s="9" t="n">
        <f aca="false">(HJ208/GS208)</f>
        <v>0.4375</v>
      </c>
      <c r="HP208" s="9" t="n">
        <f aca="false">(HK208/GT208)</f>
        <v>0.5</v>
      </c>
      <c r="HQ208" s="9" t="n">
        <f aca="false">(HL208/GU208)</f>
        <v>0.5</v>
      </c>
      <c r="HR208" s="9" t="n">
        <f aca="false">(HM208/GV208)</f>
        <v>0.46551724137931</v>
      </c>
      <c r="HS208" s="9" t="n">
        <f aca="false">(100*HR208)</f>
        <v>46.551724137931</v>
      </c>
      <c r="HT208" s="18" t="n">
        <v>3</v>
      </c>
      <c r="HU208" s="9" t="n">
        <v>0</v>
      </c>
      <c r="HV208" s="9" t="n">
        <v>0</v>
      </c>
      <c r="HW208" s="9" t="n">
        <v>0</v>
      </c>
      <c r="HX208" s="19" t="n">
        <v>0</v>
      </c>
      <c r="HY208" s="9" t="n">
        <f aca="false">(HU208+HV208+HW208+HX208)/4</f>
        <v>0</v>
      </c>
      <c r="HZ208" s="9" t="n">
        <f aca="false">(HU208/GR208)</f>
        <v>0</v>
      </c>
      <c r="IA208" s="9" t="n">
        <f aca="false">HV208/GS208</f>
        <v>0</v>
      </c>
      <c r="IB208" s="9" t="n">
        <f aca="false">(HW208/GT208)</f>
        <v>0</v>
      </c>
      <c r="IC208" s="9" t="n">
        <f aca="false">(HX208/GU208)</f>
        <v>0</v>
      </c>
      <c r="ID208" s="9" t="n">
        <f aca="false">(HY208/GV208)</f>
        <v>0</v>
      </c>
      <c r="IE208" s="9" t="n">
        <f aca="false">(100*ID208)</f>
        <v>0</v>
      </c>
      <c r="IF208" s="18" t="n">
        <v>0</v>
      </c>
      <c r="IG208" s="9" t="n">
        <v>0</v>
      </c>
      <c r="IH208" s="9" t="n">
        <v>5</v>
      </c>
      <c r="II208" s="19" t="n">
        <v>0</v>
      </c>
      <c r="IJ208" s="9" t="n">
        <v>7</v>
      </c>
      <c r="IK208" s="9" t="n">
        <f aca="false">(IG208+IH208+II208+IJ208)/4</f>
        <v>3</v>
      </c>
      <c r="IL208" s="9" t="n">
        <f aca="false">(IG208/GM208)</f>
        <v>0</v>
      </c>
      <c r="IM208" s="9" t="n">
        <f aca="false">(IH208/GN208)</f>
        <v>0.0602409638554217</v>
      </c>
      <c r="IN208" s="9" t="n">
        <f aca="false">(II208/GO208)</f>
        <v>0</v>
      </c>
      <c r="IO208" s="9" t="n">
        <f aca="false">(IJ208/GP208)</f>
        <v>0.0583333333333333</v>
      </c>
      <c r="IP208" s="9" t="n">
        <f aca="false">(IK208/GQ208)</f>
        <v>0.0356083086053413</v>
      </c>
      <c r="IQ208" s="9" t="n">
        <f aca="false">(100*IP208)</f>
        <v>3.56083086053412</v>
      </c>
      <c r="IR208" s="18" t="n">
        <v>1</v>
      </c>
      <c r="IS208" s="9" t="n">
        <v>50.3</v>
      </c>
      <c r="IT208" s="9" t="n">
        <v>48.1</v>
      </c>
      <c r="IU208" s="19" t="n">
        <v>46</v>
      </c>
      <c r="IV208" s="9" t="n">
        <v>39.8</v>
      </c>
      <c r="IW208" s="9" t="n">
        <f aca="false">(IS208+IT208+IU208+IV208)/4</f>
        <v>46.05</v>
      </c>
      <c r="IX208" s="16" t="n">
        <v>45203</v>
      </c>
      <c r="IY208" s="42" t="s">
        <v>268</v>
      </c>
    </row>
    <row r="209" customFormat="false" ht="15.75" hidden="false" customHeight="true" outlineLevel="0" collapsed="false">
      <c r="A209" s="9" t="s">
        <v>259</v>
      </c>
      <c r="B209" s="10" t="s">
        <v>739</v>
      </c>
      <c r="C209" s="10" t="s">
        <v>727</v>
      </c>
      <c r="D209" s="9" t="n">
        <v>3</v>
      </c>
      <c r="E209" s="9" t="n">
        <v>70</v>
      </c>
      <c r="F209" s="10" t="s">
        <v>740</v>
      </c>
      <c r="G209" s="10" t="s">
        <v>320</v>
      </c>
      <c r="H209" s="9" t="n">
        <v>21</v>
      </c>
      <c r="I209" s="9" t="n">
        <v>7</v>
      </c>
      <c r="J209" s="12" t="s">
        <v>264</v>
      </c>
      <c r="K209" s="13" t="s">
        <v>741</v>
      </c>
      <c r="L209" s="13" t="s">
        <v>742</v>
      </c>
      <c r="M209" s="14" t="n">
        <v>1302</v>
      </c>
      <c r="N209" s="15" t="n">
        <v>45155</v>
      </c>
      <c r="O209" s="10" t="s">
        <v>294</v>
      </c>
      <c r="P209" s="9"/>
      <c r="Q209" s="9" t="n">
        <v>1.03</v>
      </c>
      <c r="R209" s="9" t="n">
        <v>15</v>
      </c>
      <c r="S209" s="9" t="n">
        <v>-5</v>
      </c>
      <c r="T209" s="9" t="n">
        <v>120</v>
      </c>
      <c r="U209" s="9"/>
      <c r="V209" s="9" t="n">
        <v>3.04</v>
      </c>
      <c r="W209" s="43" t="s">
        <v>743</v>
      </c>
      <c r="X209" s="9" t="n">
        <v>0</v>
      </c>
      <c r="Y209" s="9" t="n">
        <v>0</v>
      </c>
      <c r="Z209" s="9" t="n">
        <v>0</v>
      </c>
      <c r="AA209" s="9" t="n">
        <v>0</v>
      </c>
      <c r="AB209" s="11" t="n">
        <f aca="false">(X209+Y209+Z209+AA209)/4</f>
        <v>0</v>
      </c>
      <c r="AC209" s="9" t="n">
        <v>1</v>
      </c>
      <c r="AD209" s="9" t="n">
        <v>0</v>
      </c>
      <c r="AE209" s="9" t="n">
        <v>0</v>
      </c>
      <c r="AF209" s="9" t="n">
        <v>1</v>
      </c>
      <c r="AG209" s="11" t="n">
        <f aca="false">(AC209+AD209+AE209+AF209)/4</f>
        <v>0.5</v>
      </c>
      <c r="AH209" s="9" t="n">
        <v>1</v>
      </c>
      <c r="AI209" s="9" t="n">
        <v>1</v>
      </c>
      <c r="AJ209" s="9" t="n">
        <v>1</v>
      </c>
      <c r="AK209" s="9" t="n">
        <v>1</v>
      </c>
      <c r="AL209" s="11" t="n">
        <f aca="false">(AH209+AI209+AJ209+AK209)/4</f>
        <v>1</v>
      </c>
      <c r="AM209" s="9" t="n">
        <v>71</v>
      </c>
      <c r="AN209" s="9" t="n">
        <v>22</v>
      </c>
      <c r="AO209" s="9" t="n">
        <v>43</v>
      </c>
      <c r="AP209" s="9" t="n">
        <v>95</v>
      </c>
      <c r="AQ209" s="11" t="n">
        <f aca="false">(AM209+AN209+AO209+AP209)/4</f>
        <v>57.75</v>
      </c>
      <c r="AR209" s="9" t="n">
        <v>21</v>
      </c>
      <c r="AS209" s="9" t="n">
        <v>36</v>
      </c>
      <c r="AT209" s="9" t="n">
        <v>54</v>
      </c>
      <c r="AU209" s="9" t="n">
        <v>13</v>
      </c>
      <c r="AV209" s="11" t="n">
        <f aca="false">(AR209+AS209+AT209+AU209)/4</f>
        <v>31</v>
      </c>
      <c r="AW209" s="9" t="n">
        <v>0</v>
      </c>
      <c r="AX209" s="9" t="n">
        <v>0</v>
      </c>
      <c r="AY209" s="9" t="n">
        <v>0</v>
      </c>
      <c r="AZ209" s="9" t="n">
        <v>0</v>
      </c>
      <c r="BA209" s="11" t="n">
        <f aca="false">(AW209+AX209+AY209+AZ209)/4</f>
        <v>0</v>
      </c>
      <c r="BB209" s="11" t="n">
        <f aca="false">(AW209/AR209)</f>
        <v>0</v>
      </c>
      <c r="BC209" s="11" t="n">
        <f aca="false">(AX209/AS209)</f>
        <v>0</v>
      </c>
      <c r="BD209" s="11" t="n">
        <f aca="false">(AY209/AT209)</f>
        <v>0</v>
      </c>
      <c r="BE209" s="11" t="n">
        <f aca="false">(AZ209/AU209)</f>
        <v>0</v>
      </c>
      <c r="BF209" s="11" t="n">
        <f aca="false">(BA209/AV209)</f>
        <v>0</v>
      </c>
      <c r="BG209" s="11" t="n">
        <f aca="false">(BF209*100)</f>
        <v>0</v>
      </c>
      <c r="BH209" s="9" t="n">
        <v>0</v>
      </c>
      <c r="BI209" s="9" t="n">
        <v>1</v>
      </c>
      <c r="BJ209" s="9" t="n">
        <v>0</v>
      </c>
      <c r="BK209" s="9" t="n">
        <v>0</v>
      </c>
      <c r="BL209" s="9" t="n">
        <v>1</v>
      </c>
      <c r="BM209" s="11" t="n">
        <f aca="false">(BI209+BJ209+BK209+BL209)/4</f>
        <v>0.5</v>
      </c>
      <c r="BN209" s="11" t="n">
        <f aca="false">(BI209/AR209)</f>
        <v>0.0476190476190476</v>
      </c>
      <c r="BO209" s="11" t="n">
        <f aca="false">(BJ209/AS209)</f>
        <v>0</v>
      </c>
      <c r="BP209" s="11" t="n">
        <f aca="false">(BK209/AT209)</f>
        <v>0</v>
      </c>
      <c r="BQ209" s="11" t="n">
        <f aca="false">(BL209/AU209)</f>
        <v>0.0769230769230769</v>
      </c>
      <c r="BR209" s="11" t="n">
        <f aca="false">(BM209/AV209)</f>
        <v>0.0161290322580645</v>
      </c>
      <c r="BS209" s="11" t="n">
        <f aca="false">(100*BR209)</f>
        <v>1.61290322580645</v>
      </c>
      <c r="BT209" s="9" t="n">
        <v>1</v>
      </c>
      <c r="BU209" s="9" t="n">
        <v>1</v>
      </c>
      <c r="BV209" s="9" t="n">
        <v>0</v>
      </c>
      <c r="BW209" s="9" t="n">
        <v>0</v>
      </c>
      <c r="BX209" s="9" t="n">
        <v>0</v>
      </c>
      <c r="BY209" s="11" t="n">
        <f aca="false">(BU209+BV209+BW209+BX209)/4</f>
        <v>0.25</v>
      </c>
      <c r="BZ209" s="11" t="n">
        <f aca="false">(BU209/AR209)</f>
        <v>0.0476190476190476</v>
      </c>
      <c r="CA209" s="11" t="n">
        <f aca="false">(BV209/AS209)</f>
        <v>0</v>
      </c>
      <c r="CB209" s="11" t="n">
        <f aca="false">(BW209/AT209)</f>
        <v>0</v>
      </c>
      <c r="CC209" s="11" t="n">
        <f aca="false">(BX209/AU209)</f>
        <v>0</v>
      </c>
      <c r="CD209" s="11" t="n">
        <f aca="false">(BY209/AV209)</f>
        <v>0.00806451612903226</v>
      </c>
      <c r="CE209" s="11" t="n">
        <f aca="false">(100*CD209)</f>
        <v>0.806451612903226</v>
      </c>
      <c r="CF209" s="9" t="n">
        <v>1</v>
      </c>
      <c r="CG209" s="9" t="n">
        <v>5</v>
      </c>
      <c r="CH209" s="9" t="n">
        <v>5</v>
      </c>
      <c r="CI209" s="9" t="n">
        <v>2</v>
      </c>
      <c r="CJ209" s="9" t="n">
        <v>2</v>
      </c>
      <c r="CK209" s="11" t="n">
        <f aca="false">(CG209+CH209+CI209+CJ209)/4</f>
        <v>3.5</v>
      </c>
      <c r="CL209" s="11" t="n">
        <f aca="false">(CG209/AM209)</f>
        <v>0.0704225352112676</v>
      </c>
      <c r="CM209" s="11" t="n">
        <f aca="false">(CH209/AN209)</f>
        <v>0.227272727272727</v>
      </c>
      <c r="CN209" s="11" t="n">
        <f aca="false">(CI209/AO209)</f>
        <v>0.0465116279069767</v>
      </c>
      <c r="CO209" s="9" t="n">
        <f aca="false">(CJ209/AP209)</f>
        <v>0.0210526315789474</v>
      </c>
      <c r="CP209" s="9" t="n">
        <f aca="false">(CK209/AQ209)</f>
        <v>0.0606060606060606</v>
      </c>
      <c r="CQ209" s="9" t="n">
        <f aca="false">(100*CP209)</f>
        <v>6.06060606060606</v>
      </c>
      <c r="CR209" s="18" t="n">
        <v>1</v>
      </c>
      <c r="CS209" s="9" t="n">
        <v>47</v>
      </c>
      <c r="CT209" s="9" t="n">
        <v>42.5</v>
      </c>
      <c r="CU209" s="9" t="n">
        <v>51.6</v>
      </c>
      <c r="CV209" s="9" t="n">
        <v>55.9</v>
      </c>
      <c r="CW209" s="11" t="n">
        <f aca="false">(CS209+CT209+CU209+CV209)/4</f>
        <v>49.25</v>
      </c>
      <c r="CX209" s="9" t="n">
        <v>0</v>
      </c>
      <c r="CY209" s="9" t="n">
        <v>0</v>
      </c>
      <c r="CZ209" s="9" t="n">
        <v>0</v>
      </c>
      <c r="DA209" s="9" t="n">
        <v>0</v>
      </c>
      <c r="DB209" s="11" t="n">
        <f aca="false">(CX209+CY209+CZ209+DA209)/4</f>
        <v>0</v>
      </c>
      <c r="DC209" s="9" t="n">
        <v>1</v>
      </c>
      <c r="DD209" s="9" t="n">
        <v>1</v>
      </c>
      <c r="DE209" s="9" t="n">
        <v>1</v>
      </c>
      <c r="DF209" s="9" t="n">
        <v>1</v>
      </c>
      <c r="DG209" s="11" t="n">
        <f aca="false">(DC209+DD209+DE209+DF209)/4</f>
        <v>1</v>
      </c>
      <c r="DH209" s="9" t="n">
        <v>1</v>
      </c>
      <c r="DI209" s="9" t="n">
        <v>1</v>
      </c>
      <c r="DJ209" s="9" t="n">
        <v>1</v>
      </c>
      <c r="DK209" s="9" t="n">
        <v>1</v>
      </c>
      <c r="DL209" s="11" t="n">
        <f aca="false">(DH209+DI209+DJ209+DK209)/4</f>
        <v>1</v>
      </c>
      <c r="DM209" s="9" t="n">
        <v>242</v>
      </c>
      <c r="DN209" s="9" t="n">
        <v>311</v>
      </c>
      <c r="DO209" s="9" t="n">
        <v>253</v>
      </c>
      <c r="DP209" s="9" t="n">
        <v>207</v>
      </c>
      <c r="DQ209" s="11" t="n">
        <f aca="false">(DM209+DN209+DO209+DP209)/4</f>
        <v>253.25</v>
      </c>
      <c r="DR209" s="9" t="n">
        <v>18</v>
      </c>
      <c r="DS209" s="9" t="n">
        <v>20</v>
      </c>
      <c r="DT209" s="9" t="n">
        <v>23</v>
      </c>
      <c r="DU209" s="9" t="n">
        <v>25</v>
      </c>
      <c r="DV209" s="11" t="n">
        <f aca="false">(DR209+DS209+DT209+DU209)/4</f>
        <v>21.5</v>
      </c>
      <c r="DW209" s="9" t="n">
        <v>0</v>
      </c>
      <c r="DX209" s="9" t="n">
        <v>0</v>
      </c>
      <c r="DY209" s="9" t="n">
        <v>0</v>
      </c>
      <c r="DZ209" s="9" t="n">
        <v>0</v>
      </c>
      <c r="EA209" s="11" t="n">
        <f aca="false">(DW209+DX209+DY209+DZ209)/4</f>
        <v>0</v>
      </c>
      <c r="EB209" s="11" t="n">
        <f aca="false">(DW209/DR209)</f>
        <v>0</v>
      </c>
      <c r="EC209" s="11" t="n">
        <f aca="false">(DX209/DS209)</f>
        <v>0</v>
      </c>
      <c r="ED209" s="11" t="n">
        <f aca="false">(DY209/DT209)</f>
        <v>0</v>
      </c>
      <c r="EE209" s="11" t="n">
        <f aca="false">(DZ209/DU209)</f>
        <v>0</v>
      </c>
      <c r="EF209" s="11" t="n">
        <f aca="false">(EA209/DV209)</f>
        <v>0</v>
      </c>
      <c r="EG209" s="11" t="n">
        <f aca="false">(100*EF209)</f>
        <v>0</v>
      </c>
      <c r="EH209" s="9" t="n">
        <v>0</v>
      </c>
      <c r="EI209" s="9" t="n">
        <v>1</v>
      </c>
      <c r="EJ209" s="9" t="n">
        <v>3</v>
      </c>
      <c r="EK209" s="19" t="n">
        <v>3</v>
      </c>
      <c r="EL209" s="9" t="n">
        <v>2</v>
      </c>
      <c r="EM209" s="9" t="n">
        <f aca="false">(EI209+EJ209+EK209+EL209)/4</f>
        <v>2.25</v>
      </c>
      <c r="EN209" s="9" t="n">
        <f aca="false">(EI209/DR209)</f>
        <v>0.0555555555555556</v>
      </c>
      <c r="EO209" s="9" t="n">
        <f aca="false">(EJ209/DS209)</f>
        <v>0.15</v>
      </c>
      <c r="EP209" s="9" t="n">
        <f aca="false">(EK209/DT209)</f>
        <v>0.130434782608696</v>
      </c>
      <c r="EQ209" s="9" t="n">
        <f aca="false">(EL209/DU209)</f>
        <v>0.08</v>
      </c>
      <c r="ER209" s="9" t="n">
        <f aca="false">EM209/DV209</f>
        <v>0.104651162790698</v>
      </c>
      <c r="ES209" s="9" t="n">
        <f aca="false">(100*ER209)</f>
        <v>10.4651162790698</v>
      </c>
      <c r="ET209" s="9" t="n">
        <v>2</v>
      </c>
      <c r="EU209" s="18" t="n">
        <v>0</v>
      </c>
      <c r="EV209" s="9" t="n">
        <v>0</v>
      </c>
      <c r="EW209" s="9" t="n">
        <v>0</v>
      </c>
      <c r="EX209" s="9" t="n">
        <v>7</v>
      </c>
      <c r="EY209" s="11" t="n">
        <f aca="false">(EU209+EV209+EW209+EX209)/4</f>
        <v>1.75</v>
      </c>
      <c r="EZ209" s="11" t="n">
        <f aca="false">(EU209/DR209)</f>
        <v>0</v>
      </c>
      <c r="FA209" s="11" t="n">
        <f aca="false">(EV209/DS209)</f>
        <v>0</v>
      </c>
      <c r="FB209" s="11" t="n">
        <f aca="false">(EW209/DT209)</f>
        <v>0</v>
      </c>
      <c r="FC209" s="11" t="n">
        <f aca="false">(EX209/DU209)</f>
        <v>0.28</v>
      </c>
      <c r="FD209" s="11" t="n">
        <f aca="false">(EY209/DV209)</f>
        <v>0.0813953488372093</v>
      </c>
      <c r="FE209" s="11" t="n">
        <f aca="false">(100*FD209)</f>
        <v>8.13953488372093</v>
      </c>
      <c r="FF209" s="9" t="n">
        <v>1</v>
      </c>
      <c r="FG209" s="9" t="n">
        <v>1</v>
      </c>
      <c r="FH209" s="9" t="n">
        <v>4</v>
      </c>
      <c r="FI209" s="9" t="n">
        <v>4</v>
      </c>
      <c r="FJ209" s="9" t="n">
        <v>7</v>
      </c>
      <c r="FK209" s="11" t="n">
        <f aca="false">(FG209+FH209+FI209+FJ209)/4</f>
        <v>4</v>
      </c>
      <c r="FL209" s="11" t="n">
        <f aca="false">(FG209/DR209)</f>
        <v>0.0555555555555556</v>
      </c>
      <c r="FM209" s="11" t="n">
        <f aca="false">(FH209/DS209)</f>
        <v>0.2</v>
      </c>
      <c r="FN209" s="11" t="n">
        <f aca="false">(FI209/DT209)</f>
        <v>0.173913043478261</v>
      </c>
      <c r="FO209" s="11" t="n">
        <f aca="false">(FJ209/DU209)</f>
        <v>0.28</v>
      </c>
      <c r="FP209" s="11" t="n">
        <f aca="false">(FK209/DV209)</f>
        <v>0.186046511627907</v>
      </c>
      <c r="FQ209" s="11" t="n">
        <f aca="false">(100*FP209)</f>
        <v>18.6046511627907</v>
      </c>
      <c r="FR209" s="9" t="n">
        <v>2</v>
      </c>
      <c r="FS209" s="9" t="n">
        <v>49.4</v>
      </c>
      <c r="FT209" s="9" t="n">
        <v>47.6</v>
      </c>
      <c r="FU209" s="9" t="n">
        <v>55.9</v>
      </c>
      <c r="FV209" s="9" t="n">
        <v>47.5</v>
      </c>
      <c r="FW209" s="11" t="n">
        <f aca="false">(FS209+FT209+FU209+FV209)/4</f>
        <v>50.1</v>
      </c>
      <c r="FX209" s="9" t="n">
        <v>0</v>
      </c>
      <c r="FY209" s="9" t="n">
        <v>0</v>
      </c>
      <c r="FZ209" s="9" t="n">
        <v>0</v>
      </c>
      <c r="GA209" s="9" t="n">
        <v>0</v>
      </c>
      <c r="GB209" s="11" t="n">
        <f aca="false">(FX209+FY209+FZ209+GA209)/4</f>
        <v>0</v>
      </c>
      <c r="GC209" s="9" t="n">
        <v>1</v>
      </c>
      <c r="GD209" s="9" t="n">
        <v>0</v>
      </c>
      <c r="GE209" s="9" t="n">
        <v>0</v>
      </c>
      <c r="GF209" s="9" t="n">
        <v>0</v>
      </c>
      <c r="GG209" s="11" t="n">
        <f aca="false">(GC209+GD209+GE209+GF209)/4</f>
        <v>0.25</v>
      </c>
      <c r="GH209" s="9" t="n">
        <v>1</v>
      </c>
      <c r="GI209" s="9" t="n">
        <v>0</v>
      </c>
      <c r="GJ209" s="9" t="n">
        <v>1</v>
      </c>
      <c r="GK209" s="9" t="n">
        <v>1</v>
      </c>
      <c r="GL209" s="11" t="n">
        <f aca="false">(GH209+GI209+GJ209+GK209)/4</f>
        <v>0.75</v>
      </c>
      <c r="GM209" s="9" t="n">
        <v>103</v>
      </c>
      <c r="GN209" s="9" t="n">
        <v>44</v>
      </c>
      <c r="GO209" s="9" t="n">
        <v>159</v>
      </c>
      <c r="GP209" s="9" t="n">
        <v>65</v>
      </c>
      <c r="GQ209" s="11" t="n">
        <f aca="false">(GM209+GN209+GO209+GP209)/4</f>
        <v>92.75</v>
      </c>
      <c r="GR209" s="9" t="n">
        <v>24</v>
      </c>
      <c r="GS209" s="9" t="n">
        <v>25</v>
      </c>
      <c r="GT209" s="9" t="n">
        <v>14</v>
      </c>
      <c r="GU209" s="9" t="n">
        <v>36</v>
      </c>
      <c r="GV209" s="11" t="n">
        <f aca="false">(GR209+GS209+GT209+GU209)/4</f>
        <v>24.75</v>
      </c>
      <c r="GW209" s="9" t="n">
        <v>0</v>
      </c>
      <c r="GX209" s="9" t="n">
        <v>0</v>
      </c>
      <c r="GY209" s="9" t="n">
        <v>0</v>
      </c>
      <c r="GZ209" s="9" t="n">
        <v>0</v>
      </c>
      <c r="HA209" s="11" t="n">
        <f aca="false">(GW209+GX209+GY209+GZ209)/4</f>
        <v>0</v>
      </c>
      <c r="HB209" s="9" t="n">
        <f aca="false">(GW209/GR209)</f>
        <v>0</v>
      </c>
      <c r="HC209" s="9" t="n">
        <f aca="false">(GX209/GS209)</f>
        <v>0</v>
      </c>
      <c r="HD209" s="9" t="n">
        <f aca="false">(GY209/GT209)</f>
        <v>0</v>
      </c>
      <c r="HE209" s="9" t="n">
        <f aca="false">(GZ209/GU209)/4</f>
        <v>0</v>
      </c>
      <c r="HF209" s="9" t="n">
        <f aca="false">(HB209+HC209+HD209+HE209)/4</f>
        <v>0</v>
      </c>
      <c r="HG209" s="9" t="n">
        <f aca="false">(100*HF209)</f>
        <v>0</v>
      </c>
      <c r="HH209" s="18" t="n">
        <v>0</v>
      </c>
      <c r="HI209" s="9" t="n">
        <v>1</v>
      </c>
      <c r="HJ209" s="9" t="n">
        <v>0</v>
      </c>
      <c r="HK209" s="9" t="n">
        <v>0</v>
      </c>
      <c r="HL209" s="19" t="n">
        <v>0</v>
      </c>
      <c r="HM209" s="9" t="n">
        <f aca="false">(HI209+HJ209+HK209+HL209)/4</f>
        <v>0.25</v>
      </c>
      <c r="HN209" s="9" t="n">
        <f aca="false">(HI209/GR209)</f>
        <v>0.0416666666666667</v>
      </c>
      <c r="HO209" s="9" t="n">
        <f aca="false">(HJ209/GS209)</f>
        <v>0</v>
      </c>
      <c r="HP209" s="9" t="n">
        <f aca="false">(HK209/GT209)</f>
        <v>0</v>
      </c>
      <c r="HQ209" s="9" t="n">
        <f aca="false">(HL209/GU209)</f>
        <v>0</v>
      </c>
      <c r="HR209" s="9" t="n">
        <f aca="false">(HM209/GV209)</f>
        <v>0.0101010101010101</v>
      </c>
      <c r="HS209" s="9" t="n">
        <f aca="false">(100*HR209)</f>
        <v>1.01010101010101</v>
      </c>
      <c r="HT209" s="18" t="n">
        <v>1</v>
      </c>
      <c r="HU209" s="9" t="n">
        <v>0</v>
      </c>
      <c r="HV209" s="9" t="n">
        <v>0</v>
      </c>
      <c r="HW209" s="9" t="n">
        <v>1</v>
      </c>
      <c r="HX209" s="19" t="n">
        <v>0</v>
      </c>
      <c r="HY209" s="9" t="n">
        <f aca="false">(HU209+HV209+HW209+HX209)/4</f>
        <v>0.25</v>
      </c>
      <c r="HZ209" s="9" t="n">
        <f aca="false">(HU209/GR209)</f>
        <v>0</v>
      </c>
      <c r="IA209" s="9" t="n">
        <f aca="false">HV209/GS209</f>
        <v>0</v>
      </c>
      <c r="IB209" s="9" t="n">
        <f aca="false">(HW209/GT209)</f>
        <v>0.0714285714285714</v>
      </c>
      <c r="IC209" s="9" t="n">
        <f aca="false">(HX209/GU209)</f>
        <v>0</v>
      </c>
      <c r="ID209" s="9" t="n">
        <f aca="false">(HY209/GV209)</f>
        <v>0.0101010101010101</v>
      </c>
      <c r="IE209" s="9" t="n">
        <f aca="false">(100*ID209)</f>
        <v>1.01010101010101</v>
      </c>
      <c r="IF209" s="18" t="n">
        <v>1</v>
      </c>
      <c r="IG209" s="9" t="n">
        <v>10</v>
      </c>
      <c r="IH209" s="9" t="n">
        <v>0</v>
      </c>
      <c r="II209" s="19" t="n">
        <v>7</v>
      </c>
      <c r="IJ209" s="9" t="n">
        <v>2</v>
      </c>
      <c r="IK209" s="9" t="n">
        <f aca="false">(IG209+IH209+II209+IJ209)/4</f>
        <v>4.75</v>
      </c>
      <c r="IL209" s="9" t="n">
        <f aca="false">(IG209/GM209)</f>
        <v>0.0970873786407767</v>
      </c>
      <c r="IM209" s="9" t="n">
        <f aca="false">(IH209/GN209)</f>
        <v>0</v>
      </c>
      <c r="IN209" s="9" t="n">
        <f aca="false">(II209/GO209)</f>
        <v>0.0440251572327044</v>
      </c>
      <c r="IO209" s="9" t="n">
        <f aca="false">(IJ209/GP209)</f>
        <v>0.0307692307692308</v>
      </c>
      <c r="IP209" s="9" t="n">
        <f aca="false">(IK209/GQ209)</f>
        <v>0.0512129380053908</v>
      </c>
      <c r="IQ209" s="9" t="n">
        <f aca="false">(100*IP209)</f>
        <v>5.12129380053908</v>
      </c>
      <c r="IR209" s="18" t="n">
        <v>1</v>
      </c>
      <c r="IS209" s="9" t="n">
        <v>46.1</v>
      </c>
      <c r="IT209" s="9" t="n">
        <v>45.6</v>
      </c>
      <c r="IU209" s="19" t="n">
        <v>29.9</v>
      </c>
      <c r="IV209" s="9" t="n">
        <v>50.2</v>
      </c>
      <c r="IW209" s="9" t="n">
        <f aca="false">(IS209+IT209+IU209+IV209)/4</f>
        <v>42.95</v>
      </c>
      <c r="IX209" s="16" t="n">
        <v>45203</v>
      </c>
      <c r="IY209" s="42" t="s">
        <v>268</v>
      </c>
    </row>
    <row r="210" customFormat="false" ht="15.75" hidden="false" customHeight="true" outlineLevel="0" collapsed="false">
      <c r="A210" s="9" t="s">
        <v>259</v>
      </c>
      <c r="B210" s="10" t="s">
        <v>739</v>
      </c>
      <c r="C210" s="10" t="s">
        <v>727</v>
      </c>
      <c r="D210" s="9" t="n">
        <v>3</v>
      </c>
      <c r="E210" s="9" t="n">
        <v>70</v>
      </c>
      <c r="F210" s="10" t="s">
        <v>744</v>
      </c>
      <c r="G210" s="10" t="s">
        <v>291</v>
      </c>
      <c r="H210" s="9" t="n">
        <v>21</v>
      </c>
      <c r="I210" s="9" t="n">
        <v>11</v>
      </c>
      <c r="J210" s="12" t="s">
        <v>270</v>
      </c>
      <c r="K210" s="20"/>
      <c r="L210" s="20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 t="n">
        <v>0</v>
      </c>
      <c r="Y210" s="9" t="n">
        <v>0</v>
      </c>
      <c r="Z210" s="9" t="n">
        <v>0</v>
      </c>
      <c r="AA210" s="9" t="n">
        <v>0</v>
      </c>
      <c r="AB210" s="11" t="n">
        <f aca="false">(X210+Y210+Z210+AA210)/4</f>
        <v>0</v>
      </c>
      <c r="AC210" s="9" t="n">
        <v>1</v>
      </c>
      <c r="AD210" s="9" t="n">
        <v>1</v>
      </c>
      <c r="AE210" s="9" t="n">
        <v>1</v>
      </c>
      <c r="AF210" s="9" t="n">
        <v>1</v>
      </c>
      <c r="AG210" s="11" t="n">
        <f aca="false">(AC210+AD210+AE210+AF210)/4</f>
        <v>1</v>
      </c>
      <c r="AH210" s="9" t="n">
        <v>0</v>
      </c>
      <c r="AI210" s="9" t="n">
        <v>0</v>
      </c>
      <c r="AJ210" s="9" t="n">
        <v>0</v>
      </c>
      <c r="AK210" s="9" t="n">
        <v>0</v>
      </c>
      <c r="AL210" s="11" t="n">
        <f aca="false">(AH210+AI210+AJ210+AK210)/4</f>
        <v>0</v>
      </c>
      <c r="AM210" s="9" t="n">
        <v>4</v>
      </c>
      <c r="AN210" s="9" t="n">
        <v>3</v>
      </c>
      <c r="AO210" s="9" t="n">
        <v>7</v>
      </c>
      <c r="AP210" s="9" t="n">
        <v>37</v>
      </c>
      <c r="AQ210" s="11" t="n">
        <f aca="false">(AM210+AN210+AO210+AP210)/4</f>
        <v>12.75</v>
      </c>
      <c r="AR210" s="9" t="n">
        <v>9</v>
      </c>
      <c r="AS210" s="9" t="n">
        <v>17</v>
      </c>
      <c r="AT210" s="9" t="n">
        <v>19</v>
      </c>
      <c r="AU210" s="9" t="n">
        <v>12</v>
      </c>
      <c r="AV210" s="11" t="n">
        <f aca="false">(AR210+AS210+AT210+AU210)/4</f>
        <v>14.25</v>
      </c>
      <c r="AW210" s="9" t="n">
        <v>0</v>
      </c>
      <c r="AX210" s="9" t="n">
        <v>0</v>
      </c>
      <c r="AY210" s="9" t="n">
        <v>0</v>
      </c>
      <c r="AZ210" s="9" t="n">
        <v>0</v>
      </c>
      <c r="BA210" s="11" t="n">
        <f aca="false">(AW210+AX210+AY210+AZ210)/4</f>
        <v>0</v>
      </c>
      <c r="BB210" s="11" t="n">
        <f aca="false">(AW210/AR210)</f>
        <v>0</v>
      </c>
      <c r="BC210" s="11" t="n">
        <f aca="false">(AX210/AS210)</f>
        <v>0</v>
      </c>
      <c r="BD210" s="11" t="n">
        <f aca="false">(AY210/AT210)</f>
        <v>0</v>
      </c>
      <c r="BE210" s="11" t="n">
        <f aca="false">(AZ210/AU210)</f>
        <v>0</v>
      </c>
      <c r="BF210" s="11" t="n">
        <f aca="false">(BA210/AV210)</f>
        <v>0</v>
      </c>
      <c r="BG210" s="11" t="n">
        <f aca="false">(BF210*100)</f>
        <v>0</v>
      </c>
      <c r="BH210" s="9" t="n">
        <v>0</v>
      </c>
      <c r="BI210" s="9" t="n">
        <v>9</v>
      </c>
      <c r="BJ210" s="9" t="n">
        <v>5</v>
      </c>
      <c r="BK210" s="9" t="n">
        <v>2</v>
      </c>
      <c r="BL210" s="9" t="n">
        <v>2</v>
      </c>
      <c r="BM210" s="11" t="n">
        <f aca="false">(BI210+BJ210+BK210+BL210)/4</f>
        <v>4.5</v>
      </c>
      <c r="BN210" s="11" t="n">
        <f aca="false">(BI210/AR210)</f>
        <v>1</v>
      </c>
      <c r="BO210" s="11" t="n">
        <f aca="false">(BJ210/AS210)</f>
        <v>0.294117647058824</v>
      </c>
      <c r="BP210" s="11" t="n">
        <f aca="false">(BK210/AT210)</f>
        <v>0.105263157894737</v>
      </c>
      <c r="BQ210" s="11" t="n">
        <f aca="false">(BL210/AU210)</f>
        <v>0.166666666666667</v>
      </c>
      <c r="BR210" s="11" t="n">
        <f aca="false">(BM210/AV210)</f>
        <v>0.315789473684211</v>
      </c>
      <c r="BS210" s="11" t="n">
        <f aca="false">(100*BR210)</f>
        <v>31.5789473684211</v>
      </c>
      <c r="BT210" s="9" t="n">
        <v>3</v>
      </c>
      <c r="BU210" s="9" t="n">
        <v>0</v>
      </c>
      <c r="BV210" s="9" t="n">
        <v>0</v>
      </c>
      <c r="BW210" s="9" t="n">
        <v>0</v>
      </c>
      <c r="BX210" s="9" t="n">
        <v>0</v>
      </c>
      <c r="BY210" s="11" t="n">
        <f aca="false">(BU210+BV210+BW210+BX210)/4</f>
        <v>0</v>
      </c>
      <c r="BZ210" s="11" t="n">
        <f aca="false">(BU210/AR210)</f>
        <v>0</v>
      </c>
      <c r="CA210" s="11" t="n">
        <f aca="false">(BV210/AS210)</f>
        <v>0</v>
      </c>
      <c r="CB210" s="11" t="n">
        <f aca="false">(BW210/AT210)</f>
        <v>0</v>
      </c>
      <c r="CC210" s="11" t="n">
        <f aca="false">(BX210/AU210)</f>
        <v>0</v>
      </c>
      <c r="CD210" s="11" t="n">
        <f aca="false">(BY210/AV210)</f>
        <v>0</v>
      </c>
      <c r="CE210" s="11" t="n">
        <f aca="false">(100*CD210)</f>
        <v>0</v>
      </c>
      <c r="CF210" s="9" t="n">
        <v>0</v>
      </c>
      <c r="CG210" s="9" t="n">
        <v>0</v>
      </c>
      <c r="CH210" s="9" t="n">
        <v>0</v>
      </c>
      <c r="CI210" s="9" t="n">
        <v>0</v>
      </c>
      <c r="CJ210" s="9" t="n">
        <v>0</v>
      </c>
      <c r="CK210" s="11" t="n">
        <f aca="false">(CG210+CH210+CI210+CJ210)/4</f>
        <v>0</v>
      </c>
      <c r="CL210" s="11" t="n">
        <f aca="false">(CG210/AM210)</f>
        <v>0</v>
      </c>
      <c r="CM210" s="11" t="n">
        <f aca="false">(CH210/AN210)</f>
        <v>0</v>
      </c>
      <c r="CN210" s="11" t="n">
        <f aca="false">(CI210/AO210)</f>
        <v>0</v>
      </c>
      <c r="CO210" s="9" t="n">
        <f aca="false">(CJ210/AP210)</f>
        <v>0</v>
      </c>
      <c r="CP210" s="9" t="n">
        <f aca="false">(CK210/AQ210)</f>
        <v>0</v>
      </c>
      <c r="CQ210" s="9" t="n">
        <f aca="false">(100*CP210)</f>
        <v>0</v>
      </c>
      <c r="CR210" s="18" t="n">
        <v>0</v>
      </c>
      <c r="CS210" s="9" t="n">
        <v>47.6</v>
      </c>
      <c r="CT210" s="9" t="n">
        <v>46.3</v>
      </c>
      <c r="CU210" s="9" t="n">
        <v>56.2</v>
      </c>
      <c r="CV210" s="9" t="n">
        <v>50.1</v>
      </c>
      <c r="CW210" s="11" t="n">
        <f aca="false">(CS210+CT210+CU210+CV210)/4</f>
        <v>50.05</v>
      </c>
      <c r="CX210" s="9" t="n">
        <v>0</v>
      </c>
      <c r="CY210" s="9" t="n">
        <v>0</v>
      </c>
      <c r="CZ210" s="9" t="n">
        <v>0</v>
      </c>
      <c r="DA210" s="9" t="n">
        <v>0</v>
      </c>
      <c r="DB210" s="11" t="n">
        <f aca="false">(CX210+CY210+CZ210+DA210)/4</f>
        <v>0</v>
      </c>
      <c r="DC210" s="9" t="n">
        <v>1</v>
      </c>
      <c r="DD210" s="9" t="n">
        <v>1</v>
      </c>
      <c r="DE210" s="9" t="n">
        <v>1</v>
      </c>
      <c r="DF210" s="9" t="n">
        <v>1</v>
      </c>
      <c r="DG210" s="11" t="n">
        <f aca="false">(DC210+DD210+DE210+DF210)/4</f>
        <v>1</v>
      </c>
      <c r="DH210" s="9" t="n">
        <v>0</v>
      </c>
      <c r="DI210" s="9" t="n">
        <v>0</v>
      </c>
      <c r="DJ210" s="9" t="n">
        <v>1</v>
      </c>
      <c r="DK210" s="9" t="n">
        <v>1</v>
      </c>
      <c r="DL210" s="11" t="n">
        <f aca="false">(DH210+DI210+DJ210+DK210)/4</f>
        <v>0.5</v>
      </c>
      <c r="DM210" s="9" t="n">
        <v>43</v>
      </c>
      <c r="DN210" s="9" t="n">
        <v>109</v>
      </c>
      <c r="DO210" s="9" t="n">
        <v>110</v>
      </c>
      <c r="DP210" s="9" t="n">
        <v>51</v>
      </c>
      <c r="DQ210" s="11" t="n">
        <f aca="false">(DM210+DN210+DO210+DP210)/4</f>
        <v>78.25</v>
      </c>
      <c r="DR210" s="9" t="n">
        <v>22</v>
      </c>
      <c r="DS210" s="9" t="n">
        <v>16</v>
      </c>
      <c r="DT210" s="9" t="n">
        <v>35</v>
      </c>
      <c r="DU210" s="9" t="n">
        <v>8</v>
      </c>
      <c r="DV210" s="11" t="n">
        <f aca="false">(DR210+DS210+DT210+DU210)/4</f>
        <v>20.25</v>
      </c>
      <c r="DW210" s="9" t="n">
        <v>0</v>
      </c>
      <c r="DX210" s="9" t="n">
        <v>0</v>
      </c>
      <c r="DY210" s="9" t="n">
        <v>0</v>
      </c>
      <c r="DZ210" s="9" t="n">
        <v>0</v>
      </c>
      <c r="EA210" s="11" t="n">
        <f aca="false">(DW210+DX210+DY210+DZ210)/4</f>
        <v>0</v>
      </c>
      <c r="EB210" s="11" t="n">
        <f aca="false">(DW210/DR210)</f>
        <v>0</v>
      </c>
      <c r="EC210" s="11" t="n">
        <f aca="false">(DX210/DS210)</f>
        <v>0</v>
      </c>
      <c r="ED210" s="11" t="n">
        <f aca="false">(DY210/DT210)</f>
        <v>0</v>
      </c>
      <c r="EE210" s="11" t="n">
        <f aca="false">(DZ210/DU210)</f>
        <v>0</v>
      </c>
      <c r="EF210" s="11" t="n">
        <f aca="false">(EA210/DV210)</f>
        <v>0</v>
      </c>
      <c r="EG210" s="11" t="n">
        <f aca="false">(100*EF210)</f>
        <v>0</v>
      </c>
      <c r="EH210" s="9" t="n">
        <v>0</v>
      </c>
      <c r="EI210" s="9" t="n">
        <v>7</v>
      </c>
      <c r="EJ210" s="9" t="n">
        <v>10</v>
      </c>
      <c r="EK210" s="19" t="n">
        <v>16</v>
      </c>
      <c r="EL210" s="9" t="n">
        <v>2</v>
      </c>
      <c r="EM210" s="9" t="n">
        <f aca="false">(EI210+EJ210+EK210+EL210)/4</f>
        <v>8.75</v>
      </c>
      <c r="EN210" s="9" t="n">
        <f aca="false">(EI210/DR210)</f>
        <v>0.318181818181818</v>
      </c>
      <c r="EO210" s="9" t="n">
        <f aca="false">(EJ210/DS210)</f>
        <v>0.625</v>
      </c>
      <c r="EP210" s="9" t="n">
        <f aca="false">(EK210/DT210)</f>
        <v>0.457142857142857</v>
      </c>
      <c r="EQ210" s="9" t="n">
        <f aca="false">(EL210/DU210)</f>
        <v>0.25</v>
      </c>
      <c r="ER210" s="9" t="n">
        <f aca="false">EM210/DV210</f>
        <v>0.432098765432099</v>
      </c>
      <c r="ES210" s="9" t="n">
        <f aca="false">(100*ER210)</f>
        <v>43.2098765432099</v>
      </c>
      <c r="ET210" s="9" t="n">
        <v>3</v>
      </c>
      <c r="EU210" s="18" t="n">
        <v>0</v>
      </c>
      <c r="EV210" s="9" t="n">
        <v>0</v>
      </c>
      <c r="EW210" s="9" t="n">
        <v>0</v>
      </c>
      <c r="EX210" s="9" t="n">
        <v>0</v>
      </c>
      <c r="EY210" s="11" t="n">
        <f aca="false">(EU210+EV210+EW210+EX210)/4</f>
        <v>0</v>
      </c>
      <c r="EZ210" s="11" t="n">
        <f aca="false">(EU210/DR210)</f>
        <v>0</v>
      </c>
      <c r="FA210" s="11" t="n">
        <f aca="false">(EV210/DS210)</f>
        <v>0</v>
      </c>
      <c r="FB210" s="11" t="n">
        <f aca="false">(EW210/DT210)</f>
        <v>0</v>
      </c>
      <c r="FC210" s="11" t="n">
        <f aca="false">(EX210/DU210)</f>
        <v>0</v>
      </c>
      <c r="FD210" s="11" t="n">
        <f aca="false">(EY210/DV210)</f>
        <v>0</v>
      </c>
      <c r="FE210" s="11" t="n">
        <f aca="false">(100*FD210)</f>
        <v>0</v>
      </c>
      <c r="FF210" s="9" t="n">
        <v>0</v>
      </c>
      <c r="FG210" s="9" t="n">
        <v>0</v>
      </c>
      <c r="FH210" s="9" t="n">
        <v>0</v>
      </c>
      <c r="FI210" s="9" t="n">
        <v>13</v>
      </c>
      <c r="FJ210" s="9" t="n">
        <v>1</v>
      </c>
      <c r="FK210" s="11" t="n">
        <f aca="false">(FG210+FH210+FI210+FJ210)/4</f>
        <v>3.5</v>
      </c>
      <c r="FL210" s="11" t="n">
        <f aca="false">(FG210/DR210)</f>
        <v>0</v>
      </c>
      <c r="FM210" s="11" t="n">
        <f aca="false">(FH210/DS210)</f>
        <v>0</v>
      </c>
      <c r="FN210" s="11" t="n">
        <f aca="false">(FI210/DT210)</f>
        <v>0.371428571428571</v>
      </c>
      <c r="FO210" s="11" t="n">
        <f aca="false">(FJ210/DU210)</f>
        <v>0.125</v>
      </c>
      <c r="FP210" s="11" t="n">
        <f aca="false">(FK210/DV210)</f>
        <v>0.17283950617284</v>
      </c>
      <c r="FQ210" s="11" t="n">
        <f aca="false">(100*FP210)</f>
        <v>17.283950617284</v>
      </c>
      <c r="FR210" s="9" t="n">
        <v>2</v>
      </c>
      <c r="FS210" s="9" t="n">
        <v>41.8</v>
      </c>
      <c r="FT210" s="9" t="n">
        <v>46.5</v>
      </c>
      <c r="FU210" s="9" t="n">
        <v>51.7</v>
      </c>
      <c r="FV210" s="9" t="n">
        <v>45.5</v>
      </c>
      <c r="FW210" s="11" t="n">
        <f aca="false">(FS210+FT210+FU210+FV210)/4</f>
        <v>46.375</v>
      </c>
      <c r="FX210" s="9" t="n">
        <v>0</v>
      </c>
      <c r="FY210" s="9" t="n">
        <v>0</v>
      </c>
      <c r="FZ210" s="9" t="n">
        <v>0</v>
      </c>
      <c r="GA210" s="9" t="n">
        <v>0</v>
      </c>
      <c r="GB210" s="11" t="n">
        <f aca="false">(FX210+FY210+FZ210+GA210)/4</f>
        <v>0</v>
      </c>
      <c r="GC210" s="9" t="n">
        <v>0</v>
      </c>
      <c r="GD210" s="9" t="n">
        <v>1</v>
      </c>
      <c r="GE210" s="9" t="n">
        <v>0</v>
      </c>
      <c r="GF210" s="9" t="n">
        <v>0</v>
      </c>
      <c r="GG210" s="11" t="n">
        <f aca="false">(GC210+GD210+GE210+GF210)/4</f>
        <v>0.25</v>
      </c>
      <c r="GH210" s="9" t="n">
        <v>1</v>
      </c>
      <c r="GI210" s="9" t="n">
        <v>1</v>
      </c>
      <c r="GJ210" s="9" t="n">
        <v>0</v>
      </c>
      <c r="GK210" s="9" t="n">
        <v>1</v>
      </c>
      <c r="GL210" s="11" t="n">
        <f aca="false">(GH210+GI210+GJ210+GK210)/4</f>
        <v>0.75</v>
      </c>
      <c r="GM210" s="9" t="n">
        <v>107</v>
      </c>
      <c r="GN210" s="9" t="n">
        <v>124</v>
      </c>
      <c r="GO210" s="9" t="n">
        <v>118</v>
      </c>
      <c r="GP210" s="9" t="n">
        <v>43</v>
      </c>
      <c r="GQ210" s="11" t="n">
        <f aca="false">(GM210+GN210+GO210+GP210)/4</f>
        <v>98</v>
      </c>
      <c r="GR210" s="9" t="n">
        <v>15</v>
      </c>
      <c r="GS210" s="9" t="n">
        <v>13</v>
      </c>
      <c r="GT210" s="9" t="n">
        <v>14</v>
      </c>
      <c r="GU210" s="9" t="n">
        <v>19</v>
      </c>
      <c r="GV210" s="11" t="n">
        <f aca="false">(GR210+GS210+GT210+GU210)/4</f>
        <v>15.25</v>
      </c>
      <c r="GW210" s="9" t="n">
        <v>0</v>
      </c>
      <c r="GX210" s="9" t="n">
        <v>0</v>
      </c>
      <c r="GY210" s="9" t="n">
        <v>0</v>
      </c>
      <c r="GZ210" s="9" t="n">
        <v>0</v>
      </c>
      <c r="HA210" s="11" t="n">
        <f aca="false">(GW210+GX210+GY210+GZ210)/4</f>
        <v>0</v>
      </c>
      <c r="HB210" s="9" t="n">
        <f aca="false">(GW210/GR210)</f>
        <v>0</v>
      </c>
      <c r="HC210" s="9" t="n">
        <f aca="false">(GX210/GS210)</f>
        <v>0</v>
      </c>
      <c r="HD210" s="9" t="n">
        <f aca="false">(GY210/GT210)</f>
        <v>0</v>
      </c>
      <c r="HE210" s="9" t="n">
        <f aca="false">(GZ210/GU210)/4</f>
        <v>0</v>
      </c>
      <c r="HF210" s="9" t="n">
        <f aca="false">(HB210+HC210+HD210+HE210)/4</f>
        <v>0</v>
      </c>
      <c r="HG210" s="9" t="n">
        <f aca="false">(100*HF210)</f>
        <v>0</v>
      </c>
      <c r="HH210" s="18" t="n">
        <v>0</v>
      </c>
      <c r="HI210" s="9" t="n">
        <v>0</v>
      </c>
      <c r="HJ210" s="9" t="n">
        <v>1</v>
      </c>
      <c r="HK210" s="9" t="n">
        <v>0</v>
      </c>
      <c r="HL210" s="19" t="n">
        <v>0</v>
      </c>
      <c r="HM210" s="9" t="n">
        <f aca="false">(HI210+HJ210+HK210+HL210)/4</f>
        <v>0.25</v>
      </c>
      <c r="HN210" s="9" t="n">
        <f aca="false">(HI210/GR210)</f>
        <v>0</v>
      </c>
      <c r="HO210" s="9" t="n">
        <f aca="false">(HJ210/GS210)</f>
        <v>0.0769230769230769</v>
      </c>
      <c r="HP210" s="9" t="n">
        <f aca="false">(HK210/GT210)</f>
        <v>0</v>
      </c>
      <c r="HQ210" s="9" t="n">
        <f aca="false">(HL210/GU210)</f>
        <v>0</v>
      </c>
      <c r="HR210" s="9" t="n">
        <f aca="false">(HM210/GV210)</f>
        <v>0.0163934426229508</v>
      </c>
      <c r="HS210" s="9" t="n">
        <f aca="false">(100*HR210)</f>
        <v>1.63934426229508</v>
      </c>
      <c r="HT210" s="18" t="n">
        <v>1</v>
      </c>
      <c r="HU210" s="9" t="n">
        <v>0</v>
      </c>
      <c r="HV210" s="9" t="n">
        <v>1</v>
      </c>
      <c r="HW210" s="9" t="n">
        <v>0</v>
      </c>
      <c r="HX210" s="19" t="n">
        <v>2</v>
      </c>
      <c r="HY210" s="9" t="n">
        <f aca="false">(HU210+HV210+HW210+HX210)/4</f>
        <v>0.75</v>
      </c>
      <c r="HZ210" s="9" t="n">
        <f aca="false">(HU210/GR210)</f>
        <v>0</v>
      </c>
      <c r="IA210" s="9" t="n">
        <f aca="false">HV210/GS210</f>
        <v>0.0769230769230769</v>
      </c>
      <c r="IB210" s="9" t="n">
        <f aca="false">(HW210/GT210)</f>
        <v>0</v>
      </c>
      <c r="IC210" s="9" t="n">
        <f aca="false">(HX210/GU210)</f>
        <v>0.105263157894737</v>
      </c>
      <c r="ID210" s="9" t="n">
        <f aca="false">(HY210/GV210)</f>
        <v>0.0491803278688525</v>
      </c>
      <c r="IE210" s="9" t="n">
        <f aca="false">(100*ID210)</f>
        <v>4.91803278688525</v>
      </c>
      <c r="IF210" s="18" t="n">
        <v>1</v>
      </c>
      <c r="IG210" s="9" t="n">
        <v>2</v>
      </c>
      <c r="IH210" s="9" t="n">
        <v>4</v>
      </c>
      <c r="II210" s="19" t="n">
        <v>0</v>
      </c>
      <c r="IJ210" s="9" t="n">
        <v>0</v>
      </c>
      <c r="IK210" s="9" t="n">
        <f aca="false">(IG210+IH210+II210+IJ210)/4</f>
        <v>1.5</v>
      </c>
      <c r="IL210" s="9" t="n">
        <f aca="false">(IG210/GM210)</f>
        <v>0.0186915887850467</v>
      </c>
      <c r="IM210" s="9" t="n">
        <f aca="false">(IH210/GN210)</f>
        <v>0.032258064516129</v>
      </c>
      <c r="IN210" s="9" t="n">
        <f aca="false">(II210/GO210)</f>
        <v>0</v>
      </c>
      <c r="IO210" s="9" t="n">
        <f aca="false">(IJ210/GP210)</f>
        <v>0</v>
      </c>
      <c r="IP210" s="9" t="n">
        <f aca="false">(IK210/GQ210)</f>
        <v>0.0153061224489796</v>
      </c>
      <c r="IQ210" s="9" t="n">
        <f aca="false">(100*IP210)</f>
        <v>1.53061224489796</v>
      </c>
      <c r="IR210" s="18" t="n">
        <v>1</v>
      </c>
      <c r="IS210" s="9" t="n">
        <v>44</v>
      </c>
      <c r="IT210" s="9" t="n">
        <v>42.5</v>
      </c>
      <c r="IU210" s="19" t="n">
        <v>46.1</v>
      </c>
      <c r="IV210" s="9" t="n">
        <v>39.6</v>
      </c>
      <c r="IW210" s="9" t="n">
        <f aca="false">(IS210+IT210+IU210+IV210)/4</f>
        <v>43.05</v>
      </c>
      <c r="IX210" s="16" t="n">
        <v>45203</v>
      </c>
      <c r="IY210" s="42" t="s">
        <v>268</v>
      </c>
    </row>
    <row r="211" customFormat="false" ht="15.75" hidden="false" customHeight="true" outlineLevel="0" collapsed="false">
      <c r="A211" s="9" t="s">
        <v>259</v>
      </c>
      <c r="B211" s="10" t="s">
        <v>739</v>
      </c>
      <c r="C211" s="10" t="s">
        <v>727</v>
      </c>
      <c r="D211" s="9" t="n">
        <v>3</v>
      </c>
      <c r="E211" s="9" t="n">
        <v>70</v>
      </c>
      <c r="F211" s="10" t="s">
        <v>745</v>
      </c>
      <c r="G211" s="10" t="s">
        <v>275</v>
      </c>
      <c r="H211" s="9" t="n">
        <v>21</v>
      </c>
      <c r="I211" s="9" t="n">
        <v>20</v>
      </c>
      <c r="J211" s="10" t="s">
        <v>272</v>
      </c>
      <c r="K211" s="20"/>
      <c r="L211" s="20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 t="n">
        <v>0</v>
      </c>
      <c r="Y211" s="9" t="n">
        <v>0</v>
      </c>
      <c r="Z211" s="9" t="n">
        <v>0</v>
      </c>
      <c r="AA211" s="9" t="n">
        <v>0</v>
      </c>
      <c r="AB211" s="11" t="n">
        <f aca="false">(X211+Y211+Z211+AA211)/4</f>
        <v>0</v>
      </c>
      <c r="AC211" s="9" t="n">
        <v>1</v>
      </c>
      <c r="AD211" s="9" t="n">
        <v>1</v>
      </c>
      <c r="AE211" s="9" t="n">
        <v>1</v>
      </c>
      <c r="AF211" s="9" t="n">
        <v>1</v>
      </c>
      <c r="AG211" s="11" t="n">
        <f aca="false">(AC211+AD211+AE211+AF211)/4</f>
        <v>1</v>
      </c>
      <c r="AH211" s="9" t="n">
        <v>1</v>
      </c>
      <c r="AI211" s="9" t="n">
        <v>0</v>
      </c>
      <c r="AJ211" s="9" t="n">
        <v>0</v>
      </c>
      <c r="AK211" s="9" t="n">
        <v>1</v>
      </c>
      <c r="AL211" s="11" t="n">
        <f aca="false">(AH211+AI211+AJ211+AK211)/4</f>
        <v>0.5</v>
      </c>
      <c r="AM211" s="9" t="n">
        <v>8</v>
      </c>
      <c r="AN211" s="9" t="n">
        <v>39</v>
      </c>
      <c r="AO211" s="9" t="n">
        <v>29</v>
      </c>
      <c r="AP211" s="9" t="n">
        <v>51</v>
      </c>
      <c r="AQ211" s="11" t="n">
        <f aca="false">(AM211+AN211+AO211+AP211)/4</f>
        <v>31.75</v>
      </c>
      <c r="AR211" s="9" t="n">
        <v>5</v>
      </c>
      <c r="AS211" s="9" t="n">
        <v>9</v>
      </c>
      <c r="AT211" s="9" t="n">
        <v>9</v>
      </c>
      <c r="AU211" s="9" t="n">
        <v>9</v>
      </c>
      <c r="AV211" s="11" t="n">
        <f aca="false">(AR211+AS211+AT211+AU211)/4</f>
        <v>8</v>
      </c>
      <c r="AW211" s="9" t="n">
        <v>0</v>
      </c>
      <c r="AX211" s="9" t="n">
        <v>0</v>
      </c>
      <c r="AY211" s="9" t="n">
        <v>0</v>
      </c>
      <c r="AZ211" s="9" t="n">
        <v>0</v>
      </c>
      <c r="BA211" s="11" t="n">
        <f aca="false">(AW211+AX211+AY211+AZ211)/4</f>
        <v>0</v>
      </c>
      <c r="BB211" s="11" t="n">
        <f aca="false">(AW211/AR211)</f>
        <v>0</v>
      </c>
      <c r="BC211" s="11" t="n">
        <f aca="false">(AX211/AS211)</f>
        <v>0</v>
      </c>
      <c r="BD211" s="11" t="n">
        <f aca="false">(AY211/AT211)</f>
        <v>0</v>
      </c>
      <c r="BE211" s="11" t="n">
        <f aca="false">(AZ211/AU211)</f>
        <v>0</v>
      </c>
      <c r="BF211" s="11" t="n">
        <f aca="false">(BA211/AV211)</f>
        <v>0</v>
      </c>
      <c r="BG211" s="11" t="n">
        <f aca="false">(BF211*100)</f>
        <v>0</v>
      </c>
      <c r="BH211" s="9" t="n">
        <v>0</v>
      </c>
      <c r="BI211" s="9" t="n">
        <v>5</v>
      </c>
      <c r="BJ211" s="9" t="n">
        <v>1</v>
      </c>
      <c r="BK211" s="9" t="n">
        <v>5</v>
      </c>
      <c r="BL211" s="9" t="n">
        <v>4</v>
      </c>
      <c r="BM211" s="11" t="n">
        <f aca="false">(BI211+BJ211+BK211+BL211)/4</f>
        <v>3.75</v>
      </c>
      <c r="BN211" s="11" t="n">
        <f aca="false">(BI211/AR211)</f>
        <v>1</v>
      </c>
      <c r="BO211" s="11" t="n">
        <f aca="false">(BJ211/AS211)</f>
        <v>0.111111111111111</v>
      </c>
      <c r="BP211" s="11" t="n">
        <f aca="false">(BK211/AT211)</f>
        <v>0.555555555555556</v>
      </c>
      <c r="BQ211" s="11" t="n">
        <f aca="false">(BL211/AU211)</f>
        <v>0.444444444444444</v>
      </c>
      <c r="BR211" s="11" t="n">
        <f aca="false">(BM211/AV211)</f>
        <v>0.46875</v>
      </c>
      <c r="BS211" s="11" t="n">
        <f aca="false">(100*BR211)</f>
        <v>46.875</v>
      </c>
      <c r="BT211" s="9" t="n">
        <v>3</v>
      </c>
      <c r="BU211" s="9" t="n">
        <v>0</v>
      </c>
      <c r="BV211" s="9" t="n">
        <v>0</v>
      </c>
      <c r="BW211" s="9" t="n">
        <v>0</v>
      </c>
      <c r="BX211" s="9" t="n">
        <v>0</v>
      </c>
      <c r="BY211" s="11" t="n">
        <f aca="false">(BU211+BV211+BW211+BX211)/4</f>
        <v>0</v>
      </c>
      <c r="BZ211" s="11" t="n">
        <f aca="false">(BU211/AR211)</f>
        <v>0</v>
      </c>
      <c r="CA211" s="11" t="n">
        <f aca="false">(BV211/AS211)</f>
        <v>0</v>
      </c>
      <c r="CB211" s="11" t="n">
        <f aca="false">(BW211/AT211)</f>
        <v>0</v>
      </c>
      <c r="CC211" s="11" t="n">
        <f aca="false">(BX211/AU211)</f>
        <v>0</v>
      </c>
      <c r="CD211" s="11" t="n">
        <f aca="false">(BY211/AV211)</f>
        <v>0</v>
      </c>
      <c r="CE211" s="11" t="n">
        <f aca="false">(100*CD211)</f>
        <v>0</v>
      </c>
      <c r="CF211" s="9" t="n">
        <v>0</v>
      </c>
      <c r="CG211" s="9" t="n">
        <v>3</v>
      </c>
      <c r="CH211" s="9" t="n">
        <v>0</v>
      </c>
      <c r="CI211" s="9" t="n">
        <v>0</v>
      </c>
      <c r="CJ211" s="9" t="n">
        <v>18</v>
      </c>
      <c r="CK211" s="11" t="n">
        <f aca="false">(CG211+CH211+CI211+CJ211)/4</f>
        <v>5.25</v>
      </c>
      <c r="CL211" s="11" t="n">
        <f aca="false">(CG211/AM211)</f>
        <v>0.375</v>
      </c>
      <c r="CM211" s="11" t="n">
        <f aca="false">(CH211/AN211)</f>
        <v>0</v>
      </c>
      <c r="CN211" s="11" t="n">
        <f aca="false">(CI211/AO211)</f>
        <v>0</v>
      </c>
      <c r="CO211" s="9" t="n">
        <f aca="false">(CJ211/AP211)</f>
        <v>0.352941176470588</v>
      </c>
      <c r="CP211" s="9" t="n">
        <f aca="false">(CK211/AQ211)</f>
        <v>0.165354330708661</v>
      </c>
      <c r="CQ211" s="9" t="n">
        <f aca="false">(100*CP211)</f>
        <v>16.5354330708661</v>
      </c>
      <c r="CR211" s="18" t="n">
        <v>2</v>
      </c>
      <c r="CS211" s="9" t="n">
        <v>46.9</v>
      </c>
      <c r="CT211" s="9" t="n">
        <v>66.3</v>
      </c>
      <c r="CU211" s="9" t="n">
        <v>62.8</v>
      </c>
      <c r="CV211" s="9" t="n">
        <v>61</v>
      </c>
      <c r="CW211" s="11" t="n">
        <f aca="false">(CS211+CT211+CU211+CV211)/4</f>
        <v>59.25</v>
      </c>
      <c r="CX211" s="9" t="n">
        <v>0</v>
      </c>
      <c r="CY211" s="9" t="n">
        <v>0</v>
      </c>
      <c r="CZ211" s="9" t="n">
        <v>0</v>
      </c>
      <c r="DA211" s="9" t="n">
        <v>0</v>
      </c>
      <c r="DB211" s="11" t="n">
        <f aca="false">(CX211+CY211+CZ211+DA211)/4</f>
        <v>0</v>
      </c>
      <c r="DC211" s="9" t="n">
        <v>1</v>
      </c>
      <c r="DD211" s="9" t="n">
        <v>1</v>
      </c>
      <c r="DE211" s="9" t="n">
        <v>1</v>
      </c>
      <c r="DF211" s="9" t="n">
        <v>1</v>
      </c>
      <c r="DG211" s="11" t="n">
        <f aca="false">(DC211+DD211+DE211+DF211)/4</f>
        <v>1</v>
      </c>
      <c r="DH211" s="9" t="n">
        <v>1</v>
      </c>
      <c r="DI211" s="9" t="n">
        <v>1</v>
      </c>
      <c r="DJ211" s="9" t="n">
        <v>1</v>
      </c>
      <c r="DK211" s="9" t="n">
        <v>1</v>
      </c>
      <c r="DL211" s="11" t="n">
        <f aca="false">(DH211+DI211+DJ211+DK211)/4</f>
        <v>1</v>
      </c>
      <c r="DM211" s="9" t="n">
        <v>183</v>
      </c>
      <c r="DN211" s="9" t="n">
        <v>34</v>
      </c>
      <c r="DO211" s="9" t="n">
        <v>59</v>
      </c>
      <c r="DP211" s="9" t="n">
        <v>68</v>
      </c>
      <c r="DQ211" s="11" t="n">
        <f aca="false">(DM211+DN211+DO211+DP211)/4</f>
        <v>86</v>
      </c>
      <c r="DR211" s="9" t="n">
        <v>7</v>
      </c>
      <c r="DS211" s="9" t="n">
        <v>4</v>
      </c>
      <c r="DT211" s="9" t="n">
        <v>5</v>
      </c>
      <c r="DU211" s="9" t="n">
        <v>10</v>
      </c>
      <c r="DV211" s="11" t="n">
        <f aca="false">(DR211+DS211+DT211+DU211)/4</f>
        <v>6.5</v>
      </c>
      <c r="DW211" s="9" t="n">
        <v>0</v>
      </c>
      <c r="DX211" s="9" t="n">
        <v>0</v>
      </c>
      <c r="DY211" s="9" t="n">
        <v>0</v>
      </c>
      <c r="DZ211" s="9" t="n">
        <v>0</v>
      </c>
      <c r="EA211" s="11" t="n">
        <f aca="false">(DW211+DX211+DY211+DZ211)/4</f>
        <v>0</v>
      </c>
      <c r="EB211" s="11" t="n">
        <f aca="false">(DW211/DR211)</f>
        <v>0</v>
      </c>
      <c r="EC211" s="11" t="n">
        <f aca="false">(DX211/DS211)</f>
        <v>0</v>
      </c>
      <c r="ED211" s="11" t="n">
        <f aca="false">(DY211/DT211)</f>
        <v>0</v>
      </c>
      <c r="EE211" s="11" t="n">
        <f aca="false">(DZ211/DU211)</f>
        <v>0</v>
      </c>
      <c r="EF211" s="11" t="n">
        <f aca="false">(EA211/DV211)</f>
        <v>0</v>
      </c>
      <c r="EG211" s="11" t="n">
        <f aca="false">(100*EF211)</f>
        <v>0</v>
      </c>
      <c r="EH211" s="9" t="n">
        <v>0</v>
      </c>
      <c r="EI211" s="9" t="n">
        <v>5</v>
      </c>
      <c r="EJ211" s="9" t="n">
        <v>4</v>
      </c>
      <c r="EK211" s="19" t="n">
        <v>3</v>
      </c>
      <c r="EL211" s="9" t="n">
        <v>4</v>
      </c>
      <c r="EM211" s="9" t="n">
        <f aca="false">(EI211+EJ211+EK211+EL211)/4</f>
        <v>4</v>
      </c>
      <c r="EN211" s="9" t="n">
        <f aca="false">(EI211/DR211)</f>
        <v>0.714285714285714</v>
      </c>
      <c r="EO211" s="9" t="n">
        <f aca="false">(EJ211/DS211)</f>
        <v>1</v>
      </c>
      <c r="EP211" s="9" t="n">
        <f aca="false">(EK211/DT211)</f>
        <v>0.6</v>
      </c>
      <c r="EQ211" s="9" t="n">
        <f aca="false">(EL211/DU211)</f>
        <v>0.4</v>
      </c>
      <c r="ER211" s="9" t="n">
        <f aca="false">EM211/DV211</f>
        <v>0.615384615384615</v>
      </c>
      <c r="ES211" s="9" t="n">
        <f aca="false">(100*ER211)</f>
        <v>61.5384615384615</v>
      </c>
      <c r="ET211" s="9" t="n">
        <v>3</v>
      </c>
      <c r="EU211" s="18" t="n">
        <v>0</v>
      </c>
      <c r="EV211" s="9" t="n">
        <v>0</v>
      </c>
      <c r="EW211" s="9" t="n">
        <v>0</v>
      </c>
      <c r="EX211" s="9" t="n">
        <v>0</v>
      </c>
      <c r="EY211" s="11" t="n">
        <f aca="false">(EU211+EV211+EW211+EX211)/4</f>
        <v>0</v>
      </c>
      <c r="EZ211" s="11" t="n">
        <f aca="false">(EU211/DR211)</f>
        <v>0</v>
      </c>
      <c r="FA211" s="11" t="n">
        <f aca="false">(EV211/DS211)</f>
        <v>0</v>
      </c>
      <c r="FB211" s="11" t="n">
        <f aca="false">(EW211/DT211)</f>
        <v>0</v>
      </c>
      <c r="FC211" s="11" t="n">
        <f aca="false">(EX211/DU211)</f>
        <v>0</v>
      </c>
      <c r="FD211" s="11" t="n">
        <f aca="false">(EY211/DV211)</f>
        <v>0</v>
      </c>
      <c r="FE211" s="11" t="n">
        <f aca="false">(100*FD211)</f>
        <v>0</v>
      </c>
      <c r="FF211" s="9" t="n">
        <v>0</v>
      </c>
      <c r="FG211" s="9" t="n">
        <v>2</v>
      </c>
      <c r="FH211" s="9" t="n">
        <v>2</v>
      </c>
      <c r="FI211" s="9" t="n">
        <v>9</v>
      </c>
      <c r="FJ211" s="9" t="n">
        <v>2</v>
      </c>
      <c r="FK211" s="11" t="n">
        <f aca="false">(FG211+FH211+FI211+FJ211)/4</f>
        <v>3.75</v>
      </c>
      <c r="FL211" s="11" t="n">
        <f aca="false">(FG211/DR211)</f>
        <v>0.285714285714286</v>
      </c>
      <c r="FM211" s="11" t="n">
        <f aca="false">(FH211/DS211)</f>
        <v>0.5</v>
      </c>
      <c r="FN211" s="11" t="n">
        <f aca="false">(FI211/DT211)</f>
        <v>1.8</v>
      </c>
      <c r="FO211" s="11" t="n">
        <f aca="false">(FJ211/DU211)</f>
        <v>0.2</v>
      </c>
      <c r="FP211" s="11" t="n">
        <f aca="false">(FK211/DV211)</f>
        <v>0.576923076923077</v>
      </c>
      <c r="FQ211" s="11" t="n">
        <f aca="false">(100*FP211)</f>
        <v>57.6923076923077</v>
      </c>
      <c r="FR211" s="9" t="n">
        <v>3</v>
      </c>
      <c r="FS211" s="9" t="n">
        <v>42.5</v>
      </c>
      <c r="FT211" s="9" t="n">
        <v>63.6</v>
      </c>
      <c r="FU211" s="9" t="n">
        <v>46.5</v>
      </c>
      <c r="FV211" s="9" t="n">
        <v>58.8</v>
      </c>
      <c r="FW211" s="11" t="n">
        <f aca="false">(FS211+FT211+FU211+FV211)/4</f>
        <v>52.85</v>
      </c>
      <c r="FX211" s="9" t="n">
        <v>0</v>
      </c>
      <c r="FY211" s="9" t="n">
        <v>0</v>
      </c>
      <c r="FZ211" s="9" t="n">
        <v>0</v>
      </c>
      <c r="GA211" s="9" t="n">
        <v>0</v>
      </c>
      <c r="GB211" s="11" t="n">
        <f aca="false">(FX211+FY211+FZ211+GA211)/4</f>
        <v>0</v>
      </c>
      <c r="GC211" s="9" t="n">
        <v>1</v>
      </c>
      <c r="GD211" s="9" t="n">
        <v>1</v>
      </c>
      <c r="GE211" s="9" t="n">
        <v>1</v>
      </c>
      <c r="GF211" s="9" t="n">
        <v>1</v>
      </c>
      <c r="GG211" s="11" t="n">
        <f aca="false">(GC211+GD211+GE211+GF211)/4</f>
        <v>1</v>
      </c>
      <c r="GH211" s="9" t="n">
        <v>1</v>
      </c>
      <c r="GI211" s="9" t="n">
        <v>0</v>
      </c>
      <c r="GJ211" s="9" t="n">
        <v>1</v>
      </c>
      <c r="GK211" s="9" t="n">
        <v>1</v>
      </c>
      <c r="GL211" s="11" t="n">
        <f aca="false">(GH211+GI211+GJ211+GK211)/4</f>
        <v>0.75</v>
      </c>
      <c r="GM211" s="9" t="n">
        <v>209</v>
      </c>
      <c r="GN211" s="9" t="n">
        <v>75</v>
      </c>
      <c r="GO211" s="9" t="n">
        <v>70</v>
      </c>
      <c r="GP211" s="9" t="n">
        <v>115</v>
      </c>
      <c r="GQ211" s="11" t="n">
        <f aca="false">(GM211+GN211+GO211+GP211)/4</f>
        <v>117.25</v>
      </c>
      <c r="GR211" s="9" t="n">
        <v>9</v>
      </c>
      <c r="GS211" s="9" t="n">
        <v>7</v>
      </c>
      <c r="GT211" s="9" t="n">
        <v>9</v>
      </c>
      <c r="GU211" s="9" t="n">
        <v>8</v>
      </c>
      <c r="GV211" s="11" t="n">
        <f aca="false">(GR211+GS211+GT211+GU211)/4</f>
        <v>8.25</v>
      </c>
      <c r="GW211" s="9" t="n">
        <v>0</v>
      </c>
      <c r="GX211" s="9" t="n">
        <v>0</v>
      </c>
      <c r="GY211" s="9" t="n">
        <v>0</v>
      </c>
      <c r="GZ211" s="9" t="n">
        <v>0</v>
      </c>
      <c r="HA211" s="11" t="n">
        <f aca="false">(GW211+GX211+GY211+GZ211)/4</f>
        <v>0</v>
      </c>
      <c r="HB211" s="9" t="n">
        <f aca="false">(GW211/GR211)</f>
        <v>0</v>
      </c>
      <c r="HC211" s="9" t="n">
        <f aca="false">(GX211/GS211)</f>
        <v>0</v>
      </c>
      <c r="HD211" s="9" t="n">
        <f aca="false">(GY211/GT211)</f>
        <v>0</v>
      </c>
      <c r="HE211" s="9" t="n">
        <f aca="false">(GZ211/GU211)/4</f>
        <v>0</v>
      </c>
      <c r="HF211" s="9" t="n">
        <f aca="false">(HB211+HC211+HD211+HE211)/4</f>
        <v>0</v>
      </c>
      <c r="HG211" s="9" t="n">
        <f aca="false">(100*HF211)</f>
        <v>0</v>
      </c>
      <c r="HH211" s="18" t="n">
        <v>0</v>
      </c>
      <c r="HI211" s="9" t="n">
        <v>6</v>
      </c>
      <c r="HJ211" s="9" t="n">
        <v>3</v>
      </c>
      <c r="HK211" s="9" t="n">
        <v>4</v>
      </c>
      <c r="HL211" s="19" t="n">
        <v>5</v>
      </c>
      <c r="HM211" s="9" t="n">
        <f aca="false">(HI211+HJ211+HK211+HL211)/4</f>
        <v>4.5</v>
      </c>
      <c r="HN211" s="9" t="n">
        <f aca="false">(HI211/GR211)</f>
        <v>0.666666666666667</v>
      </c>
      <c r="HO211" s="9" t="n">
        <f aca="false">(HJ211/GS211)</f>
        <v>0.428571428571429</v>
      </c>
      <c r="HP211" s="9" t="n">
        <f aca="false">(HK211/GT211)</f>
        <v>0.444444444444444</v>
      </c>
      <c r="HQ211" s="9" t="n">
        <f aca="false">(HL211/GU211)</f>
        <v>0.625</v>
      </c>
      <c r="HR211" s="9" t="n">
        <f aca="false">(HM211/GV211)</f>
        <v>0.545454545454545</v>
      </c>
      <c r="HS211" s="9" t="n">
        <f aca="false">(100*HR211)</f>
        <v>54.5454545454545</v>
      </c>
      <c r="HT211" s="18" t="n">
        <v>3</v>
      </c>
      <c r="HU211" s="9" t="n">
        <v>0</v>
      </c>
      <c r="HV211" s="9" t="n">
        <v>0</v>
      </c>
      <c r="HW211" s="9" t="n">
        <v>0</v>
      </c>
      <c r="HX211" s="19" t="n">
        <v>0</v>
      </c>
      <c r="HY211" s="9" t="n">
        <f aca="false">(HU211+HV211+HW211+HX211)/4</f>
        <v>0</v>
      </c>
      <c r="HZ211" s="9" t="n">
        <f aca="false">(HU211/GR211)</f>
        <v>0</v>
      </c>
      <c r="IA211" s="9" t="n">
        <f aca="false">HV211/GS211</f>
        <v>0</v>
      </c>
      <c r="IB211" s="9" t="n">
        <f aca="false">(HW211/GT211)</f>
        <v>0</v>
      </c>
      <c r="IC211" s="9" t="n">
        <f aca="false">(HX211/GU211)</f>
        <v>0</v>
      </c>
      <c r="ID211" s="9" t="n">
        <f aca="false">(HY211/GV211)</f>
        <v>0</v>
      </c>
      <c r="IE211" s="9" t="n">
        <f aca="false">(100*ID211)</f>
        <v>0</v>
      </c>
      <c r="IF211" s="18" t="n">
        <v>0</v>
      </c>
      <c r="IG211" s="9" t="n">
        <v>5</v>
      </c>
      <c r="IH211" s="9" t="n">
        <v>0</v>
      </c>
      <c r="II211" s="19" t="n">
        <v>4</v>
      </c>
      <c r="IJ211" s="9" t="n">
        <v>8</v>
      </c>
      <c r="IK211" s="9" t="n">
        <f aca="false">(IG211+IH211+II211+IJ211)/4</f>
        <v>4.25</v>
      </c>
      <c r="IL211" s="9" t="n">
        <f aca="false">(IG211/GM211)</f>
        <v>0.0239234449760766</v>
      </c>
      <c r="IM211" s="9" t="n">
        <f aca="false">(IH211/GN211)</f>
        <v>0</v>
      </c>
      <c r="IN211" s="9" t="n">
        <f aca="false">(II211/GO211)</f>
        <v>0.0571428571428571</v>
      </c>
      <c r="IO211" s="9" t="n">
        <f aca="false">(IJ211/GP211)</f>
        <v>0.0695652173913044</v>
      </c>
      <c r="IP211" s="9" t="n">
        <f aca="false">(IK211/GQ211)</f>
        <v>0.0362473347547974</v>
      </c>
      <c r="IQ211" s="9" t="n">
        <f aca="false">(100*IP211)</f>
        <v>3.62473347547974</v>
      </c>
      <c r="IR211" s="18" t="n">
        <v>1</v>
      </c>
      <c r="IS211" s="9" t="n">
        <v>56.7</v>
      </c>
      <c r="IT211" s="9" t="n">
        <v>71.5</v>
      </c>
      <c r="IU211" s="19" t="n">
        <v>66.2</v>
      </c>
      <c r="IV211" s="9" t="n">
        <v>70.4</v>
      </c>
      <c r="IW211" s="9" t="n">
        <f aca="false">(IS211+IT211+IU211+IV211)/4</f>
        <v>66.2</v>
      </c>
      <c r="IX211" s="16" t="n">
        <v>45203</v>
      </c>
      <c r="IY211" s="42" t="s">
        <v>268</v>
      </c>
    </row>
    <row r="212" customFormat="false" ht="15.75" hidden="false" customHeight="true" outlineLevel="0" collapsed="false">
      <c r="A212" s="9" t="s">
        <v>259</v>
      </c>
      <c r="B212" s="10" t="s">
        <v>746</v>
      </c>
      <c r="C212" s="10" t="s">
        <v>727</v>
      </c>
      <c r="D212" s="9" t="n">
        <v>4</v>
      </c>
      <c r="E212" s="9" t="n">
        <v>71</v>
      </c>
      <c r="F212" s="10" t="s">
        <v>747</v>
      </c>
      <c r="G212" s="10" t="s">
        <v>320</v>
      </c>
      <c r="H212" s="9" t="n">
        <v>21</v>
      </c>
      <c r="I212" s="9" t="n">
        <v>7</v>
      </c>
      <c r="J212" s="12" t="s">
        <v>264</v>
      </c>
      <c r="K212" s="13" t="s">
        <v>735</v>
      </c>
      <c r="L212" s="13" t="s">
        <v>748</v>
      </c>
      <c r="M212" s="32" t="n">
        <v>1309</v>
      </c>
      <c r="N212" s="15" t="n">
        <v>45155</v>
      </c>
      <c r="O212" s="10" t="s">
        <v>294</v>
      </c>
      <c r="P212" s="9"/>
      <c r="Q212" s="9" t="n">
        <v>5.05</v>
      </c>
      <c r="R212" s="9" t="n">
        <v>15</v>
      </c>
      <c r="S212" s="9" t="n">
        <v>-8</v>
      </c>
      <c r="T212" s="9" t="n">
        <v>140</v>
      </c>
      <c r="U212" s="9"/>
      <c r="V212" s="9" t="n">
        <v>2.83</v>
      </c>
      <c r="W212" s="10" t="s">
        <v>749</v>
      </c>
      <c r="X212" s="9" t="n">
        <v>0</v>
      </c>
      <c r="Y212" s="9" t="n">
        <v>0</v>
      </c>
      <c r="Z212" s="9" t="n">
        <v>0</v>
      </c>
      <c r="AA212" s="9" t="n">
        <v>0</v>
      </c>
      <c r="AB212" s="11" t="n">
        <f aca="false">(X212+Y212+Z212+AA212)/4</f>
        <v>0</v>
      </c>
      <c r="AC212" s="9" t="n">
        <v>1</v>
      </c>
      <c r="AD212" s="9" t="n">
        <v>1</v>
      </c>
      <c r="AE212" s="9" t="n">
        <v>1</v>
      </c>
      <c r="AF212" s="9" t="n">
        <v>1</v>
      </c>
      <c r="AG212" s="11" t="n">
        <f aca="false">(AC212+AD212+AE212+AF212)/4</f>
        <v>1</v>
      </c>
      <c r="AH212" s="9" t="n">
        <v>1</v>
      </c>
      <c r="AI212" s="9" t="n">
        <v>1</v>
      </c>
      <c r="AJ212" s="9" t="n">
        <v>0</v>
      </c>
      <c r="AK212" s="9" t="n">
        <v>0</v>
      </c>
      <c r="AL212" s="11" t="n">
        <f aca="false">(AH212+AI212+AJ212+AK212)/4</f>
        <v>0.5</v>
      </c>
      <c r="AM212" s="9" t="n">
        <v>71</v>
      </c>
      <c r="AN212" s="9" t="n">
        <v>220</v>
      </c>
      <c r="AO212" s="9" t="n">
        <v>43</v>
      </c>
      <c r="AP212" s="9" t="n">
        <v>48</v>
      </c>
      <c r="AQ212" s="11" t="n">
        <f aca="false">(AM212+AN212+AO212+AP212)/4</f>
        <v>95.5</v>
      </c>
      <c r="AR212" s="9" t="n">
        <v>9</v>
      </c>
      <c r="AS212" s="9" t="n">
        <v>15</v>
      </c>
      <c r="AT212" s="9" t="n">
        <v>10</v>
      </c>
      <c r="AU212" s="9" t="n">
        <v>9</v>
      </c>
      <c r="AV212" s="11" t="n">
        <f aca="false">(AR212+AS212+AT212+AU212)/4</f>
        <v>10.75</v>
      </c>
      <c r="AW212" s="9" t="n">
        <v>0</v>
      </c>
      <c r="AX212" s="9" t="n">
        <v>0</v>
      </c>
      <c r="AY212" s="9" t="n">
        <v>0</v>
      </c>
      <c r="AZ212" s="9" t="n">
        <v>0</v>
      </c>
      <c r="BA212" s="11" t="n">
        <f aca="false">(AW212+AX212+AY212+AZ212)/4</f>
        <v>0</v>
      </c>
      <c r="BB212" s="11" t="n">
        <f aca="false">(AW212/AR212)</f>
        <v>0</v>
      </c>
      <c r="BC212" s="11" t="n">
        <f aca="false">(AX212/AS212)</f>
        <v>0</v>
      </c>
      <c r="BD212" s="11" t="n">
        <f aca="false">(AY212/AT212)</f>
        <v>0</v>
      </c>
      <c r="BE212" s="11" t="n">
        <f aca="false">(AZ212/AU212)</f>
        <v>0</v>
      </c>
      <c r="BF212" s="11" t="n">
        <f aca="false">(BA212/AV212)</f>
        <v>0</v>
      </c>
      <c r="BG212" s="11" t="n">
        <f aca="false">(BF212*100)</f>
        <v>0</v>
      </c>
      <c r="BH212" s="9" t="n">
        <v>0</v>
      </c>
      <c r="BI212" s="9" t="n">
        <v>5</v>
      </c>
      <c r="BJ212" s="9" t="n">
        <v>7</v>
      </c>
      <c r="BK212" s="9" t="n">
        <v>8</v>
      </c>
      <c r="BL212" s="9" t="n">
        <v>5</v>
      </c>
      <c r="BM212" s="11" t="n">
        <f aca="false">(BI212+BJ212+BK212+BL212)/4</f>
        <v>6.25</v>
      </c>
      <c r="BN212" s="11" t="n">
        <f aca="false">(BI212/AR212)</f>
        <v>0.555555555555556</v>
      </c>
      <c r="BO212" s="11" t="n">
        <f aca="false">(BJ212/AS212)</f>
        <v>0.466666666666667</v>
      </c>
      <c r="BP212" s="11" t="n">
        <f aca="false">(BK212/AT212)</f>
        <v>0.8</v>
      </c>
      <c r="BQ212" s="11" t="n">
        <f aca="false">(BL212/AU212)</f>
        <v>0.555555555555556</v>
      </c>
      <c r="BR212" s="11" t="n">
        <f aca="false">(BM212/AV212)</f>
        <v>0.581395348837209</v>
      </c>
      <c r="BS212" s="11" t="n">
        <f aca="false">(100*BR212)</f>
        <v>58.1395348837209</v>
      </c>
      <c r="BT212" s="9" t="n">
        <v>3</v>
      </c>
      <c r="BU212" s="9" t="n">
        <v>0</v>
      </c>
      <c r="BV212" s="9" t="n">
        <v>0</v>
      </c>
      <c r="BW212" s="9" t="n">
        <v>0</v>
      </c>
      <c r="BX212" s="9" t="n">
        <v>0</v>
      </c>
      <c r="BY212" s="11" t="n">
        <f aca="false">(BU212+BV212+BW212+BX212)/4</f>
        <v>0</v>
      </c>
      <c r="BZ212" s="11" t="n">
        <f aca="false">(BU212/AR212)</f>
        <v>0</v>
      </c>
      <c r="CA212" s="11" t="n">
        <f aca="false">(BV212/AS212)</f>
        <v>0</v>
      </c>
      <c r="CB212" s="11" t="n">
        <f aca="false">(BW212/AT212)</f>
        <v>0</v>
      </c>
      <c r="CC212" s="11" t="n">
        <f aca="false">(BX212/AU212)</f>
        <v>0</v>
      </c>
      <c r="CD212" s="11" t="n">
        <f aca="false">(BY212/AV212)</f>
        <v>0</v>
      </c>
      <c r="CE212" s="11" t="n">
        <f aca="false">(100*CD212)</f>
        <v>0</v>
      </c>
      <c r="CF212" s="9" t="n">
        <v>0</v>
      </c>
      <c r="CG212" s="9" t="n">
        <v>5</v>
      </c>
      <c r="CH212" s="9" t="n">
        <v>1</v>
      </c>
      <c r="CI212" s="9" t="n">
        <v>0</v>
      </c>
      <c r="CJ212" s="9" t="n">
        <v>0</v>
      </c>
      <c r="CK212" s="11" t="n">
        <f aca="false">(CG212+CH212+CI212+CJ212)/4</f>
        <v>1.5</v>
      </c>
      <c r="CL212" s="11" t="n">
        <f aca="false">(CG212/AM212)</f>
        <v>0.0704225352112676</v>
      </c>
      <c r="CM212" s="11" t="n">
        <f aca="false">(CH212/AN212)</f>
        <v>0.00454545454545455</v>
      </c>
      <c r="CN212" s="11" t="n">
        <f aca="false">(CI212/AO212)</f>
        <v>0</v>
      </c>
      <c r="CO212" s="9" t="n">
        <f aca="false">(CJ212/AP212)</f>
        <v>0</v>
      </c>
      <c r="CP212" s="9" t="n">
        <f aca="false">(CK212/AQ212)</f>
        <v>0.0157068062827225</v>
      </c>
      <c r="CQ212" s="9" t="n">
        <f aca="false">(100*CP212)</f>
        <v>1.57068062827225</v>
      </c>
      <c r="CR212" s="18" t="n">
        <v>1</v>
      </c>
      <c r="CS212" s="9" t="n">
        <v>64.1</v>
      </c>
      <c r="CT212" s="9" t="n">
        <v>63.6</v>
      </c>
      <c r="CU212" s="9" t="n">
        <v>70</v>
      </c>
      <c r="CV212" s="9" t="n">
        <v>69.2</v>
      </c>
      <c r="CW212" s="11" t="n">
        <f aca="false">(CS212+CT212+CU212+CV212)/4</f>
        <v>66.725</v>
      </c>
      <c r="CX212" s="9" t="n">
        <v>0</v>
      </c>
      <c r="CY212" s="9" t="n">
        <v>0</v>
      </c>
      <c r="CZ212" s="9" t="n">
        <v>0</v>
      </c>
      <c r="DA212" s="9" t="n">
        <v>0</v>
      </c>
      <c r="DB212" s="11" t="n">
        <f aca="false">(CX212+CY212+CZ212+DA212)/4</f>
        <v>0</v>
      </c>
      <c r="DC212" s="9" t="n">
        <v>1</v>
      </c>
      <c r="DD212" s="9" t="n">
        <v>1</v>
      </c>
      <c r="DE212" s="9" t="n">
        <v>1</v>
      </c>
      <c r="DF212" s="9" t="n">
        <v>1</v>
      </c>
      <c r="DG212" s="11" t="n">
        <f aca="false">(DC212+DD212+DE212+DF212)/4</f>
        <v>1</v>
      </c>
      <c r="DH212" s="9" t="n">
        <v>1</v>
      </c>
      <c r="DI212" s="9" t="n">
        <v>1</v>
      </c>
      <c r="DJ212" s="9" t="n">
        <v>0</v>
      </c>
      <c r="DK212" s="9" t="n">
        <v>1</v>
      </c>
      <c r="DL212" s="11" t="n">
        <f aca="false">(DH212+DI212+DJ212+DK212)/4</f>
        <v>0.75</v>
      </c>
      <c r="DM212" s="9" t="n">
        <v>100</v>
      </c>
      <c r="DN212" s="9" t="n">
        <v>210</v>
      </c>
      <c r="DO212" s="9" t="n">
        <v>111</v>
      </c>
      <c r="DP212" s="9" t="n">
        <v>190</v>
      </c>
      <c r="DQ212" s="11" t="n">
        <f aca="false">(DM212+DN212+DO212+DP212)/4</f>
        <v>152.75</v>
      </c>
      <c r="DR212" s="9" t="n">
        <v>9</v>
      </c>
      <c r="DS212" s="9" t="n">
        <v>14</v>
      </c>
      <c r="DT212" s="9" t="n">
        <v>7</v>
      </c>
      <c r="DU212" s="9" t="n">
        <v>13</v>
      </c>
      <c r="DV212" s="11" t="n">
        <f aca="false">(DR212+DS212+DT212+DU212)/4</f>
        <v>10.75</v>
      </c>
      <c r="DW212" s="9" t="n">
        <v>0</v>
      </c>
      <c r="DX212" s="9" t="n">
        <v>0</v>
      </c>
      <c r="DY212" s="9" t="n">
        <v>0</v>
      </c>
      <c r="DZ212" s="9" t="n">
        <v>0</v>
      </c>
      <c r="EA212" s="11" t="n">
        <f aca="false">(DW212+DX212+DY212+DZ212)/4</f>
        <v>0</v>
      </c>
      <c r="EB212" s="11" t="n">
        <f aca="false">(DW212/DR212)</f>
        <v>0</v>
      </c>
      <c r="EC212" s="11" t="n">
        <f aca="false">(DX212/DS212)</f>
        <v>0</v>
      </c>
      <c r="ED212" s="11" t="n">
        <f aca="false">(DY212/DT212)</f>
        <v>0</v>
      </c>
      <c r="EE212" s="11" t="n">
        <f aca="false">(DZ212/DU212)</f>
        <v>0</v>
      </c>
      <c r="EF212" s="11" t="n">
        <f aca="false">(EA212/DV212)</f>
        <v>0</v>
      </c>
      <c r="EG212" s="11" t="n">
        <f aca="false">(100*EF212)</f>
        <v>0</v>
      </c>
      <c r="EH212" s="9" t="n">
        <v>0</v>
      </c>
      <c r="EI212" s="9" t="n">
        <v>4</v>
      </c>
      <c r="EJ212" s="9" t="n">
        <v>11</v>
      </c>
      <c r="EK212" s="19" t="n">
        <v>2</v>
      </c>
      <c r="EL212" s="9" t="n">
        <v>6</v>
      </c>
      <c r="EM212" s="9" t="n">
        <f aca="false">(EI212+EJ212+EK212+EL212)/4</f>
        <v>5.75</v>
      </c>
      <c r="EN212" s="9" t="n">
        <f aca="false">(EI212/DR212)</f>
        <v>0.444444444444444</v>
      </c>
      <c r="EO212" s="9" t="n">
        <f aca="false">(EJ212/DS212)</f>
        <v>0.785714285714286</v>
      </c>
      <c r="EP212" s="9" t="n">
        <f aca="false">(EK212/DT212)</f>
        <v>0.285714285714286</v>
      </c>
      <c r="EQ212" s="9" t="n">
        <f aca="false">(EL212/DU212)</f>
        <v>0.461538461538462</v>
      </c>
      <c r="ER212" s="9" t="n">
        <f aca="false">EM212/DV212</f>
        <v>0.534883720930233</v>
      </c>
      <c r="ES212" s="9" t="n">
        <f aca="false">(100*ER212)</f>
        <v>53.4883720930233</v>
      </c>
      <c r="ET212" s="9" t="n">
        <v>3</v>
      </c>
      <c r="EU212" s="18" t="n">
        <v>0</v>
      </c>
      <c r="EV212" s="9" t="n">
        <v>0</v>
      </c>
      <c r="EW212" s="9" t="n">
        <v>0</v>
      </c>
      <c r="EX212" s="9" t="n">
        <v>0</v>
      </c>
      <c r="EY212" s="11" t="n">
        <f aca="false">(EU212+EV212+EW212+EX212)/4</f>
        <v>0</v>
      </c>
      <c r="EZ212" s="11" t="n">
        <f aca="false">(EU212/DR212)</f>
        <v>0</v>
      </c>
      <c r="FA212" s="11" t="n">
        <f aca="false">(EV212/DS212)</f>
        <v>0</v>
      </c>
      <c r="FB212" s="11" t="n">
        <f aca="false">(EW212/DT212)</f>
        <v>0</v>
      </c>
      <c r="FC212" s="11" t="n">
        <f aca="false">(EX212/DU212)</f>
        <v>0</v>
      </c>
      <c r="FD212" s="11" t="n">
        <f aca="false">(EY212/DV212)</f>
        <v>0</v>
      </c>
      <c r="FE212" s="11" t="n">
        <f aca="false">(100*FD212)</f>
        <v>0</v>
      </c>
      <c r="FF212" s="9" t="n">
        <v>0</v>
      </c>
      <c r="FG212" s="9" t="n">
        <v>1</v>
      </c>
      <c r="FH212" s="9" t="n">
        <v>27</v>
      </c>
      <c r="FI212" s="9" t="n">
        <v>0</v>
      </c>
      <c r="FJ212" s="9" t="n">
        <v>10</v>
      </c>
      <c r="FK212" s="11" t="n">
        <f aca="false">(FG212+FH212+FI212+FJ212)/4</f>
        <v>9.5</v>
      </c>
      <c r="FL212" s="11" t="n">
        <f aca="false">(FG212/DR212)</f>
        <v>0.111111111111111</v>
      </c>
      <c r="FM212" s="11" t="n">
        <f aca="false">(FH212/DS212)</f>
        <v>1.92857142857143</v>
      </c>
      <c r="FN212" s="11" t="n">
        <f aca="false">(FI212/DT212)</f>
        <v>0</v>
      </c>
      <c r="FO212" s="11" t="n">
        <f aca="false">(FJ212/DU212)</f>
        <v>0.769230769230769</v>
      </c>
      <c r="FP212" s="11" t="n">
        <f aca="false">(FK212/DV212)</f>
        <v>0.883720930232558</v>
      </c>
      <c r="FQ212" s="11" t="n">
        <f aca="false">(100*FP212)</f>
        <v>88.3720930232558</v>
      </c>
      <c r="FR212" s="9" t="n">
        <v>3</v>
      </c>
      <c r="FS212" s="9" t="n">
        <v>60.3</v>
      </c>
      <c r="FT212" s="9" t="n">
        <v>71.6</v>
      </c>
      <c r="FU212" s="9" t="n">
        <v>57.1</v>
      </c>
      <c r="FV212" s="9" t="n">
        <v>65.5</v>
      </c>
      <c r="FW212" s="11" t="n">
        <f aca="false">(FS212+FT212+FU212+FV212)/4</f>
        <v>63.625</v>
      </c>
      <c r="FX212" s="9" t="n">
        <v>0</v>
      </c>
      <c r="FY212" s="9" t="n">
        <v>0</v>
      </c>
      <c r="FZ212" s="9" t="n">
        <v>0</v>
      </c>
      <c r="GA212" s="9" t="n">
        <v>0</v>
      </c>
      <c r="GB212" s="11" t="n">
        <f aca="false">(FX212+FY212+FZ212+GA212)/4</f>
        <v>0</v>
      </c>
      <c r="GC212" s="9" t="n">
        <v>1</v>
      </c>
      <c r="GD212" s="9" t="n">
        <v>1</v>
      </c>
      <c r="GE212" s="9" t="n">
        <v>1</v>
      </c>
      <c r="GF212" s="9" t="n">
        <v>1</v>
      </c>
      <c r="GG212" s="11" t="n">
        <f aca="false">(GC212+GD212+GE212+GF212)/4</f>
        <v>1</v>
      </c>
      <c r="GH212" s="9" t="n">
        <v>1</v>
      </c>
      <c r="GI212" s="9" t="n">
        <v>1</v>
      </c>
      <c r="GJ212" s="9" t="n">
        <v>1</v>
      </c>
      <c r="GK212" s="9" t="n">
        <v>1</v>
      </c>
      <c r="GL212" s="11" t="n">
        <f aca="false">(GH212+GI212+GJ212+GK212)/4</f>
        <v>1</v>
      </c>
      <c r="GM212" s="9" t="n">
        <v>66</v>
      </c>
      <c r="GN212" s="9" t="n">
        <v>49</v>
      </c>
      <c r="GO212" s="9" t="n">
        <v>120</v>
      </c>
      <c r="GP212" s="9" t="n">
        <v>121</v>
      </c>
      <c r="GQ212" s="11" t="n">
        <f aca="false">(GM212+GN212+GO212+GP212)/4</f>
        <v>89</v>
      </c>
      <c r="GR212" s="9" t="n">
        <v>27</v>
      </c>
      <c r="GS212" s="9" t="n">
        <v>21</v>
      </c>
      <c r="GT212" s="9" t="n">
        <v>12</v>
      </c>
      <c r="GU212" s="9" t="n">
        <v>23</v>
      </c>
      <c r="GV212" s="11" t="n">
        <f aca="false">(GR212+GS212+GT212+GU212)/4</f>
        <v>20.75</v>
      </c>
      <c r="GW212" s="9" t="n">
        <v>0</v>
      </c>
      <c r="GX212" s="9" t="n">
        <v>0</v>
      </c>
      <c r="GY212" s="9" t="n">
        <v>0</v>
      </c>
      <c r="GZ212" s="9" t="n">
        <v>0</v>
      </c>
      <c r="HA212" s="11" t="n">
        <f aca="false">(GW212+GX212+GY212+GZ212)/4</f>
        <v>0</v>
      </c>
      <c r="HB212" s="9" t="n">
        <f aca="false">(GW212/GR212)</f>
        <v>0</v>
      </c>
      <c r="HC212" s="9" t="n">
        <f aca="false">(GX212/GS212)</f>
        <v>0</v>
      </c>
      <c r="HD212" s="9" t="n">
        <f aca="false">(GY212/GT212)</f>
        <v>0</v>
      </c>
      <c r="HE212" s="9" t="n">
        <f aca="false">(GZ212/GU212)/4</f>
        <v>0</v>
      </c>
      <c r="HF212" s="9" t="n">
        <f aca="false">(HB212+HC212+HD212+HE212)/4</f>
        <v>0</v>
      </c>
      <c r="HG212" s="9" t="n">
        <f aca="false">(100*HF212)</f>
        <v>0</v>
      </c>
      <c r="HH212" s="18" t="n">
        <v>0</v>
      </c>
      <c r="HI212" s="9" t="n">
        <v>2</v>
      </c>
      <c r="HJ212" s="9" t="n">
        <v>5</v>
      </c>
      <c r="HK212" s="9" t="n">
        <v>7</v>
      </c>
      <c r="HL212" s="19" t="n">
        <v>6</v>
      </c>
      <c r="HM212" s="9" t="n">
        <f aca="false">(HI212+HJ212+HK212+HL212)/4</f>
        <v>5</v>
      </c>
      <c r="HN212" s="9" t="n">
        <f aca="false">(HI212/GR212)</f>
        <v>0.0740740740740741</v>
      </c>
      <c r="HO212" s="9" t="n">
        <f aca="false">(HJ212/GS212)</f>
        <v>0.238095238095238</v>
      </c>
      <c r="HP212" s="9" t="n">
        <f aca="false">(HK212/GT212)</f>
        <v>0.583333333333333</v>
      </c>
      <c r="HQ212" s="9" t="n">
        <f aca="false">(HL212/GU212)</f>
        <v>0.260869565217391</v>
      </c>
      <c r="HR212" s="9" t="n">
        <f aca="false">(HM212/GV212)</f>
        <v>0.240963855421687</v>
      </c>
      <c r="HS212" s="9" t="n">
        <f aca="false">(100*HR212)</f>
        <v>24.0963855421687</v>
      </c>
      <c r="HT212" s="18" t="n">
        <v>2</v>
      </c>
      <c r="HU212" s="9" t="n">
        <v>0</v>
      </c>
      <c r="HV212" s="9" t="n">
        <v>0</v>
      </c>
      <c r="HW212" s="9" t="n">
        <v>0</v>
      </c>
      <c r="HX212" s="19" t="n">
        <v>3</v>
      </c>
      <c r="HY212" s="9" t="n">
        <f aca="false">(HU212+HV212+HW212+HX212)/4</f>
        <v>0.75</v>
      </c>
      <c r="HZ212" s="9" t="n">
        <f aca="false">(HU212/GR212)</f>
        <v>0</v>
      </c>
      <c r="IA212" s="9" t="n">
        <f aca="false">HV212/GS212</f>
        <v>0</v>
      </c>
      <c r="IB212" s="9" t="n">
        <f aca="false">(HW212/GT212)</f>
        <v>0</v>
      </c>
      <c r="IC212" s="9" t="n">
        <f aca="false">(HX212/GU212)</f>
        <v>0.130434782608696</v>
      </c>
      <c r="ID212" s="9" t="n">
        <f aca="false">(HY212/GV212)</f>
        <v>0.036144578313253</v>
      </c>
      <c r="IE212" s="9" t="n">
        <f aca="false">(100*ID212)</f>
        <v>3.6144578313253</v>
      </c>
      <c r="IF212" s="18" t="n">
        <v>1</v>
      </c>
      <c r="IG212" s="11" t="n">
        <v>6</v>
      </c>
      <c r="IH212" s="11" t="n">
        <v>11</v>
      </c>
      <c r="II212" s="11" t="n">
        <v>8</v>
      </c>
      <c r="IJ212" s="9" t="n">
        <v>0</v>
      </c>
      <c r="IK212" s="9" t="n">
        <f aca="false">(IG212+IH212+II212+IJ212)/4</f>
        <v>6.25</v>
      </c>
      <c r="IL212" s="9" t="n">
        <f aca="false">(IG212/GM212)</f>
        <v>0.0909090909090909</v>
      </c>
      <c r="IM212" s="9" t="n">
        <f aca="false">(IH212/GN212)</f>
        <v>0.224489795918367</v>
      </c>
      <c r="IN212" s="9" t="n">
        <f aca="false">(II212/GO212)</f>
        <v>0.0666666666666667</v>
      </c>
      <c r="IO212" s="9" t="n">
        <f aca="false">(IJ212/GP212)</f>
        <v>0</v>
      </c>
      <c r="IP212" s="9" t="n">
        <f aca="false">(IK212/GQ212)</f>
        <v>0.0702247191011236</v>
      </c>
      <c r="IQ212" s="9" t="n">
        <f aca="false">(100*IP212)</f>
        <v>7.02247191011236</v>
      </c>
      <c r="IR212" s="18" t="n">
        <v>1</v>
      </c>
      <c r="IS212" s="9" t="n">
        <v>76.1</v>
      </c>
      <c r="IT212" s="9" t="n">
        <v>70.5</v>
      </c>
      <c r="IU212" s="9" t="n">
        <v>66.3</v>
      </c>
      <c r="IV212" s="9" t="n">
        <v>72.7</v>
      </c>
      <c r="IW212" s="9" t="n">
        <f aca="false">(IS212+IT212+IU212+IV212)/4</f>
        <v>71.4</v>
      </c>
      <c r="IX212" s="16" t="n">
        <v>45203</v>
      </c>
      <c r="IY212" s="42" t="s">
        <v>268</v>
      </c>
    </row>
    <row r="213" customFormat="false" ht="15.75" hidden="false" customHeight="true" outlineLevel="0" collapsed="false">
      <c r="A213" s="9" t="s">
        <v>259</v>
      </c>
      <c r="B213" s="10" t="s">
        <v>746</v>
      </c>
      <c r="C213" s="10" t="s">
        <v>727</v>
      </c>
      <c r="D213" s="9" t="n">
        <v>4</v>
      </c>
      <c r="E213" s="9" t="n">
        <v>71</v>
      </c>
      <c r="F213" s="10" t="s">
        <v>750</v>
      </c>
      <c r="G213" s="10" t="s">
        <v>275</v>
      </c>
      <c r="H213" s="9" t="n">
        <v>21</v>
      </c>
      <c r="I213" s="9" t="n">
        <v>10</v>
      </c>
      <c r="J213" s="12" t="s">
        <v>270</v>
      </c>
      <c r="K213" s="20"/>
      <c r="L213" s="20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 t="n">
        <v>0</v>
      </c>
      <c r="Y213" s="9" t="n">
        <v>0</v>
      </c>
      <c r="Z213" s="9" t="n">
        <v>0</v>
      </c>
      <c r="AA213" s="9" t="n">
        <v>0</v>
      </c>
      <c r="AB213" s="11" t="n">
        <f aca="false">(X213+Y213+Z213+AA213)/4</f>
        <v>0</v>
      </c>
      <c r="AC213" s="9" t="n">
        <v>1</v>
      </c>
      <c r="AD213" s="9" t="n">
        <v>1</v>
      </c>
      <c r="AE213" s="9" t="n">
        <v>1</v>
      </c>
      <c r="AF213" s="9" t="n">
        <v>1</v>
      </c>
      <c r="AG213" s="11" t="n">
        <f aca="false">(AC213+AD213+AE213+AF213)/4</f>
        <v>1</v>
      </c>
      <c r="AH213" s="9" t="n">
        <v>1</v>
      </c>
      <c r="AI213" s="9" t="n">
        <v>0</v>
      </c>
      <c r="AJ213" s="9" t="n">
        <v>1</v>
      </c>
      <c r="AK213" s="9" t="n">
        <v>1</v>
      </c>
      <c r="AL213" s="11" t="n">
        <f aca="false">(AH213+AI213+AJ213+AK213)/4</f>
        <v>0.75</v>
      </c>
      <c r="AM213" s="9" t="n">
        <v>3</v>
      </c>
      <c r="AN213" s="9" t="n">
        <v>0</v>
      </c>
      <c r="AO213" s="9" t="n">
        <v>12</v>
      </c>
      <c r="AP213" s="9" t="n">
        <v>9</v>
      </c>
      <c r="AQ213" s="11" t="n">
        <f aca="false">(AM213+AN213+AO213+AP213)/4</f>
        <v>6</v>
      </c>
      <c r="AR213" s="9" t="n">
        <v>9</v>
      </c>
      <c r="AS213" s="9" t="n">
        <v>10</v>
      </c>
      <c r="AT213" s="9" t="n">
        <v>7</v>
      </c>
      <c r="AU213" s="9" t="n">
        <v>8</v>
      </c>
      <c r="AV213" s="11" t="n">
        <f aca="false">(AR213+AS213+AT213+AU213)/4</f>
        <v>8.5</v>
      </c>
      <c r="AW213" s="9" t="n">
        <v>0</v>
      </c>
      <c r="AX213" s="9" t="n">
        <v>0</v>
      </c>
      <c r="AY213" s="9" t="n">
        <v>0</v>
      </c>
      <c r="AZ213" s="9" t="n">
        <v>0</v>
      </c>
      <c r="BA213" s="11" t="n">
        <f aca="false">(AW213+AX213+AY213+AZ213)/4</f>
        <v>0</v>
      </c>
      <c r="BB213" s="11" t="n">
        <f aca="false">(AW213/AR213)</f>
        <v>0</v>
      </c>
      <c r="BC213" s="11" t="n">
        <f aca="false">(AX213/AS213)</f>
        <v>0</v>
      </c>
      <c r="BD213" s="11" t="n">
        <f aca="false">(AY213/AT213)</f>
        <v>0</v>
      </c>
      <c r="BE213" s="11" t="n">
        <f aca="false">(AZ213/AU213)</f>
        <v>0</v>
      </c>
      <c r="BF213" s="11" t="n">
        <f aca="false">(BA213/AV213)</f>
        <v>0</v>
      </c>
      <c r="BG213" s="11" t="n">
        <f aca="false">(BF213*100)</f>
        <v>0</v>
      </c>
      <c r="BH213" s="9" t="n">
        <v>0</v>
      </c>
      <c r="BI213" s="9" t="n">
        <v>3</v>
      </c>
      <c r="BJ213" s="9" t="n">
        <v>2</v>
      </c>
      <c r="BK213" s="9" t="n">
        <v>1</v>
      </c>
      <c r="BL213" s="9" t="n">
        <v>2</v>
      </c>
      <c r="BM213" s="11" t="n">
        <f aca="false">(BI213+BJ213+BK213+BL213)/4</f>
        <v>2</v>
      </c>
      <c r="BN213" s="11" t="n">
        <f aca="false">(BI213/AR213)</f>
        <v>0.333333333333333</v>
      </c>
      <c r="BO213" s="11" t="n">
        <f aca="false">(BJ213/AS213)</f>
        <v>0.2</v>
      </c>
      <c r="BP213" s="11" t="n">
        <f aca="false">(BK213/AT213)</f>
        <v>0.142857142857143</v>
      </c>
      <c r="BQ213" s="11" t="n">
        <f aca="false">(BL213/AU213)</f>
        <v>0.25</v>
      </c>
      <c r="BR213" s="11" t="n">
        <f aca="false">(BM213/AV213)</f>
        <v>0.235294117647059</v>
      </c>
      <c r="BS213" s="11" t="n">
        <f aca="false">(100*BR213)</f>
        <v>23.5294117647059</v>
      </c>
      <c r="BT213" s="9" t="n">
        <v>2</v>
      </c>
      <c r="BU213" s="9" t="n">
        <v>0</v>
      </c>
      <c r="BV213" s="9" t="n">
        <v>0</v>
      </c>
      <c r="BW213" s="9" t="n">
        <v>0</v>
      </c>
      <c r="BX213" s="9" t="n">
        <v>0</v>
      </c>
      <c r="BY213" s="11" t="n">
        <f aca="false">(BU213+BV213+BW213+BX213)/4</f>
        <v>0</v>
      </c>
      <c r="BZ213" s="11" t="n">
        <f aca="false">(BU213/AR213)</f>
        <v>0</v>
      </c>
      <c r="CA213" s="11" t="n">
        <f aca="false">(BV213/AS213)</f>
        <v>0</v>
      </c>
      <c r="CB213" s="11" t="n">
        <f aca="false">(BW213/AT213)</f>
        <v>0</v>
      </c>
      <c r="CC213" s="11" t="n">
        <f aca="false">(BX213/AU213)</f>
        <v>0</v>
      </c>
      <c r="CD213" s="11" t="n">
        <f aca="false">(BY213/AV213)</f>
        <v>0</v>
      </c>
      <c r="CE213" s="11" t="n">
        <f aca="false">(100*CD213)</f>
        <v>0</v>
      </c>
      <c r="CF213" s="9" t="n">
        <v>0</v>
      </c>
      <c r="CG213" s="9" t="n">
        <v>1</v>
      </c>
      <c r="CH213" s="9" t="n">
        <v>0</v>
      </c>
      <c r="CI213" s="9" t="n">
        <v>3</v>
      </c>
      <c r="CJ213" s="9" t="n">
        <v>2</v>
      </c>
      <c r="CK213" s="11" t="n">
        <f aca="false">(CG213+CH213+CI213+CJ213)/4</f>
        <v>1.5</v>
      </c>
      <c r="CL213" s="11" t="n">
        <f aca="false">(CG213/AM213)</f>
        <v>0.333333333333333</v>
      </c>
      <c r="CM213" s="11" t="e">
        <f aca="false">(CH213/AN213)</f>
        <v>#DIV/0!</v>
      </c>
      <c r="CN213" s="11" t="n">
        <f aca="false">(CI213/AO213)</f>
        <v>0.25</v>
      </c>
      <c r="CO213" s="9" t="n">
        <f aca="false">(CJ213/AP213)</f>
        <v>0.222222222222222</v>
      </c>
      <c r="CP213" s="9" t="n">
        <f aca="false">(CK213/AQ213)</f>
        <v>0.25</v>
      </c>
      <c r="CQ213" s="9" t="n">
        <f aca="false">(100*CP213)</f>
        <v>25</v>
      </c>
      <c r="CR213" s="18" t="n">
        <v>2</v>
      </c>
      <c r="CS213" s="9" t="n">
        <v>51.3</v>
      </c>
      <c r="CT213" s="9" t="n">
        <v>60.5</v>
      </c>
      <c r="CU213" s="9" t="n">
        <v>48.3</v>
      </c>
      <c r="CV213" s="9" t="n">
        <v>56.4</v>
      </c>
      <c r="CW213" s="11" t="n">
        <f aca="false">(CS213+CT213+CU213+CV213)/4</f>
        <v>54.125</v>
      </c>
      <c r="CX213" s="9" t="n">
        <v>0</v>
      </c>
      <c r="CY213" s="9" t="n">
        <v>0</v>
      </c>
      <c r="CZ213" s="9" t="n">
        <v>0</v>
      </c>
      <c r="DA213" s="9" t="n">
        <v>0</v>
      </c>
      <c r="DB213" s="11" t="n">
        <f aca="false">(CX213+CY213+CZ213+DA213)/4</f>
        <v>0</v>
      </c>
      <c r="DC213" s="9" t="n">
        <v>1</v>
      </c>
      <c r="DD213" s="9" t="n">
        <v>1</v>
      </c>
      <c r="DE213" s="9" t="n">
        <v>1</v>
      </c>
      <c r="DF213" s="9" t="n">
        <v>1</v>
      </c>
      <c r="DG213" s="11" t="n">
        <f aca="false">(DC213+DD213+DE213+DF213)/4</f>
        <v>1</v>
      </c>
      <c r="DH213" s="9" t="n">
        <v>0</v>
      </c>
      <c r="DI213" s="9" t="n">
        <v>1</v>
      </c>
      <c r="DJ213" s="9" t="n">
        <v>0</v>
      </c>
      <c r="DK213" s="9" t="n">
        <v>0</v>
      </c>
      <c r="DL213" s="11" t="n">
        <f aca="false">(DH213+DI213+DJ213+DK213)/4</f>
        <v>0.25</v>
      </c>
      <c r="DM213" s="9" t="n">
        <v>67</v>
      </c>
      <c r="DN213" s="9" t="n">
        <v>15</v>
      </c>
      <c r="DO213" s="9" t="n">
        <v>11</v>
      </c>
      <c r="DP213" s="9" t="n">
        <v>38</v>
      </c>
      <c r="DQ213" s="11" t="n">
        <f aca="false">(DM213+DN213+DO213+DP213)/4</f>
        <v>32.75</v>
      </c>
      <c r="DR213" s="9" t="n">
        <v>7</v>
      </c>
      <c r="DS213" s="9" t="n">
        <v>10</v>
      </c>
      <c r="DT213" s="9" t="n">
        <v>13</v>
      </c>
      <c r="DU213" s="9" t="n">
        <v>10</v>
      </c>
      <c r="DV213" s="11" t="n">
        <f aca="false">(DR213+DS213+DT213+DU213)/4</f>
        <v>10</v>
      </c>
      <c r="DW213" s="9" t="n">
        <v>0</v>
      </c>
      <c r="DX213" s="9" t="n">
        <v>0</v>
      </c>
      <c r="DY213" s="9" t="n">
        <v>0</v>
      </c>
      <c r="DZ213" s="9" t="n">
        <v>0</v>
      </c>
      <c r="EA213" s="11" t="n">
        <f aca="false">(DW213+DX213+DY213+DZ213)/4</f>
        <v>0</v>
      </c>
      <c r="EB213" s="11" t="n">
        <f aca="false">(DW213/DR213)</f>
        <v>0</v>
      </c>
      <c r="EC213" s="11" t="n">
        <f aca="false">(DX213/DS213)</f>
        <v>0</v>
      </c>
      <c r="ED213" s="11" t="n">
        <f aca="false">(DY213/DT213)</f>
        <v>0</v>
      </c>
      <c r="EE213" s="11" t="n">
        <f aca="false">(DZ213/DU213)</f>
        <v>0</v>
      </c>
      <c r="EF213" s="11" t="n">
        <f aca="false">(EA213/DV213)</f>
        <v>0</v>
      </c>
      <c r="EG213" s="11" t="n">
        <f aca="false">(100*EF213)</f>
        <v>0</v>
      </c>
      <c r="EH213" s="9" t="n">
        <v>0</v>
      </c>
      <c r="EI213" s="9" t="n">
        <v>3</v>
      </c>
      <c r="EJ213" s="9" t="n">
        <v>4</v>
      </c>
      <c r="EK213" s="19" t="n">
        <v>3</v>
      </c>
      <c r="EL213" s="9" t="n">
        <v>2</v>
      </c>
      <c r="EM213" s="9" t="n">
        <f aca="false">(EI213+EJ213+EK213+EL213)/4</f>
        <v>3</v>
      </c>
      <c r="EN213" s="9" t="n">
        <f aca="false">(EI213/DR213)</f>
        <v>0.428571428571429</v>
      </c>
      <c r="EO213" s="9" t="n">
        <f aca="false">(EJ213/DS213)</f>
        <v>0.4</v>
      </c>
      <c r="EP213" s="9" t="n">
        <f aca="false">(EK213/DT213)</f>
        <v>0.230769230769231</v>
      </c>
      <c r="EQ213" s="9" t="n">
        <f aca="false">(EL213/DU213)</f>
        <v>0.2</v>
      </c>
      <c r="ER213" s="9" t="n">
        <f aca="false">EM213/DV213</f>
        <v>0.3</v>
      </c>
      <c r="ES213" s="9" t="n">
        <f aca="false">(100*ER213)</f>
        <v>30</v>
      </c>
      <c r="ET213" s="9" t="n">
        <v>3</v>
      </c>
      <c r="EU213" s="18" t="n">
        <v>0</v>
      </c>
      <c r="EV213" s="9" t="n">
        <v>0</v>
      </c>
      <c r="EW213" s="9" t="n">
        <v>0</v>
      </c>
      <c r="EX213" s="9" t="n">
        <v>0</v>
      </c>
      <c r="EY213" s="11" t="n">
        <f aca="false">(EU213+EV213+EW213+EX213)/4</f>
        <v>0</v>
      </c>
      <c r="EZ213" s="11" t="n">
        <f aca="false">(EU213/DR213)</f>
        <v>0</v>
      </c>
      <c r="FA213" s="11" t="n">
        <f aca="false">(EV213/DS213)</f>
        <v>0</v>
      </c>
      <c r="FB213" s="11" t="n">
        <f aca="false">(EW213/DT213)</f>
        <v>0</v>
      </c>
      <c r="FC213" s="11" t="n">
        <f aca="false">(EX213/DU213)</f>
        <v>0</v>
      </c>
      <c r="FD213" s="11" t="n">
        <f aca="false">(EY213/DV213)</f>
        <v>0</v>
      </c>
      <c r="FE213" s="11" t="n">
        <f aca="false">(100*FD213)</f>
        <v>0</v>
      </c>
      <c r="FF213" s="9" t="n">
        <v>0</v>
      </c>
      <c r="FG213" s="9" t="n">
        <v>0</v>
      </c>
      <c r="FH213" s="9" t="n">
        <v>3</v>
      </c>
      <c r="FI213" s="9" t="n">
        <v>0</v>
      </c>
      <c r="FJ213" s="9" t="n">
        <v>0</v>
      </c>
      <c r="FK213" s="11" t="n">
        <f aca="false">(FG213+FH213+FI213+FJ213)/4</f>
        <v>0.75</v>
      </c>
      <c r="FL213" s="11" t="n">
        <f aca="false">(FG213/DR213)</f>
        <v>0</v>
      </c>
      <c r="FM213" s="11" t="n">
        <f aca="false">(FH213/DS213)</f>
        <v>0.3</v>
      </c>
      <c r="FN213" s="11" t="n">
        <f aca="false">(FI213/DT213)</f>
        <v>0</v>
      </c>
      <c r="FO213" s="11" t="n">
        <f aca="false">(FJ213/DU213)</f>
        <v>0</v>
      </c>
      <c r="FP213" s="11" t="n">
        <f aca="false">(FK213/DV213)</f>
        <v>0.075</v>
      </c>
      <c r="FQ213" s="11" t="n">
        <f aca="false">(100*FP213)</f>
        <v>7.5</v>
      </c>
      <c r="FR213" s="9" t="n">
        <v>1</v>
      </c>
      <c r="FS213" s="9" t="n">
        <v>54.4</v>
      </c>
      <c r="FT213" s="9" t="n">
        <v>66.6</v>
      </c>
      <c r="FU213" s="9" t="n">
        <v>65.4</v>
      </c>
      <c r="FV213" s="9" t="n">
        <v>63.1</v>
      </c>
      <c r="FW213" s="11" t="n">
        <f aca="false">(FS213+FT213+FU213+FV213)/4</f>
        <v>62.375</v>
      </c>
      <c r="FX213" s="9" t="n">
        <v>0</v>
      </c>
      <c r="FY213" s="9" t="n">
        <v>0</v>
      </c>
      <c r="FZ213" s="9" t="n">
        <v>0</v>
      </c>
      <c r="GA213" s="9" t="n">
        <v>0</v>
      </c>
      <c r="GB213" s="11" t="n">
        <f aca="false">(FX213+FY213+FZ213+GA213)/4</f>
        <v>0</v>
      </c>
      <c r="GC213" s="9" t="n">
        <v>1</v>
      </c>
      <c r="GD213" s="9" t="n">
        <v>1</v>
      </c>
      <c r="GE213" s="9" t="n">
        <v>1</v>
      </c>
      <c r="GF213" s="9" t="n">
        <v>1</v>
      </c>
      <c r="GG213" s="11" t="n">
        <f aca="false">(GC213+GD213+GE213+GF213)/4</f>
        <v>1</v>
      </c>
      <c r="GH213" s="9" t="n">
        <v>0</v>
      </c>
      <c r="GI213" s="9" t="n">
        <v>1</v>
      </c>
      <c r="GJ213" s="9" t="n">
        <v>1</v>
      </c>
      <c r="GK213" s="9" t="n">
        <v>0</v>
      </c>
      <c r="GL213" s="11" t="n">
        <f aca="false">(GH213+GI213+GJ213+GK213)/4</f>
        <v>0.5</v>
      </c>
      <c r="GM213" s="9" t="n">
        <v>39</v>
      </c>
      <c r="GN213" s="9" t="n">
        <v>27</v>
      </c>
      <c r="GO213" s="9" t="n">
        <v>34</v>
      </c>
      <c r="GP213" s="9" t="n">
        <v>21</v>
      </c>
      <c r="GQ213" s="11" t="n">
        <f aca="false">(GM213+GN213+GO213+GP213)/4</f>
        <v>30.25</v>
      </c>
      <c r="GR213" s="9" t="n">
        <v>10</v>
      </c>
      <c r="GS213" s="9" t="n">
        <v>12</v>
      </c>
      <c r="GT213" s="9" t="n">
        <v>12</v>
      </c>
      <c r="GU213" s="9" t="n">
        <v>13</v>
      </c>
      <c r="GV213" s="11" t="n">
        <f aca="false">(GR213+GS213+GT213+GU213)/4</f>
        <v>11.75</v>
      </c>
      <c r="GW213" s="9" t="n">
        <v>0</v>
      </c>
      <c r="GX213" s="9" t="n">
        <v>0</v>
      </c>
      <c r="GY213" s="9" t="n">
        <v>0</v>
      </c>
      <c r="GZ213" s="9" t="n">
        <v>0</v>
      </c>
      <c r="HA213" s="11" t="n">
        <f aca="false">(GW213+GX213+GY213+GZ213)/4</f>
        <v>0</v>
      </c>
      <c r="HB213" s="9" t="n">
        <f aca="false">(GW213/GR213)</f>
        <v>0</v>
      </c>
      <c r="HC213" s="9" t="n">
        <f aca="false">(GX213/GS213)</f>
        <v>0</v>
      </c>
      <c r="HD213" s="9" t="n">
        <f aca="false">(GY213/GT213)</f>
        <v>0</v>
      </c>
      <c r="HE213" s="9" t="n">
        <f aca="false">(GZ213/GU213)/4</f>
        <v>0</v>
      </c>
      <c r="HF213" s="9" t="n">
        <f aca="false">(HB213+HC213+HD213+HE213)/4</f>
        <v>0</v>
      </c>
      <c r="HG213" s="9" t="n">
        <f aca="false">(100*HF213)</f>
        <v>0</v>
      </c>
      <c r="HH213" s="18" t="n">
        <v>0</v>
      </c>
      <c r="HI213" s="9" t="n">
        <v>1</v>
      </c>
      <c r="HJ213" s="9" t="n">
        <v>2</v>
      </c>
      <c r="HK213" s="9" t="n">
        <v>2</v>
      </c>
      <c r="HL213" s="19" t="n">
        <v>2</v>
      </c>
      <c r="HM213" s="9" t="n">
        <f aca="false">(HI213+HJ213+HK213+HL213)/4</f>
        <v>1.75</v>
      </c>
      <c r="HN213" s="9" t="n">
        <f aca="false">(HI213/GR213)</f>
        <v>0.1</v>
      </c>
      <c r="HO213" s="9" t="n">
        <f aca="false">(HJ213/GS213)</f>
        <v>0.166666666666667</v>
      </c>
      <c r="HP213" s="9" t="n">
        <f aca="false">(HK213/GT213)</f>
        <v>0.166666666666667</v>
      </c>
      <c r="HQ213" s="9" t="n">
        <f aca="false">(HL213/GU213)</f>
        <v>0.153846153846154</v>
      </c>
      <c r="HR213" s="9" t="n">
        <f aca="false">(HM213/GV213)</f>
        <v>0.148936170212766</v>
      </c>
      <c r="HS213" s="9" t="n">
        <f aca="false">(100*HR213)</f>
        <v>14.8936170212766</v>
      </c>
      <c r="HT213" s="18" t="n">
        <v>2</v>
      </c>
      <c r="HU213" s="9" t="n">
        <v>0</v>
      </c>
      <c r="HV213" s="9" t="n">
        <v>0</v>
      </c>
      <c r="HW213" s="9" t="n">
        <v>0</v>
      </c>
      <c r="HX213" s="19" t="n">
        <v>0</v>
      </c>
      <c r="HY213" s="9" t="n">
        <f aca="false">(HU213+HV213+HW213+HX213)/4</f>
        <v>0</v>
      </c>
      <c r="HZ213" s="9" t="n">
        <f aca="false">(HU213/GR213)</f>
        <v>0</v>
      </c>
      <c r="IA213" s="9" t="n">
        <f aca="false">HV213/GS213</f>
        <v>0</v>
      </c>
      <c r="IB213" s="9" t="n">
        <f aca="false">(HW213/GT213)</f>
        <v>0</v>
      </c>
      <c r="IC213" s="9" t="n">
        <f aca="false">(HX213/GU213)</f>
        <v>0</v>
      </c>
      <c r="ID213" s="9" t="n">
        <f aca="false">(HY213/GV213)</f>
        <v>0</v>
      </c>
      <c r="IE213" s="9" t="n">
        <f aca="false">(100*ID213)</f>
        <v>0</v>
      </c>
      <c r="IF213" s="18" t="n">
        <v>0</v>
      </c>
      <c r="IG213" s="9" t="n">
        <v>0</v>
      </c>
      <c r="IH213" s="9" t="n">
        <v>8</v>
      </c>
      <c r="II213" s="19" t="n">
        <v>1</v>
      </c>
      <c r="IJ213" s="9" t="n">
        <v>0</v>
      </c>
      <c r="IK213" s="9" t="n">
        <f aca="false">(IG213+IH213+II213+IJ213)/4</f>
        <v>2.25</v>
      </c>
      <c r="IL213" s="9" t="n">
        <f aca="false">(IG213/GM213)</f>
        <v>0</v>
      </c>
      <c r="IM213" s="9" t="n">
        <f aca="false">(IH213/GN213)</f>
        <v>0.296296296296296</v>
      </c>
      <c r="IN213" s="9" t="n">
        <f aca="false">(II213/GO213)</f>
        <v>0.0294117647058824</v>
      </c>
      <c r="IO213" s="9" t="n">
        <f aca="false">(IJ213/GP213)</f>
        <v>0</v>
      </c>
      <c r="IP213" s="9" t="n">
        <f aca="false">(IK213/GQ213)</f>
        <v>0.0743801652892562</v>
      </c>
      <c r="IQ213" s="9" t="n">
        <f aca="false">(100*IP213)</f>
        <v>7.43801652892562</v>
      </c>
      <c r="IR213" s="18" t="n">
        <v>1</v>
      </c>
      <c r="IS213" s="9" t="n">
        <v>63.3</v>
      </c>
      <c r="IT213" s="9" t="n">
        <v>62</v>
      </c>
      <c r="IU213" s="19" t="n">
        <v>64.1</v>
      </c>
      <c r="IV213" s="9" t="n">
        <v>69.1</v>
      </c>
      <c r="IW213" s="9" t="n">
        <f aca="false">(IS213+IT213+IU213+IV213)/4</f>
        <v>64.625</v>
      </c>
      <c r="IX213" s="16" t="n">
        <v>45203</v>
      </c>
      <c r="IY213" s="42" t="s">
        <v>268</v>
      </c>
    </row>
    <row r="214" customFormat="false" ht="15.75" hidden="false" customHeight="true" outlineLevel="0" collapsed="false">
      <c r="A214" s="9" t="s">
        <v>259</v>
      </c>
      <c r="B214" s="10" t="s">
        <v>746</v>
      </c>
      <c r="C214" s="10" t="s">
        <v>727</v>
      </c>
      <c r="D214" s="9" t="n">
        <v>4</v>
      </c>
      <c r="E214" s="9" t="n">
        <v>71</v>
      </c>
      <c r="F214" s="10" t="s">
        <v>751</v>
      </c>
      <c r="G214" s="10" t="s">
        <v>297</v>
      </c>
      <c r="H214" s="9" t="n">
        <v>21</v>
      </c>
      <c r="I214" s="9" t="n">
        <v>19</v>
      </c>
      <c r="J214" s="10" t="s">
        <v>272</v>
      </c>
      <c r="K214" s="20"/>
      <c r="L214" s="20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 t="n">
        <v>0</v>
      </c>
      <c r="Y214" s="9" t="n">
        <v>0</v>
      </c>
      <c r="Z214" s="9" t="n">
        <v>0</v>
      </c>
      <c r="AA214" s="9" t="n">
        <v>0</v>
      </c>
      <c r="AB214" s="11" t="n">
        <f aca="false">(X214+Y214+Z214+AA214)/4</f>
        <v>0</v>
      </c>
      <c r="AC214" s="9" t="n">
        <v>1</v>
      </c>
      <c r="AD214" s="9" t="n">
        <v>1</v>
      </c>
      <c r="AE214" s="9" t="n">
        <v>1</v>
      </c>
      <c r="AF214" s="9" t="n">
        <v>1</v>
      </c>
      <c r="AG214" s="11" t="n">
        <f aca="false">(AC214+AD214+AE214+AF214)/4</f>
        <v>1</v>
      </c>
      <c r="AH214" s="9" t="n">
        <v>1</v>
      </c>
      <c r="AI214" s="9" t="n">
        <v>0</v>
      </c>
      <c r="AJ214" s="9" t="n">
        <v>0</v>
      </c>
      <c r="AK214" s="9" t="n">
        <v>0</v>
      </c>
      <c r="AL214" s="11" t="n">
        <f aca="false">(AH214+AI214+AJ214+AK214)/4</f>
        <v>0.25</v>
      </c>
      <c r="AM214" s="9" t="n">
        <v>21</v>
      </c>
      <c r="AN214" s="9" t="n">
        <v>64</v>
      </c>
      <c r="AO214" s="9" t="n">
        <v>62</v>
      </c>
      <c r="AP214" s="9" t="n">
        <v>57</v>
      </c>
      <c r="AQ214" s="11" t="n">
        <f aca="false">(AM214+AN214+AO214+AP214)/4</f>
        <v>51</v>
      </c>
      <c r="AR214" s="9" t="n">
        <v>24</v>
      </c>
      <c r="AS214" s="9" t="n">
        <v>11</v>
      </c>
      <c r="AT214" s="9" t="n">
        <v>21</v>
      </c>
      <c r="AU214" s="9" t="n">
        <v>13</v>
      </c>
      <c r="AV214" s="11" t="n">
        <f aca="false">(AR214+AS214+AT214+AU214)/4</f>
        <v>17.25</v>
      </c>
      <c r="AW214" s="9" t="n">
        <v>0</v>
      </c>
      <c r="AX214" s="9" t="n">
        <v>0</v>
      </c>
      <c r="AY214" s="9" t="n">
        <v>0</v>
      </c>
      <c r="AZ214" s="9" t="n">
        <v>0</v>
      </c>
      <c r="BA214" s="11" t="n">
        <f aca="false">(AW214+AX214+AY214+AZ214)/4</f>
        <v>0</v>
      </c>
      <c r="BB214" s="11" t="n">
        <f aca="false">(AW214/AR214)</f>
        <v>0</v>
      </c>
      <c r="BC214" s="11" t="n">
        <f aca="false">(AX214/AS214)</f>
        <v>0</v>
      </c>
      <c r="BD214" s="11" t="n">
        <f aca="false">(AY214/AT214)</f>
        <v>0</v>
      </c>
      <c r="BE214" s="11" t="n">
        <f aca="false">(AZ214/AU214)</f>
        <v>0</v>
      </c>
      <c r="BF214" s="11" t="n">
        <f aca="false">(BA214/AV214)</f>
        <v>0</v>
      </c>
      <c r="BG214" s="11" t="n">
        <f aca="false">(BF214*100)</f>
        <v>0</v>
      </c>
      <c r="BH214" s="9" t="n">
        <v>0</v>
      </c>
      <c r="BI214" s="9" t="n">
        <v>9</v>
      </c>
      <c r="BJ214" s="9" t="n">
        <v>7</v>
      </c>
      <c r="BK214" s="9" t="n">
        <v>8</v>
      </c>
      <c r="BL214" s="9" t="n">
        <v>2</v>
      </c>
      <c r="BM214" s="11" t="n">
        <f aca="false">(BI214+BJ214+BK214+BL214)/4</f>
        <v>6.5</v>
      </c>
      <c r="BN214" s="11" t="n">
        <f aca="false">(BI214/AR214)</f>
        <v>0.375</v>
      </c>
      <c r="BO214" s="11" t="n">
        <f aca="false">(BJ214/AS214)</f>
        <v>0.636363636363636</v>
      </c>
      <c r="BP214" s="11" t="n">
        <f aca="false">(BK214/AT214)</f>
        <v>0.380952380952381</v>
      </c>
      <c r="BQ214" s="11" t="n">
        <f aca="false">(BL214/AU214)</f>
        <v>0.153846153846154</v>
      </c>
      <c r="BR214" s="11" t="n">
        <f aca="false">(BM214/AV214)</f>
        <v>0.376811594202899</v>
      </c>
      <c r="BS214" s="11" t="n">
        <f aca="false">(100*BR214)</f>
        <v>37.6811594202899</v>
      </c>
      <c r="BT214" s="9" t="n">
        <v>3</v>
      </c>
      <c r="BU214" s="9" t="n">
        <v>1</v>
      </c>
      <c r="BV214" s="9" t="n">
        <v>0</v>
      </c>
      <c r="BW214" s="9" t="n">
        <v>0</v>
      </c>
      <c r="BX214" s="9" t="n">
        <v>0</v>
      </c>
      <c r="BY214" s="11" t="n">
        <f aca="false">(BU214+BV214+BW214+BX214)/4</f>
        <v>0.25</v>
      </c>
      <c r="BZ214" s="11" t="n">
        <f aca="false">(BU214/AR214)</f>
        <v>0.0416666666666667</v>
      </c>
      <c r="CA214" s="11" t="n">
        <f aca="false">(BV214/AS214)</f>
        <v>0</v>
      </c>
      <c r="CB214" s="11" t="n">
        <f aca="false">(BW214/AT214)</f>
        <v>0</v>
      </c>
      <c r="CC214" s="11" t="n">
        <f aca="false">(BX214/AU214)</f>
        <v>0</v>
      </c>
      <c r="CD214" s="11" t="n">
        <f aca="false">(BY214/AV214)</f>
        <v>0.0144927536231884</v>
      </c>
      <c r="CE214" s="11" t="n">
        <f aca="false">(100*CD214)</f>
        <v>1.44927536231884</v>
      </c>
      <c r="CF214" s="9" t="n">
        <v>1</v>
      </c>
      <c r="CG214" s="9" t="n">
        <v>0</v>
      </c>
      <c r="CH214" s="9" t="n">
        <v>0</v>
      </c>
      <c r="CI214" s="9" t="n">
        <v>0</v>
      </c>
      <c r="CJ214" s="9" t="n">
        <v>0</v>
      </c>
      <c r="CK214" s="11" t="n">
        <f aca="false">(CG214+CH214+CI214+CJ214)/4</f>
        <v>0</v>
      </c>
      <c r="CL214" s="11" t="n">
        <f aca="false">(CG214/AM214)</f>
        <v>0</v>
      </c>
      <c r="CM214" s="11" t="n">
        <f aca="false">(CH214/AN214)</f>
        <v>0</v>
      </c>
      <c r="CN214" s="11" t="n">
        <f aca="false">(CI214/AO214)</f>
        <v>0</v>
      </c>
      <c r="CO214" s="9" t="n">
        <f aca="false">(CJ214/AP214)</f>
        <v>0</v>
      </c>
      <c r="CP214" s="9" t="n">
        <f aca="false">(CK214/AQ214)</f>
        <v>0</v>
      </c>
      <c r="CQ214" s="9" t="n">
        <f aca="false">(100*CP214)</f>
        <v>0</v>
      </c>
      <c r="CR214" s="18" t="n">
        <v>0</v>
      </c>
      <c r="CS214" s="9" t="n">
        <v>66.5</v>
      </c>
      <c r="CT214" s="9" t="n">
        <v>66</v>
      </c>
      <c r="CU214" s="9" t="n">
        <v>62.4</v>
      </c>
      <c r="CV214" s="9" t="n">
        <v>68.5</v>
      </c>
      <c r="CW214" s="11" t="n">
        <f aca="false">(CS214+CT214+CU214+CV214)/4</f>
        <v>65.85</v>
      </c>
      <c r="CX214" s="9" t="n">
        <v>0</v>
      </c>
      <c r="CY214" s="9" t="n">
        <v>0</v>
      </c>
      <c r="CZ214" s="9" t="n">
        <v>0</v>
      </c>
      <c r="DA214" s="9" t="n">
        <v>0</v>
      </c>
      <c r="DB214" s="11" t="n">
        <f aca="false">(CX214+CY214+CZ214+DA214)/4</f>
        <v>0</v>
      </c>
      <c r="DC214" s="9" t="n">
        <v>1</v>
      </c>
      <c r="DD214" s="9" t="n">
        <v>1</v>
      </c>
      <c r="DE214" s="9" t="n">
        <v>1</v>
      </c>
      <c r="DF214" s="9" t="n">
        <v>1</v>
      </c>
      <c r="DG214" s="11" t="n">
        <f aca="false">(DC214+DD214+DE214+DF214)/4</f>
        <v>1</v>
      </c>
      <c r="DH214" s="9" t="n">
        <v>0</v>
      </c>
      <c r="DI214" s="9" t="n">
        <v>0</v>
      </c>
      <c r="DJ214" s="9" t="n">
        <v>0</v>
      </c>
      <c r="DK214" s="9" t="n">
        <v>1</v>
      </c>
      <c r="DL214" s="11" t="n">
        <f aca="false">(DH214+DI214+DJ214+DK214)/4</f>
        <v>0.25</v>
      </c>
      <c r="DM214" s="11" t="n">
        <v>101</v>
      </c>
      <c r="DN214" s="11" t="n">
        <v>189</v>
      </c>
      <c r="DO214" s="11" t="n">
        <v>52</v>
      </c>
      <c r="DP214" s="11" t="n">
        <v>223</v>
      </c>
      <c r="DQ214" s="11" t="n">
        <f aca="false">(DM214+DN214+DO214+DP214)/4</f>
        <v>141.25</v>
      </c>
      <c r="DR214" s="9" t="n">
        <v>4</v>
      </c>
      <c r="DS214" s="9" t="n">
        <v>7</v>
      </c>
      <c r="DT214" s="9" t="n">
        <v>6</v>
      </c>
      <c r="DU214" s="9" t="n">
        <v>8</v>
      </c>
      <c r="DV214" s="11" t="n">
        <f aca="false">(DR214+DS214+DT214+DU214)/4</f>
        <v>6.25</v>
      </c>
      <c r="DW214" s="9" t="n">
        <v>0</v>
      </c>
      <c r="DX214" s="9" t="n">
        <v>0</v>
      </c>
      <c r="DY214" s="9" t="n">
        <v>0</v>
      </c>
      <c r="DZ214" s="9" t="n">
        <v>0</v>
      </c>
      <c r="EA214" s="11" t="n">
        <f aca="false">(DW214+DX214+DY214+DZ214)/4</f>
        <v>0</v>
      </c>
      <c r="EB214" s="11" t="n">
        <f aca="false">(DW214/DR214)</f>
        <v>0</v>
      </c>
      <c r="EC214" s="11" t="n">
        <f aca="false">(DX214/DS214)</f>
        <v>0</v>
      </c>
      <c r="ED214" s="11" t="n">
        <f aca="false">(DY214/DT214)</f>
        <v>0</v>
      </c>
      <c r="EE214" s="11" t="n">
        <f aca="false">(DZ214/DU214)</f>
        <v>0</v>
      </c>
      <c r="EF214" s="11" t="n">
        <f aca="false">(EA214/DV214)</f>
        <v>0</v>
      </c>
      <c r="EG214" s="11" t="n">
        <f aca="false">(100*EF214)</f>
        <v>0</v>
      </c>
      <c r="EH214" s="9" t="n">
        <v>0</v>
      </c>
      <c r="EI214" s="9" t="n">
        <v>2</v>
      </c>
      <c r="EJ214" s="9" t="n">
        <v>3</v>
      </c>
      <c r="EK214" s="19" t="n">
        <v>3</v>
      </c>
      <c r="EL214" s="9" t="n">
        <v>4</v>
      </c>
      <c r="EM214" s="9" t="n">
        <f aca="false">(EI214+EJ214+EK214+EL214)/4</f>
        <v>3</v>
      </c>
      <c r="EN214" s="9" t="n">
        <f aca="false">(EI214/DR214)</f>
        <v>0.5</v>
      </c>
      <c r="EO214" s="9" t="n">
        <f aca="false">(EJ214/DS214)</f>
        <v>0.428571428571429</v>
      </c>
      <c r="EP214" s="9" t="n">
        <f aca="false">(EK214/DT214)</f>
        <v>0.5</v>
      </c>
      <c r="EQ214" s="9" t="n">
        <f aca="false">(EL214/DU214)</f>
        <v>0.5</v>
      </c>
      <c r="ER214" s="9" t="n">
        <f aca="false">EM214/DV214</f>
        <v>0.48</v>
      </c>
      <c r="ES214" s="9" t="n">
        <f aca="false">(100*ER214)</f>
        <v>48</v>
      </c>
      <c r="ET214" s="9" t="n">
        <v>3</v>
      </c>
      <c r="EU214" s="18" t="n">
        <v>0</v>
      </c>
      <c r="EV214" s="9" t="n">
        <v>0</v>
      </c>
      <c r="EW214" s="9" t="n">
        <v>0</v>
      </c>
      <c r="EX214" s="9" t="n">
        <v>0</v>
      </c>
      <c r="EY214" s="11" t="n">
        <f aca="false">(EU214+EV214+EW214+EX214)/4</f>
        <v>0</v>
      </c>
      <c r="EZ214" s="11" t="n">
        <f aca="false">(EU214/DR214)</f>
        <v>0</v>
      </c>
      <c r="FA214" s="11" t="n">
        <f aca="false">(EV214/DS214)</f>
        <v>0</v>
      </c>
      <c r="FB214" s="11" t="n">
        <f aca="false">(EW214/DT214)</f>
        <v>0</v>
      </c>
      <c r="FC214" s="11" t="n">
        <f aca="false">(EX214/DU214)</f>
        <v>0</v>
      </c>
      <c r="FD214" s="11" t="n">
        <f aca="false">(EY214/DV214)</f>
        <v>0</v>
      </c>
      <c r="FE214" s="11" t="n">
        <f aca="false">(100*FD214)</f>
        <v>0</v>
      </c>
      <c r="FF214" s="9" t="n">
        <v>0</v>
      </c>
      <c r="FG214" s="9" t="n">
        <v>0</v>
      </c>
      <c r="FH214" s="9" t="n">
        <v>0</v>
      </c>
      <c r="FI214" s="9" t="n">
        <v>0</v>
      </c>
      <c r="FJ214" s="9" t="n">
        <v>5</v>
      </c>
      <c r="FK214" s="11" t="n">
        <f aca="false">(FG214+FH214+FI214+FJ214)/4</f>
        <v>1.25</v>
      </c>
      <c r="FL214" s="11" t="n">
        <f aca="false">(FG214/DR214)</f>
        <v>0</v>
      </c>
      <c r="FM214" s="11" t="n">
        <f aca="false">(FH214/DS214)</f>
        <v>0</v>
      </c>
      <c r="FN214" s="11" t="n">
        <f aca="false">(FI214/DT214)</f>
        <v>0</v>
      </c>
      <c r="FO214" s="11" t="n">
        <f aca="false">(FJ214/DU214)</f>
        <v>0.625</v>
      </c>
      <c r="FP214" s="11" t="n">
        <f aca="false">(FK214/DV214)</f>
        <v>0.2</v>
      </c>
      <c r="FQ214" s="11" t="n">
        <f aca="false">(100*FP214)</f>
        <v>20</v>
      </c>
      <c r="FR214" s="9" t="n">
        <v>2</v>
      </c>
      <c r="FS214" s="9" t="n">
        <v>58.6</v>
      </c>
      <c r="FT214" s="9" t="n">
        <v>58.8</v>
      </c>
      <c r="FU214" s="9" t="n">
        <v>54.9</v>
      </c>
      <c r="FV214" s="9" t="n">
        <v>69.8</v>
      </c>
      <c r="FW214" s="11" t="n">
        <f aca="false">(FS214+FT214+FU214+FV214)/4</f>
        <v>60.525</v>
      </c>
      <c r="FX214" s="9" t="n">
        <v>0</v>
      </c>
      <c r="FY214" s="9" t="n">
        <v>0</v>
      </c>
      <c r="FZ214" s="9" t="n">
        <v>0</v>
      </c>
      <c r="GA214" s="9" t="n">
        <v>0</v>
      </c>
      <c r="GB214" s="11" t="n">
        <f aca="false">(FX214+FY214+FZ214+GA214)/4</f>
        <v>0</v>
      </c>
      <c r="GC214" s="9" t="n">
        <v>1</v>
      </c>
      <c r="GD214" s="9" t="n">
        <v>1</v>
      </c>
      <c r="GE214" s="9" t="n">
        <v>1</v>
      </c>
      <c r="GF214" s="9" t="n">
        <v>1</v>
      </c>
      <c r="GG214" s="11" t="n">
        <f aca="false">(GC214+GD214+GE214+GF214)/4</f>
        <v>1</v>
      </c>
      <c r="GH214" s="9" t="n">
        <v>0</v>
      </c>
      <c r="GI214" s="9" t="n">
        <v>0</v>
      </c>
      <c r="GJ214" s="9" t="n">
        <v>1</v>
      </c>
      <c r="GK214" s="9" t="n">
        <v>0</v>
      </c>
      <c r="GL214" s="11" t="n">
        <f aca="false">(GH214+GI214+GJ214+GK214)/4</f>
        <v>0.25</v>
      </c>
      <c r="GM214" s="9" t="n">
        <v>50</v>
      </c>
      <c r="GN214" s="9" t="n">
        <v>113</v>
      </c>
      <c r="GO214" s="9" t="n">
        <v>98</v>
      </c>
      <c r="GP214" s="9" t="n">
        <v>154</v>
      </c>
      <c r="GQ214" s="11" t="n">
        <f aca="false">(GM214+GN214+GO214+GP214)/4</f>
        <v>103.75</v>
      </c>
      <c r="GR214" s="9" t="n">
        <v>16</v>
      </c>
      <c r="GS214" s="9" t="n">
        <v>15</v>
      </c>
      <c r="GT214" s="9" t="n">
        <v>19</v>
      </c>
      <c r="GU214" s="9" t="n">
        <v>10</v>
      </c>
      <c r="GV214" s="11" t="n">
        <f aca="false">(GR214+GS214+GT214+GU214)/4</f>
        <v>15</v>
      </c>
      <c r="GW214" s="9" t="n">
        <v>0</v>
      </c>
      <c r="GX214" s="9" t="n">
        <v>0</v>
      </c>
      <c r="GY214" s="9" t="n">
        <v>0</v>
      </c>
      <c r="GZ214" s="9" t="n">
        <v>0</v>
      </c>
      <c r="HA214" s="11" t="n">
        <f aca="false">(GW214+GX214+GY214+GZ214)/4</f>
        <v>0</v>
      </c>
      <c r="HB214" s="9" t="n">
        <f aca="false">(GW214/GR214)</f>
        <v>0</v>
      </c>
      <c r="HC214" s="9" t="n">
        <f aca="false">(GX214/GS214)</f>
        <v>0</v>
      </c>
      <c r="HD214" s="9" t="n">
        <f aca="false">(GY214/GT214)</f>
        <v>0</v>
      </c>
      <c r="HE214" s="9" t="n">
        <f aca="false">(GZ214/GU214)/4</f>
        <v>0</v>
      </c>
      <c r="HF214" s="9" t="n">
        <f aca="false">(HB214+HC214+HD214+HE214)/4</f>
        <v>0</v>
      </c>
      <c r="HG214" s="9" t="n">
        <f aca="false">(100*HF214)</f>
        <v>0</v>
      </c>
      <c r="HH214" s="18" t="n">
        <v>0</v>
      </c>
      <c r="HI214" s="9" t="n">
        <v>7</v>
      </c>
      <c r="HJ214" s="9" t="n">
        <v>4</v>
      </c>
      <c r="HK214" s="9" t="n">
        <v>1</v>
      </c>
      <c r="HL214" s="19" t="n">
        <v>5</v>
      </c>
      <c r="HM214" s="9" t="n">
        <f aca="false">(HI214+HJ214+HK214+HL214)/4</f>
        <v>4.25</v>
      </c>
      <c r="HN214" s="9" t="n">
        <f aca="false">(HI214/GR214)</f>
        <v>0.4375</v>
      </c>
      <c r="HO214" s="9" t="n">
        <f aca="false">(HJ214/GS214)</f>
        <v>0.266666666666667</v>
      </c>
      <c r="HP214" s="9" t="n">
        <f aca="false">(HK214/GT214)</f>
        <v>0.0526315789473684</v>
      </c>
      <c r="HQ214" s="9" t="n">
        <f aca="false">(HL214/GU214)</f>
        <v>0.5</v>
      </c>
      <c r="HR214" s="9" t="n">
        <f aca="false">(HM214/GV214)</f>
        <v>0.283333333333333</v>
      </c>
      <c r="HS214" s="9" t="n">
        <f aca="false">(100*HR214)</f>
        <v>28.3333333333333</v>
      </c>
      <c r="HT214" s="18" t="n">
        <v>2</v>
      </c>
      <c r="HU214" s="9" t="n">
        <v>0</v>
      </c>
      <c r="HV214" s="9" t="n">
        <v>0</v>
      </c>
      <c r="HW214" s="9" t="n">
        <v>0</v>
      </c>
      <c r="HX214" s="19" t="n">
        <v>0</v>
      </c>
      <c r="HY214" s="9" t="n">
        <f aca="false">(HU214+HV214+HW214+HX214)/4</f>
        <v>0</v>
      </c>
      <c r="HZ214" s="9" t="n">
        <f aca="false">(HU214/GR214)</f>
        <v>0</v>
      </c>
      <c r="IA214" s="9" t="n">
        <f aca="false">HV214/GS214</f>
        <v>0</v>
      </c>
      <c r="IB214" s="9" t="n">
        <f aca="false">(HW214/GT214)</f>
        <v>0</v>
      </c>
      <c r="IC214" s="9" t="n">
        <f aca="false">(HX214/GU214)</f>
        <v>0</v>
      </c>
      <c r="ID214" s="9" t="n">
        <f aca="false">(HY214/GV214)</f>
        <v>0</v>
      </c>
      <c r="IE214" s="9" t="n">
        <f aca="false">(100*ID214)</f>
        <v>0</v>
      </c>
      <c r="IF214" s="18" t="n">
        <v>0</v>
      </c>
      <c r="IG214" s="9" t="n">
        <v>0</v>
      </c>
      <c r="IH214" s="9" t="n">
        <v>0</v>
      </c>
      <c r="II214" s="19" t="n">
        <v>1</v>
      </c>
      <c r="IJ214" s="9" t="n">
        <v>0</v>
      </c>
      <c r="IK214" s="9" t="n">
        <f aca="false">(IG214+IH214+II214+IJ214)/4</f>
        <v>0.25</v>
      </c>
      <c r="IL214" s="9" t="n">
        <f aca="false">(IG214/GM214)</f>
        <v>0</v>
      </c>
      <c r="IM214" s="9" t="n">
        <f aca="false">(IH214/GN214)</f>
        <v>0</v>
      </c>
      <c r="IN214" s="9" t="n">
        <f aca="false">(II214/GO214)</f>
        <v>0.0102040816326531</v>
      </c>
      <c r="IO214" s="9" t="n">
        <f aca="false">(IJ214/GP214)</f>
        <v>0</v>
      </c>
      <c r="IP214" s="9" t="n">
        <f aca="false">(IK214/GQ214)</f>
        <v>0.00240963855421687</v>
      </c>
      <c r="IQ214" s="9" t="n">
        <f aca="false">(100*IP214)</f>
        <v>0.240963855421687</v>
      </c>
      <c r="IR214" s="18" t="n">
        <v>1</v>
      </c>
      <c r="IS214" s="9" t="n">
        <v>62.6</v>
      </c>
      <c r="IT214" s="9" t="n">
        <v>66.7</v>
      </c>
      <c r="IU214" s="19" t="n">
        <v>70</v>
      </c>
      <c r="IV214" s="9" t="n">
        <v>63.4</v>
      </c>
      <c r="IW214" s="9" t="n">
        <f aca="false">(IS214+IT214+IU214+IV214)/4</f>
        <v>65.675</v>
      </c>
      <c r="IX214" s="16" t="n">
        <v>45203</v>
      </c>
      <c r="IY214" s="42" t="s">
        <v>268</v>
      </c>
    </row>
    <row r="215" customFormat="false" ht="15.75" hidden="false" customHeight="true" outlineLevel="0" collapsed="false">
      <c r="A215" s="9" t="s">
        <v>299</v>
      </c>
      <c r="B215" s="10" t="s">
        <v>752</v>
      </c>
      <c r="C215" s="10" t="s">
        <v>727</v>
      </c>
      <c r="D215" s="9" t="n">
        <v>1</v>
      </c>
      <c r="E215" s="9" t="n">
        <v>72</v>
      </c>
      <c r="F215" s="10" t="s">
        <v>753</v>
      </c>
      <c r="G215" s="10" t="s">
        <v>320</v>
      </c>
      <c r="H215" s="9" t="n">
        <v>21</v>
      </c>
      <c r="I215" s="9" t="n">
        <v>5</v>
      </c>
      <c r="J215" s="12" t="s">
        <v>264</v>
      </c>
      <c r="K215" s="13" t="s">
        <v>754</v>
      </c>
      <c r="L215" s="23" t="s">
        <v>755</v>
      </c>
      <c r="M215" s="14" t="n">
        <v>1283</v>
      </c>
      <c r="N215" s="15" t="n">
        <v>45135</v>
      </c>
      <c r="O215" s="10" t="s">
        <v>267</v>
      </c>
      <c r="P215" s="9"/>
      <c r="Q215" s="9" t="n">
        <v>5.36</v>
      </c>
      <c r="R215" s="9" t="n">
        <v>15</v>
      </c>
      <c r="S215" s="9" t="n">
        <v>-12</v>
      </c>
      <c r="T215" s="9" t="n">
        <v>140</v>
      </c>
      <c r="U215" s="9"/>
      <c r="V215" s="9" t="n">
        <v>2.3</v>
      </c>
      <c r="W215" s="9"/>
      <c r="X215" s="9" t="n">
        <v>0</v>
      </c>
      <c r="Y215" s="9" t="n">
        <v>1</v>
      </c>
      <c r="Z215" s="9" t="n">
        <v>1</v>
      </c>
      <c r="AA215" s="9" t="n">
        <v>0</v>
      </c>
      <c r="AB215" s="11" t="n">
        <f aca="false">(X215+Y215+Z215+AA215)/4</f>
        <v>0.5</v>
      </c>
      <c r="AC215" s="9" t="n">
        <v>1</v>
      </c>
      <c r="AD215" s="9" t="n">
        <v>1</v>
      </c>
      <c r="AE215" s="9" t="n">
        <v>1</v>
      </c>
      <c r="AF215" s="9" t="n">
        <v>1</v>
      </c>
      <c r="AG215" s="11" t="n">
        <f aca="false">(AC215+AD215+AE215+AF215)/4</f>
        <v>1</v>
      </c>
      <c r="AH215" s="9" t="n">
        <v>1</v>
      </c>
      <c r="AI215" s="9" t="n">
        <v>1</v>
      </c>
      <c r="AJ215" s="9" t="n">
        <v>0</v>
      </c>
      <c r="AK215" s="9" t="n">
        <v>1</v>
      </c>
      <c r="AL215" s="11" t="n">
        <f aca="false">(AH215+AI215+AJ215+AK215)/4</f>
        <v>0.75</v>
      </c>
      <c r="AM215" s="9" t="n">
        <v>63</v>
      </c>
      <c r="AN215" s="9" t="n">
        <v>194</v>
      </c>
      <c r="AO215" s="9" t="n">
        <v>27</v>
      </c>
      <c r="AP215" s="9" t="n">
        <v>93</v>
      </c>
      <c r="AQ215" s="11" t="n">
        <f aca="false">(AM215+AN215+AO215+AP215)/4</f>
        <v>94.25</v>
      </c>
      <c r="AR215" s="9" t="n">
        <v>46</v>
      </c>
      <c r="AS215" s="9" t="n">
        <v>33</v>
      </c>
      <c r="AT215" s="9" t="n">
        <v>45</v>
      </c>
      <c r="AU215" s="9" t="n">
        <v>26</v>
      </c>
      <c r="AV215" s="11" t="n">
        <f aca="false">(AR215+AS215+AT215+AU215)/4</f>
        <v>37.5</v>
      </c>
      <c r="AW215" s="9" t="n">
        <v>0</v>
      </c>
      <c r="AX215" s="9" t="n">
        <v>1</v>
      </c>
      <c r="AY215" s="9" t="n">
        <v>1</v>
      </c>
      <c r="AZ215" s="9" t="n">
        <v>0</v>
      </c>
      <c r="BA215" s="11" t="n">
        <f aca="false">(AW215+AX215+AY215+AZ215)/4</f>
        <v>0.5</v>
      </c>
      <c r="BB215" s="11" t="n">
        <f aca="false">(AW215/AR215)</f>
        <v>0</v>
      </c>
      <c r="BC215" s="11" t="n">
        <f aca="false">(AX215/AS215)</f>
        <v>0.0303030303030303</v>
      </c>
      <c r="BD215" s="11" t="n">
        <f aca="false">(AY215/AT215)</f>
        <v>0.0222222222222222</v>
      </c>
      <c r="BE215" s="11" t="n">
        <f aca="false">(AZ215/AU215)</f>
        <v>0</v>
      </c>
      <c r="BF215" s="11" t="n">
        <f aca="false">(BA215/AV215)</f>
        <v>0.0133333333333333</v>
      </c>
      <c r="BG215" s="11" t="n">
        <f aca="false">(BF215*100)</f>
        <v>1.33333333333333</v>
      </c>
      <c r="BH215" s="9" t="n">
        <v>1</v>
      </c>
      <c r="BI215" s="9" t="n">
        <v>4</v>
      </c>
      <c r="BJ215" s="9" t="n">
        <v>11</v>
      </c>
      <c r="BK215" s="9" t="n">
        <v>5</v>
      </c>
      <c r="BL215" s="9" t="n">
        <v>7</v>
      </c>
      <c r="BM215" s="11" t="n">
        <f aca="false">(BI215+BJ215+BK215+BL215)/4</f>
        <v>6.75</v>
      </c>
      <c r="BN215" s="11" t="n">
        <f aca="false">(BI215/AR215)</f>
        <v>0.0869565217391304</v>
      </c>
      <c r="BO215" s="11" t="n">
        <f aca="false">(BJ215/AS215)</f>
        <v>0.333333333333333</v>
      </c>
      <c r="BP215" s="11" t="n">
        <f aca="false">(BK215/AT215)</f>
        <v>0.111111111111111</v>
      </c>
      <c r="BQ215" s="11" t="n">
        <f aca="false">(BL215/AU215)</f>
        <v>0.269230769230769</v>
      </c>
      <c r="BR215" s="11" t="n">
        <f aca="false">(BM215/AV215)</f>
        <v>0.18</v>
      </c>
      <c r="BS215" s="11" t="n">
        <f aca="false">(100*BR215)</f>
        <v>18</v>
      </c>
      <c r="BT215" s="9" t="n">
        <v>2</v>
      </c>
      <c r="BU215" s="9" t="n">
        <v>0</v>
      </c>
      <c r="BV215" s="9" t="n">
        <v>0</v>
      </c>
      <c r="BW215" s="9" t="n">
        <v>0</v>
      </c>
      <c r="BX215" s="9" t="n">
        <v>0</v>
      </c>
      <c r="BY215" s="11" t="n">
        <f aca="false">(BU215+BV215+BW215+BX215)/4</f>
        <v>0</v>
      </c>
      <c r="BZ215" s="11" t="n">
        <f aca="false">(BU215/AR215)</f>
        <v>0</v>
      </c>
      <c r="CA215" s="11" t="n">
        <f aca="false">(BV215/AS215)</f>
        <v>0</v>
      </c>
      <c r="CB215" s="11" t="n">
        <f aca="false">(BW215/AT215)</f>
        <v>0</v>
      </c>
      <c r="CC215" s="11" t="n">
        <f aca="false">(BX215/AU215)</f>
        <v>0</v>
      </c>
      <c r="CD215" s="11" t="n">
        <f aca="false">(BY215/AV215)</f>
        <v>0</v>
      </c>
      <c r="CE215" s="11" t="n">
        <f aca="false">(100*CD215)</f>
        <v>0</v>
      </c>
      <c r="CF215" s="9" t="n">
        <v>0</v>
      </c>
      <c r="CG215" s="9" t="n">
        <v>3</v>
      </c>
      <c r="CH215" s="9" t="n">
        <v>8</v>
      </c>
      <c r="CI215" s="9" t="n">
        <v>0</v>
      </c>
      <c r="CJ215" s="9" t="n">
        <v>26</v>
      </c>
      <c r="CK215" s="11" t="n">
        <f aca="false">(CG215+CH215+CI215+CJ215)/4</f>
        <v>9.25</v>
      </c>
      <c r="CL215" s="11" t="n">
        <f aca="false">(CG215/AM215)</f>
        <v>0.0476190476190476</v>
      </c>
      <c r="CM215" s="11" t="n">
        <f aca="false">(CH215/AN215)</f>
        <v>0.0412371134020619</v>
      </c>
      <c r="CN215" s="11" t="n">
        <f aca="false">(CI215/AO215)</f>
        <v>0</v>
      </c>
      <c r="CO215" s="9" t="n">
        <f aca="false">(CJ215/AP215)</f>
        <v>0.279569892473118</v>
      </c>
      <c r="CP215" s="9" t="n">
        <f aca="false">(CK215/AQ215)</f>
        <v>0.0981432360742706</v>
      </c>
      <c r="CQ215" s="9" t="n">
        <f aca="false">(100*CP215)</f>
        <v>9.81432360742706</v>
      </c>
      <c r="CR215" s="18" t="n">
        <v>1</v>
      </c>
      <c r="CS215" s="9" t="n">
        <v>65.5</v>
      </c>
      <c r="CT215" s="9" t="n">
        <v>69.4</v>
      </c>
      <c r="CU215" s="9" t="n">
        <v>69.3</v>
      </c>
      <c r="CV215" s="9" t="n">
        <v>68.2</v>
      </c>
      <c r="CW215" s="11" t="n">
        <f aca="false">(CS215+CT215+CU215+CV215)/4</f>
        <v>68.1</v>
      </c>
      <c r="CX215" s="9" t="n">
        <v>1</v>
      </c>
      <c r="CY215" s="9" t="n">
        <v>0</v>
      </c>
      <c r="CZ215" s="9" t="n">
        <v>0</v>
      </c>
      <c r="DA215" s="9" t="n">
        <v>0</v>
      </c>
      <c r="DB215" s="11" t="n">
        <f aca="false">(CX215+CY215+CZ215+DA215)/4</f>
        <v>0.25</v>
      </c>
      <c r="DC215" s="9" t="n">
        <v>1</v>
      </c>
      <c r="DD215" s="9" t="n">
        <v>1</v>
      </c>
      <c r="DE215" s="9" t="n">
        <v>1</v>
      </c>
      <c r="DF215" s="9" t="n">
        <v>1</v>
      </c>
      <c r="DG215" s="11" t="n">
        <f aca="false">(DC215+DD215+DE215+DF215)/4</f>
        <v>1</v>
      </c>
      <c r="DH215" s="9" t="n">
        <v>1</v>
      </c>
      <c r="DI215" s="9" t="n">
        <v>1</v>
      </c>
      <c r="DJ215" s="9" t="n">
        <v>1</v>
      </c>
      <c r="DK215" s="9" t="n">
        <v>0</v>
      </c>
      <c r="DL215" s="11" t="n">
        <f aca="false">(DH215+DI215+DJ215+DK215)/4</f>
        <v>0.75</v>
      </c>
      <c r="DM215" s="9" t="n">
        <v>123</v>
      </c>
      <c r="DN215" s="9" t="n">
        <v>167</v>
      </c>
      <c r="DO215" s="9" t="n">
        <v>76</v>
      </c>
      <c r="DP215" s="9" t="n">
        <v>70</v>
      </c>
      <c r="DQ215" s="11" t="n">
        <f aca="false">(DM215+DN215+DO215+DP215)/4</f>
        <v>109</v>
      </c>
      <c r="DR215" s="9" t="n">
        <v>8</v>
      </c>
      <c r="DS215" s="9" t="n">
        <v>50</v>
      </c>
      <c r="DT215" s="9" t="n">
        <v>8</v>
      </c>
      <c r="DU215" s="9" t="n">
        <v>11</v>
      </c>
      <c r="DV215" s="11" t="n">
        <f aca="false">(DR215+DS215+DT215+DU215)/4</f>
        <v>19.25</v>
      </c>
      <c r="DW215" s="9" t="n">
        <v>3</v>
      </c>
      <c r="DX215" s="9" t="n">
        <v>0</v>
      </c>
      <c r="DY215" s="9" t="n">
        <v>0</v>
      </c>
      <c r="DZ215" s="9" t="n">
        <v>0</v>
      </c>
      <c r="EA215" s="11" t="n">
        <f aca="false">(DW215+DX215+DY215+DZ215)/4</f>
        <v>0.75</v>
      </c>
      <c r="EB215" s="11" t="n">
        <f aca="false">(DW215/DR215)</f>
        <v>0.375</v>
      </c>
      <c r="EC215" s="11" t="n">
        <f aca="false">(DX215/DS215)</f>
        <v>0</v>
      </c>
      <c r="ED215" s="11" t="n">
        <f aca="false">(DY215/DT215)</f>
        <v>0</v>
      </c>
      <c r="EE215" s="11" t="n">
        <f aca="false">(DZ215/DU215)</f>
        <v>0</v>
      </c>
      <c r="EF215" s="11" t="n">
        <f aca="false">(EA215/DV215)</f>
        <v>0.038961038961039</v>
      </c>
      <c r="EG215" s="11" t="n">
        <f aca="false">(100*EF215)</f>
        <v>3.8961038961039</v>
      </c>
      <c r="EH215" s="9" t="n">
        <v>1</v>
      </c>
      <c r="EI215" s="9" t="n">
        <v>1</v>
      </c>
      <c r="EJ215" s="9" t="n">
        <v>3</v>
      </c>
      <c r="EK215" s="19" t="n">
        <v>4</v>
      </c>
      <c r="EL215" s="9" t="n">
        <v>4</v>
      </c>
      <c r="EM215" s="9" t="n">
        <f aca="false">(EI215+EJ215+EK215+EL215)/4</f>
        <v>3</v>
      </c>
      <c r="EN215" s="9" t="n">
        <f aca="false">(EI215/DR215)</f>
        <v>0.125</v>
      </c>
      <c r="EO215" s="9" t="n">
        <f aca="false">(EJ215/DS215)</f>
        <v>0.06</v>
      </c>
      <c r="EP215" s="9" t="n">
        <f aca="false">(EK215/DT215)</f>
        <v>0.5</v>
      </c>
      <c r="EQ215" s="9" t="n">
        <f aca="false">(EL215/DU215)</f>
        <v>0.363636363636364</v>
      </c>
      <c r="ER215" s="9" t="n">
        <f aca="false">EM215/DV215</f>
        <v>0.155844155844156</v>
      </c>
      <c r="ES215" s="9" t="n">
        <f aca="false">(100*ER215)</f>
        <v>15.5844155844156</v>
      </c>
      <c r="ET215" s="9" t="n">
        <v>2</v>
      </c>
      <c r="EU215" s="18" t="n">
        <v>0</v>
      </c>
      <c r="EV215" s="9" t="n">
        <v>0</v>
      </c>
      <c r="EW215" s="9" t="n">
        <v>0</v>
      </c>
      <c r="EX215" s="9" t="n">
        <v>0</v>
      </c>
      <c r="EY215" s="11" t="n">
        <f aca="false">(EU215+EV215+EW215+EX215)/4</f>
        <v>0</v>
      </c>
      <c r="EZ215" s="11" t="n">
        <f aca="false">(EU215/DR215)</f>
        <v>0</v>
      </c>
      <c r="FA215" s="11" t="n">
        <f aca="false">(EV215/DS215)</f>
        <v>0</v>
      </c>
      <c r="FB215" s="11" t="n">
        <f aca="false">(EW215/DT215)</f>
        <v>0</v>
      </c>
      <c r="FC215" s="11" t="n">
        <f aca="false">(EX215/DU215)</f>
        <v>0</v>
      </c>
      <c r="FD215" s="11" t="n">
        <f aca="false">(EY215/DV215)</f>
        <v>0</v>
      </c>
      <c r="FE215" s="11" t="n">
        <f aca="false">(100*FD215)</f>
        <v>0</v>
      </c>
      <c r="FF215" s="9" t="n">
        <v>0</v>
      </c>
      <c r="FG215" s="9" t="n">
        <v>13</v>
      </c>
      <c r="FH215" s="9" t="n">
        <v>6</v>
      </c>
      <c r="FI215" s="9" t="n">
        <v>25</v>
      </c>
      <c r="FJ215" s="9" t="n">
        <v>0</v>
      </c>
      <c r="FK215" s="11" t="n">
        <f aca="false">(FG215+FH215+FI215+FJ215)/4</f>
        <v>11</v>
      </c>
      <c r="FL215" s="11" t="n">
        <f aca="false">(FG215/DR215)</f>
        <v>1.625</v>
      </c>
      <c r="FM215" s="11" t="n">
        <f aca="false">(FH215/DS215)</f>
        <v>0.12</v>
      </c>
      <c r="FN215" s="11" t="n">
        <f aca="false">(FI215/DT215)</f>
        <v>3.125</v>
      </c>
      <c r="FO215" s="11" t="n">
        <f aca="false">(FJ215/DU215)</f>
        <v>0</v>
      </c>
      <c r="FP215" s="11" t="n">
        <f aca="false">(FK215/DV215)</f>
        <v>0.571428571428571</v>
      </c>
      <c r="FQ215" s="11" t="n">
        <f aca="false">(100*FP215)</f>
        <v>57.1428571428571</v>
      </c>
      <c r="FR215" s="9" t="n">
        <v>3</v>
      </c>
      <c r="FS215" s="9" t="n">
        <v>51.9</v>
      </c>
      <c r="FT215" s="9" t="n">
        <v>71.8</v>
      </c>
      <c r="FU215" s="9" t="n">
        <v>60.2</v>
      </c>
      <c r="FV215" s="9" t="n">
        <v>70.2</v>
      </c>
      <c r="FW215" s="11" t="n">
        <f aca="false">(FS215+FT215+FU215+FV215)/4</f>
        <v>63.525</v>
      </c>
      <c r="FX215" s="9" t="n">
        <v>0</v>
      </c>
      <c r="FY215" s="9" t="n">
        <v>0</v>
      </c>
      <c r="FZ215" s="9" t="n">
        <v>0</v>
      </c>
      <c r="GA215" s="9" t="n">
        <v>0</v>
      </c>
      <c r="GB215" s="11" t="n">
        <f aca="false">(FX215+FY215+FZ215+GA215)/4</f>
        <v>0</v>
      </c>
      <c r="GC215" s="9" t="n">
        <v>0</v>
      </c>
      <c r="GD215" s="9" t="n">
        <v>1</v>
      </c>
      <c r="GE215" s="9" t="n">
        <v>0</v>
      </c>
      <c r="GF215" s="9" t="n">
        <v>1</v>
      </c>
      <c r="GG215" s="11" t="n">
        <f aca="false">(GC215+GD215+GE215+GF215)/4</f>
        <v>0.5</v>
      </c>
      <c r="GH215" s="9" t="n">
        <v>1</v>
      </c>
      <c r="GI215" s="9" t="n">
        <v>1</v>
      </c>
      <c r="GJ215" s="9" t="n">
        <v>1</v>
      </c>
      <c r="GK215" s="9" t="n">
        <v>1</v>
      </c>
      <c r="GL215" s="11" t="n">
        <f aca="false">(GH215+GI215+GJ215+GK215)/4</f>
        <v>1</v>
      </c>
      <c r="GM215" s="9" t="n">
        <v>152</v>
      </c>
      <c r="GN215" s="9" t="n">
        <v>94</v>
      </c>
      <c r="GO215" s="9" t="n">
        <v>198</v>
      </c>
      <c r="GP215" s="9" t="n">
        <v>121</v>
      </c>
      <c r="GQ215" s="11" t="n">
        <f aca="false">(GM215+GN215+GO215+GP215)/4</f>
        <v>141.25</v>
      </c>
      <c r="GR215" s="9" t="n">
        <v>10</v>
      </c>
      <c r="GS215" s="9" t="n">
        <v>11</v>
      </c>
      <c r="GT215" s="9" t="n">
        <v>6</v>
      </c>
      <c r="GU215" s="9" t="n">
        <v>14</v>
      </c>
      <c r="GV215" s="11" t="n">
        <f aca="false">(GR215+GS215+GT215+GU215)/4</f>
        <v>10.25</v>
      </c>
      <c r="GW215" s="9" t="n">
        <v>0</v>
      </c>
      <c r="GX215" s="9" t="n">
        <v>0</v>
      </c>
      <c r="GY215" s="9" t="n">
        <v>0</v>
      </c>
      <c r="GZ215" s="9" t="n">
        <v>0</v>
      </c>
      <c r="HA215" s="11" t="n">
        <f aca="false">(GW215+GX215+GY215+GZ215)/4</f>
        <v>0</v>
      </c>
      <c r="HB215" s="9" t="n">
        <f aca="false">(GW215/GR215)</f>
        <v>0</v>
      </c>
      <c r="HC215" s="9" t="n">
        <f aca="false">(GX215/GS215)</f>
        <v>0</v>
      </c>
      <c r="HD215" s="9" t="n">
        <f aca="false">(GY215/GT215)</f>
        <v>0</v>
      </c>
      <c r="HE215" s="9" t="n">
        <f aca="false">(GZ215/GU215)/4</f>
        <v>0</v>
      </c>
      <c r="HF215" s="9" t="n">
        <f aca="false">(HB215+HC215+HD215+HE215)/4</f>
        <v>0</v>
      </c>
      <c r="HG215" s="9" t="n">
        <f aca="false">(100*HF215)</f>
        <v>0</v>
      </c>
      <c r="HH215" s="18" t="n">
        <v>0</v>
      </c>
      <c r="HI215" s="9" t="n">
        <v>0</v>
      </c>
      <c r="HJ215" s="9" t="n">
        <v>4</v>
      </c>
      <c r="HK215" s="9" t="n">
        <v>0</v>
      </c>
      <c r="HL215" s="19" t="n">
        <v>6</v>
      </c>
      <c r="HM215" s="9" t="n">
        <f aca="false">(HI215+HJ215+HK215+HL215)/4</f>
        <v>2.5</v>
      </c>
      <c r="HN215" s="9" t="n">
        <f aca="false">(HI215/GR215)</f>
        <v>0</v>
      </c>
      <c r="HO215" s="9" t="n">
        <f aca="false">(HJ215/GS215)</f>
        <v>0.363636363636364</v>
      </c>
      <c r="HP215" s="9" t="n">
        <f aca="false">(HK215/GT215)</f>
        <v>0</v>
      </c>
      <c r="HQ215" s="9" t="n">
        <f aca="false">(HL215/GU215)</f>
        <v>0.428571428571429</v>
      </c>
      <c r="HR215" s="9" t="n">
        <f aca="false">(HM215/GV215)</f>
        <v>0.24390243902439</v>
      </c>
      <c r="HS215" s="9" t="n">
        <f aca="false">(100*HR215)</f>
        <v>24.390243902439</v>
      </c>
      <c r="HT215" s="18" t="n">
        <v>2</v>
      </c>
      <c r="HU215" s="9" t="n">
        <v>2</v>
      </c>
      <c r="HV215" s="9" t="n">
        <v>0</v>
      </c>
      <c r="HW215" s="9" t="n">
        <v>1</v>
      </c>
      <c r="HX215" s="19" t="n">
        <v>0</v>
      </c>
      <c r="HY215" s="9" t="n">
        <f aca="false">(HU215+HV215+HW215+HX215)/4</f>
        <v>0.75</v>
      </c>
      <c r="HZ215" s="9" t="n">
        <f aca="false">(HU215/GR215)</f>
        <v>0.2</v>
      </c>
      <c r="IA215" s="9" t="n">
        <f aca="false">HV215/GS215</f>
        <v>0</v>
      </c>
      <c r="IB215" s="9" t="n">
        <f aca="false">(HW215/GT215)</f>
        <v>0.166666666666667</v>
      </c>
      <c r="IC215" s="9" t="n">
        <f aca="false">(HX215/GU215)</f>
        <v>0</v>
      </c>
      <c r="ID215" s="9" t="n">
        <f aca="false">(HY215/GV215)</f>
        <v>0.0731707317073171</v>
      </c>
      <c r="IE215" s="9" t="n">
        <f aca="false">(100*ID215)</f>
        <v>7.31707317073171</v>
      </c>
      <c r="IF215" s="18" t="n">
        <v>1</v>
      </c>
      <c r="IG215" s="9" t="n">
        <v>24</v>
      </c>
      <c r="IH215" s="9" t="n">
        <v>28</v>
      </c>
      <c r="II215" s="19" t="n">
        <v>27</v>
      </c>
      <c r="IJ215" s="9" t="n">
        <v>11</v>
      </c>
      <c r="IK215" s="9" t="n">
        <f aca="false">(IG215+IH215+II215+IJ215)/4</f>
        <v>22.5</v>
      </c>
      <c r="IL215" s="9" t="n">
        <f aca="false">(IG215/GM215)</f>
        <v>0.157894736842105</v>
      </c>
      <c r="IM215" s="9" t="n">
        <f aca="false">(IH215/GN215)</f>
        <v>0.297872340425532</v>
      </c>
      <c r="IN215" s="9" t="n">
        <f aca="false">(II215/GO215)</f>
        <v>0.136363636363636</v>
      </c>
      <c r="IO215" s="9" t="n">
        <f aca="false">(IJ215/GP215)</f>
        <v>0.0909090909090909</v>
      </c>
      <c r="IP215" s="9" t="n">
        <f aca="false">(IK215/GQ215)</f>
        <v>0.15929203539823</v>
      </c>
      <c r="IQ215" s="9" t="n">
        <f aca="false">(100*IP215)</f>
        <v>15.929203539823</v>
      </c>
      <c r="IR215" s="18" t="n">
        <v>2</v>
      </c>
      <c r="IS215" s="9" t="n">
        <v>69</v>
      </c>
      <c r="IT215" s="9" t="n">
        <v>66.6</v>
      </c>
      <c r="IU215" s="19" t="n">
        <v>64.1</v>
      </c>
      <c r="IV215" s="9" t="n">
        <v>56.9</v>
      </c>
      <c r="IW215" s="9" t="n">
        <f aca="false">(IS215+IT215+IU215+IV215)/4</f>
        <v>64.15</v>
      </c>
      <c r="IX215" s="16" t="n">
        <v>45205</v>
      </c>
      <c r="IY215" s="42" t="s">
        <v>268</v>
      </c>
    </row>
    <row r="216" customFormat="false" ht="15.75" hidden="false" customHeight="true" outlineLevel="0" collapsed="false">
      <c r="A216" s="9" t="s">
        <v>299</v>
      </c>
      <c r="B216" s="10" t="s">
        <v>752</v>
      </c>
      <c r="C216" s="10" t="s">
        <v>727</v>
      </c>
      <c r="D216" s="9" t="n">
        <v>1</v>
      </c>
      <c r="E216" s="9" t="n">
        <v>72</v>
      </c>
      <c r="F216" s="10" t="s">
        <v>756</v>
      </c>
      <c r="G216" s="10" t="s">
        <v>320</v>
      </c>
      <c r="H216" s="9" t="n">
        <v>21</v>
      </c>
      <c r="I216" s="9" t="n">
        <v>10</v>
      </c>
      <c r="J216" s="12" t="s">
        <v>270</v>
      </c>
      <c r="K216" s="20"/>
      <c r="L216" s="20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 t="n">
        <v>1</v>
      </c>
      <c r="Y216" s="9" t="n">
        <v>1</v>
      </c>
      <c r="Z216" s="9" t="n">
        <v>1</v>
      </c>
      <c r="AA216" s="9" t="n">
        <v>1</v>
      </c>
      <c r="AB216" s="11" t="n">
        <f aca="false">(X216+Y216+Z216+AA216)/4</f>
        <v>1</v>
      </c>
      <c r="AC216" s="9" t="n">
        <v>0</v>
      </c>
      <c r="AD216" s="9" t="n">
        <v>1</v>
      </c>
      <c r="AE216" s="9" t="n">
        <v>1</v>
      </c>
      <c r="AF216" s="9" t="n">
        <v>1</v>
      </c>
      <c r="AG216" s="11" t="n">
        <f aca="false">(AC216+AD216+AE216+AF216)/4</f>
        <v>0.75</v>
      </c>
      <c r="AH216" s="9" t="n">
        <v>0</v>
      </c>
      <c r="AI216" s="9" t="n">
        <v>0</v>
      </c>
      <c r="AJ216" s="9" t="n">
        <v>0</v>
      </c>
      <c r="AK216" s="9" t="n">
        <v>0</v>
      </c>
      <c r="AL216" s="11" t="n">
        <f aca="false">(AH216+AI216+AJ216+AK216)/4</f>
        <v>0</v>
      </c>
      <c r="AM216" s="9" t="n">
        <v>45</v>
      </c>
      <c r="AN216" s="9" t="n">
        <v>31</v>
      </c>
      <c r="AO216" s="9" t="n">
        <v>0</v>
      </c>
      <c r="AP216" s="9" t="n">
        <v>0</v>
      </c>
      <c r="AQ216" s="11" t="n">
        <f aca="false">(AM216+AN216+AO216+AP216)/4</f>
        <v>19</v>
      </c>
      <c r="AR216" s="9" t="n">
        <v>92</v>
      </c>
      <c r="AS216" s="9" t="n">
        <v>86</v>
      </c>
      <c r="AT216" s="9" t="n">
        <v>98</v>
      </c>
      <c r="AU216" s="9" t="n">
        <v>66</v>
      </c>
      <c r="AV216" s="11" t="n">
        <f aca="false">(AR216+AS216+AT216+AU216)/4</f>
        <v>85.5</v>
      </c>
      <c r="AW216" s="9" t="n">
        <v>2</v>
      </c>
      <c r="AX216" s="9" t="n">
        <v>1</v>
      </c>
      <c r="AY216" s="9" t="n">
        <v>3</v>
      </c>
      <c r="AZ216" s="9" t="n">
        <v>1</v>
      </c>
      <c r="BA216" s="11" t="n">
        <f aca="false">(AW216+AX216+AY216+AZ216)/4</f>
        <v>1.75</v>
      </c>
      <c r="BB216" s="11" t="n">
        <f aca="false">(AW216/AR216)</f>
        <v>0.0217391304347826</v>
      </c>
      <c r="BC216" s="11" t="n">
        <f aca="false">(AX216/AS216)</f>
        <v>0.0116279069767442</v>
      </c>
      <c r="BD216" s="11" t="n">
        <f aca="false">(AY216/AT216)</f>
        <v>0.0306122448979592</v>
      </c>
      <c r="BE216" s="11" t="n">
        <f aca="false">(AZ216/AU216)</f>
        <v>0.0151515151515152</v>
      </c>
      <c r="BF216" s="11" t="n">
        <f aca="false">(BA216/AV216)</f>
        <v>0.0204678362573099</v>
      </c>
      <c r="BG216" s="11" t="n">
        <f aca="false">(BF216*100)</f>
        <v>2.04678362573099</v>
      </c>
      <c r="BH216" s="9" t="n">
        <v>1</v>
      </c>
      <c r="BI216" s="9" t="n">
        <v>0</v>
      </c>
      <c r="BJ216" s="9" t="n">
        <v>1</v>
      </c>
      <c r="BK216" s="9" t="n">
        <v>2</v>
      </c>
      <c r="BL216" s="9" t="n">
        <v>2</v>
      </c>
      <c r="BM216" s="11" t="n">
        <f aca="false">(BI216+BJ216+BK216+BL216)/4</f>
        <v>1.25</v>
      </c>
      <c r="BN216" s="11" t="n">
        <f aca="false">(BI216/AR216)</f>
        <v>0</v>
      </c>
      <c r="BO216" s="11" t="n">
        <f aca="false">(BJ216/AS216)</f>
        <v>0.0116279069767442</v>
      </c>
      <c r="BP216" s="11" t="n">
        <f aca="false">(BK216/AT216)</f>
        <v>0.0204081632653061</v>
      </c>
      <c r="BQ216" s="11" t="n">
        <f aca="false">(BL216/AU216)</f>
        <v>0.0303030303030303</v>
      </c>
      <c r="BR216" s="11" t="n">
        <f aca="false">(BM216/AV216)</f>
        <v>0.0146198830409357</v>
      </c>
      <c r="BS216" s="11" t="n">
        <f aca="false">(100*BR216)</f>
        <v>1.46198830409357</v>
      </c>
      <c r="BT216" s="9" t="n">
        <v>1</v>
      </c>
      <c r="BU216" s="9" t="n">
        <v>0</v>
      </c>
      <c r="BV216" s="9" t="n">
        <v>0</v>
      </c>
      <c r="BW216" s="9" t="n">
        <v>0</v>
      </c>
      <c r="BX216" s="9" t="n">
        <v>0</v>
      </c>
      <c r="BY216" s="11" t="n">
        <f aca="false">(BU216+BV216+BW216+BX216)/4</f>
        <v>0</v>
      </c>
      <c r="BZ216" s="11" t="n">
        <f aca="false">(BU216/AR216)</f>
        <v>0</v>
      </c>
      <c r="CA216" s="11" t="n">
        <f aca="false">(BV216/AS216)</f>
        <v>0</v>
      </c>
      <c r="CB216" s="11" t="n">
        <f aca="false">(BW216/AT216)</f>
        <v>0</v>
      </c>
      <c r="CC216" s="11" t="n">
        <f aca="false">(BX216/AU216)</f>
        <v>0</v>
      </c>
      <c r="CD216" s="11" t="n">
        <f aca="false">(BY216/AV216)</f>
        <v>0</v>
      </c>
      <c r="CE216" s="11" t="n">
        <f aca="false">(100*CD216)</f>
        <v>0</v>
      </c>
      <c r="CF216" s="9" t="n">
        <v>0</v>
      </c>
      <c r="CG216" s="9" t="n">
        <v>0</v>
      </c>
      <c r="CH216" s="9" t="n">
        <v>0</v>
      </c>
      <c r="CI216" s="9" t="n">
        <v>0</v>
      </c>
      <c r="CJ216" s="9" t="n">
        <v>0</v>
      </c>
      <c r="CK216" s="11" t="n">
        <f aca="false">(CG216+CH216+CI216+CJ216)/4</f>
        <v>0</v>
      </c>
      <c r="CL216" s="11" t="n">
        <f aca="false">(CG216/AM216)</f>
        <v>0</v>
      </c>
      <c r="CM216" s="11" t="n">
        <f aca="false">(CH216/AN216)</f>
        <v>0</v>
      </c>
      <c r="CN216" s="11" t="e">
        <f aca="false">(CI216/AO216)</f>
        <v>#DIV/0!</v>
      </c>
      <c r="CO216" s="9" t="e">
        <f aca="false">(CJ216/AP216)</f>
        <v>#DIV/0!</v>
      </c>
      <c r="CP216" s="9" t="n">
        <f aca="false">(CK216/AQ216)</f>
        <v>0</v>
      </c>
      <c r="CQ216" s="9" t="n">
        <f aca="false">(100*CP216)</f>
        <v>0</v>
      </c>
      <c r="CR216" s="18" t="n">
        <v>0</v>
      </c>
      <c r="CS216" s="9" t="n">
        <v>65.7</v>
      </c>
      <c r="CT216" s="9" t="n">
        <v>69.8</v>
      </c>
      <c r="CU216" s="9" t="n">
        <v>76.3</v>
      </c>
      <c r="CV216" s="9" t="n">
        <v>79.9</v>
      </c>
      <c r="CW216" s="11" t="n">
        <f aca="false">(CS216+CT216+CU216+CV216)/4</f>
        <v>72.925</v>
      </c>
      <c r="CX216" s="9" t="n">
        <v>0</v>
      </c>
      <c r="CY216" s="9" t="n">
        <v>0</v>
      </c>
      <c r="CZ216" s="9" t="n">
        <v>0</v>
      </c>
      <c r="DA216" s="9" t="n">
        <v>0</v>
      </c>
      <c r="DB216" s="11" t="n">
        <f aca="false">(CX216+CY216+CZ216+DA216)/4</f>
        <v>0</v>
      </c>
      <c r="DC216" s="9" t="n">
        <v>0</v>
      </c>
      <c r="DD216" s="9" t="n">
        <v>1</v>
      </c>
      <c r="DE216" s="9" t="n">
        <v>0</v>
      </c>
      <c r="DF216" s="9" t="n">
        <v>0</v>
      </c>
      <c r="DG216" s="11" t="n">
        <f aca="false">(DC216+DD216+DE216+DF216)/4</f>
        <v>0.25</v>
      </c>
      <c r="DH216" s="9" t="n">
        <v>0</v>
      </c>
      <c r="DI216" s="9" t="n">
        <v>0</v>
      </c>
      <c r="DJ216" s="9" t="n">
        <v>0</v>
      </c>
      <c r="DK216" s="9" t="n">
        <v>0</v>
      </c>
      <c r="DL216" s="11" t="n">
        <f aca="false">(DH216+DI216+DJ216+DK216)/4</f>
        <v>0</v>
      </c>
      <c r="DM216" s="9" t="n">
        <v>0</v>
      </c>
      <c r="DN216" s="9" t="n">
        <v>48</v>
      </c>
      <c r="DO216" s="9" t="n">
        <v>5</v>
      </c>
      <c r="DP216" s="9" t="n">
        <v>0</v>
      </c>
      <c r="DQ216" s="11" t="n">
        <f aca="false">(DM216+DN216+DO216+DP216)/4</f>
        <v>13.25</v>
      </c>
      <c r="DR216" s="9" t="n">
        <v>37</v>
      </c>
      <c r="DS216" s="9" t="n">
        <v>32</v>
      </c>
      <c r="DT216" s="9" t="n">
        <v>29</v>
      </c>
      <c r="DU216" s="9" t="n">
        <v>33</v>
      </c>
      <c r="DV216" s="11" t="n">
        <f aca="false">(DR216+DS216+DT216+DU216)/4</f>
        <v>32.75</v>
      </c>
      <c r="DW216" s="9" t="n">
        <v>0</v>
      </c>
      <c r="DX216" s="9" t="n">
        <v>0</v>
      </c>
      <c r="DY216" s="9" t="n">
        <v>0</v>
      </c>
      <c r="DZ216" s="9" t="n">
        <v>0</v>
      </c>
      <c r="EA216" s="11" t="n">
        <f aca="false">(DW216+DX216+DY216+DZ216)/4</f>
        <v>0</v>
      </c>
      <c r="EB216" s="11" t="n">
        <f aca="false">(DW216/DR216)</f>
        <v>0</v>
      </c>
      <c r="EC216" s="11" t="n">
        <f aca="false">(DX216/DS216)</f>
        <v>0</v>
      </c>
      <c r="ED216" s="11" t="n">
        <f aca="false">(DY216/DT216)</f>
        <v>0</v>
      </c>
      <c r="EE216" s="11" t="n">
        <f aca="false">(DZ216/DU216)</f>
        <v>0</v>
      </c>
      <c r="EF216" s="11" t="n">
        <f aca="false">(EA216/DV216)</f>
        <v>0</v>
      </c>
      <c r="EG216" s="11" t="n">
        <f aca="false">(100*EF216)</f>
        <v>0</v>
      </c>
      <c r="EH216" s="9" t="n">
        <v>0</v>
      </c>
      <c r="EI216" s="9" t="n">
        <v>0</v>
      </c>
      <c r="EJ216" s="9" t="n">
        <v>1</v>
      </c>
      <c r="EK216" s="19" t="n">
        <v>0</v>
      </c>
      <c r="EL216" s="9" t="n">
        <v>0</v>
      </c>
      <c r="EM216" s="9" t="n">
        <f aca="false">(EI216+EJ216+EK216+EL216)/4</f>
        <v>0.25</v>
      </c>
      <c r="EN216" s="9" t="n">
        <f aca="false">(EI216/DR216)</f>
        <v>0</v>
      </c>
      <c r="EO216" s="9" t="n">
        <f aca="false">(EJ216/DS216)</f>
        <v>0.03125</v>
      </c>
      <c r="EP216" s="9" t="n">
        <f aca="false">(EK216/DT216)</f>
        <v>0</v>
      </c>
      <c r="EQ216" s="9" t="n">
        <f aca="false">(EL216/DU216)</f>
        <v>0</v>
      </c>
      <c r="ER216" s="9" t="n">
        <f aca="false">EM216/DV216</f>
        <v>0.00763358778625954</v>
      </c>
      <c r="ES216" s="9" t="n">
        <f aca="false">(100*ER216)</f>
        <v>0.763358778625954</v>
      </c>
      <c r="ET216" s="9" t="n">
        <v>1</v>
      </c>
      <c r="EU216" s="18" t="n">
        <v>0</v>
      </c>
      <c r="EV216" s="9" t="n">
        <v>0</v>
      </c>
      <c r="EW216" s="9" t="n">
        <v>0</v>
      </c>
      <c r="EX216" s="9" t="n">
        <v>0</v>
      </c>
      <c r="EY216" s="11" t="n">
        <f aca="false">(EU216+EV216+EW216+EX216)/4</f>
        <v>0</v>
      </c>
      <c r="EZ216" s="11" t="n">
        <f aca="false">(EU216/DR216)</f>
        <v>0</v>
      </c>
      <c r="FA216" s="11" t="n">
        <f aca="false">(EV216/DS216)</f>
        <v>0</v>
      </c>
      <c r="FB216" s="11" t="n">
        <f aca="false">(EW216/DT216)</f>
        <v>0</v>
      </c>
      <c r="FC216" s="11" t="n">
        <f aca="false">(EX216/DU216)</f>
        <v>0</v>
      </c>
      <c r="FD216" s="11" t="n">
        <f aca="false">(EY216/DV216)</f>
        <v>0</v>
      </c>
      <c r="FE216" s="11" t="n">
        <f aca="false">(100*FD216)</f>
        <v>0</v>
      </c>
      <c r="FF216" s="9" t="n">
        <v>0</v>
      </c>
      <c r="FG216" s="9" t="n">
        <v>0</v>
      </c>
      <c r="FH216" s="9" t="n">
        <v>0</v>
      </c>
      <c r="FI216" s="9" t="n">
        <v>0</v>
      </c>
      <c r="FJ216" s="9" t="n">
        <v>0</v>
      </c>
      <c r="FK216" s="11" t="n">
        <f aca="false">(FG216+FH216+FI216+FJ216)/4</f>
        <v>0</v>
      </c>
      <c r="FL216" s="11" t="n">
        <f aca="false">(FG216/DR216)</f>
        <v>0</v>
      </c>
      <c r="FM216" s="11" t="n">
        <f aca="false">(FH216/DS216)</f>
        <v>0</v>
      </c>
      <c r="FN216" s="11" t="n">
        <f aca="false">(FI216/DT216)</f>
        <v>0</v>
      </c>
      <c r="FO216" s="11" t="n">
        <f aca="false">(FJ216/DU216)</f>
        <v>0</v>
      </c>
      <c r="FP216" s="11" t="n">
        <f aca="false">(FK216/DV216)</f>
        <v>0</v>
      </c>
      <c r="FQ216" s="11" t="n">
        <f aca="false">(100*FP216)</f>
        <v>0</v>
      </c>
      <c r="FR216" s="9" t="n">
        <v>0</v>
      </c>
      <c r="FS216" s="9" t="n">
        <v>79</v>
      </c>
      <c r="FT216" s="9" t="n">
        <v>78</v>
      </c>
      <c r="FU216" s="9" t="n">
        <v>79.5</v>
      </c>
      <c r="FV216" s="9" t="n">
        <v>76.3</v>
      </c>
      <c r="FW216" s="11" t="n">
        <f aca="false">(FS216+FT216+FU216+FV216)/4</f>
        <v>78.2</v>
      </c>
      <c r="FX216" s="9" t="n">
        <v>0</v>
      </c>
      <c r="FY216" s="9" t="n">
        <v>0</v>
      </c>
      <c r="FZ216" s="9" t="n">
        <v>0</v>
      </c>
      <c r="GA216" s="9" t="n">
        <v>0</v>
      </c>
      <c r="GB216" s="11" t="n">
        <f aca="false">(FX216+FY216+FZ216+GA216)/4</f>
        <v>0</v>
      </c>
      <c r="GC216" s="9" t="n">
        <v>0</v>
      </c>
      <c r="GD216" s="9" t="n">
        <v>0</v>
      </c>
      <c r="GE216" s="9" t="n">
        <v>0</v>
      </c>
      <c r="GF216" s="9" t="n">
        <v>1</v>
      </c>
      <c r="GG216" s="11" t="n">
        <f aca="false">(GC216+GD216+GE216+GF216)/4</f>
        <v>0.25</v>
      </c>
      <c r="GH216" s="9" t="n">
        <v>0</v>
      </c>
      <c r="GI216" s="9" t="n">
        <v>0</v>
      </c>
      <c r="GJ216" s="9" t="n">
        <v>1</v>
      </c>
      <c r="GK216" s="9" t="n">
        <v>1</v>
      </c>
      <c r="GL216" s="11" t="n">
        <f aca="false">(GH216+GI216+GJ216+GK216)/4</f>
        <v>0.5</v>
      </c>
      <c r="GM216" s="9" t="n">
        <v>0</v>
      </c>
      <c r="GN216" s="9" t="n">
        <v>0</v>
      </c>
      <c r="GO216" s="9" t="n">
        <v>3</v>
      </c>
      <c r="GP216" s="9" t="n">
        <v>2</v>
      </c>
      <c r="GQ216" s="11" t="n">
        <f aca="false">(GM216+GN216+GO216+GP216)/4</f>
        <v>1.25</v>
      </c>
      <c r="GR216" s="9" t="n">
        <v>26</v>
      </c>
      <c r="GS216" s="9" t="n">
        <v>25</v>
      </c>
      <c r="GT216" s="9" t="n">
        <v>28</v>
      </c>
      <c r="GU216" s="9" t="n">
        <v>19</v>
      </c>
      <c r="GV216" s="11" t="n">
        <f aca="false">(GR216+GS216+GT216+GU216)/4</f>
        <v>24.5</v>
      </c>
      <c r="GW216" s="9" t="n">
        <v>0</v>
      </c>
      <c r="GX216" s="9" t="n">
        <v>0</v>
      </c>
      <c r="GY216" s="9" t="n">
        <v>0</v>
      </c>
      <c r="GZ216" s="9" t="n">
        <v>0</v>
      </c>
      <c r="HA216" s="11" t="n">
        <f aca="false">(GW216+GX216+GY216+GZ216)/4</f>
        <v>0</v>
      </c>
      <c r="HB216" s="9" t="n">
        <f aca="false">(GW216/GR216)</f>
        <v>0</v>
      </c>
      <c r="HC216" s="9" t="n">
        <f aca="false">(GX216/GS216)</f>
        <v>0</v>
      </c>
      <c r="HD216" s="9" t="n">
        <f aca="false">(GY216/GT216)</f>
        <v>0</v>
      </c>
      <c r="HE216" s="9" t="n">
        <f aca="false">(GZ216/GU216)/4</f>
        <v>0</v>
      </c>
      <c r="HF216" s="9" t="n">
        <f aca="false">(HB216+HC216+HD216+HE216)/4</f>
        <v>0</v>
      </c>
      <c r="HG216" s="9" t="n">
        <f aca="false">(100*HF216)</f>
        <v>0</v>
      </c>
      <c r="HH216" s="18" t="n">
        <v>0</v>
      </c>
      <c r="HI216" s="9" t="n">
        <v>0</v>
      </c>
      <c r="HJ216" s="9" t="n">
        <v>0</v>
      </c>
      <c r="HK216" s="9" t="n">
        <v>0</v>
      </c>
      <c r="HL216" s="19" t="n">
        <v>2</v>
      </c>
      <c r="HM216" s="9" t="n">
        <f aca="false">(HI216+HJ216+HK216+HL216)/4</f>
        <v>0.5</v>
      </c>
      <c r="HN216" s="9" t="n">
        <f aca="false">(HI216/GR216)</f>
        <v>0</v>
      </c>
      <c r="HO216" s="9" t="n">
        <f aca="false">(HJ216/GS216)</f>
        <v>0</v>
      </c>
      <c r="HP216" s="9" t="n">
        <f aca="false">(HK216/GT216)</f>
        <v>0</v>
      </c>
      <c r="HQ216" s="9" t="n">
        <f aca="false">(HL216/GU216)</f>
        <v>0.105263157894737</v>
      </c>
      <c r="HR216" s="9" t="n">
        <f aca="false">(HM216/GV216)</f>
        <v>0.0204081632653061</v>
      </c>
      <c r="HS216" s="9" t="n">
        <f aca="false">(100*HR216)</f>
        <v>2.04081632653061</v>
      </c>
      <c r="HT216" s="18" t="n">
        <v>1</v>
      </c>
      <c r="HU216" s="9" t="n">
        <v>0</v>
      </c>
      <c r="HV216" s="9" t="n">
        <v>0</v>
      </c>
      <c r="HW216" s="9" t="n">
        <v>0</v>
      </c>
      <c r="HX216" s="19" t="n">
        <v>0</v>
      </c>
      <c r="HY216" s="9" t="n">
        <f aca="false">(HU216+HV216+HW216+HX216)/4</f>
        <v>0</v>
      </c>
      <c r="HZ216" s="9" t="n">
        <f aca="false">(HU216/GR216)</f>
        <v>0</v>
      </c>
      <c r="IA216" s="9" t="n">
        <f aca="false">HV216/GS216</f>
        <v>0</v>
      </c>
      <c r="IB216" s="9" t="n">
        <f aca="false">(HW216/GT216)</f>
        <v>0</v>
      </c>
      <c r="IC216" s="9" t="n">
        <f aca="false">(HX216/GU216)</f>
        <v>0</v>
      </c>
      <c r="ID216" s="9" t="n">
        <f aca="false">(HY216/GV216)</f>
        <v>0</v>
      </c>
      <c r="IE216" s="9" t="n">
        <f aca="false">(100*ID216)</f>
        <v>0</v>
      </c>
      <c r="IF216" s="18" t="n">
        <v>0</v>
      </c>
      <c r="IG216" s="9" t="n">
        <v>0</v>
      </c>
      <c r="IH216" s="9" t="n">
        <v>0</v>
      </c>
      <c r="II216" s="19" t="n">
        <v>0</v>
      </c>
      <c r="IJ216" s="9" t="n">
        <v>0</v>
      </c>
      <c r="IK216" s="9" t="n">
        <f aca="false">(IG216+IH216+II216+IJ216)/4</f>
        <v>0</v>
      </c>
      <c r="IL216" s="9" t="e">
        <f aca="false">(IG216/GM216)</f>
        <v>#DIV/0!</v>
      </c>
      <c r="IM216" s="9" t="e">
        <f aca="false">(IH216/GN216)</f>
        <v>#DIV/0!</v>
      </c>
      <c r="IN216" s="9" t="n">
        <f aca="false">(II216/GO216)</f>
        <v>0</v>
      </c>
      <c r="IO216" s="9" t="n">
        <f aca="false">(IJ216/GP216)</f>
        <v>0</v>
      </c>
      <c r="IP216" s="9" t="n">
        <f aca="false">(IK216/GQ216)</f>
        <v>0</v>
      </c>
      <c r="IQ216" s="9" t="n">
        <f aca="false">(100*IP216)</f>
        <v>0</v>
      </c>
      <c r="IR216" s="18"/>
      <c r="IS216" s="9" t="n">
        <v>74.7</v>
      </c>
      <c r="IT216" s="9" t="n">
        <v>80.7</v>
      </c>
      <c r="IU216" s="19" t="n">
        <v>74.6</v>
      </c>
      <c r="IV216" s="9" t="n">
        <v>77.4</v>
      </c>
      <c r="IW216" s="9" t="n">
        <f aca="false">(IS216+IT216+IU216+IV216)/4</f>
        <v>76.85</v>
      </c>
      <c r="IX216" s="16" t="n">
        <v>45205</v>
      </c>
      <c r="IY216" s="42" t="s">
        <v>268</v>
      </c>
    </row>
    <row r="217" customFormat="false" ht="15.75" hidden="false" customHeight="true" outlineLevel="0" collapsed="false">
      <c r="A217" s="9" t="s">
        <v>299</v>
      </c>
      <c r="B217" s="10" t="s">
        <v>752</v>
      </c>
      <c r="C217" s="10" t="s">
        <v>727</v>
      </c>
      <c r="D217" s="9" t="n">
        <v>1</v>
      </c>
      <c r="E217" s="9" t="n">
        <v>72</v>
      </c>
      <c r="F217" s="10" t="s">
        <v>757</v>
      </c>
      <c r="G217" s="10" t="s">
        <v>297</v>
      </c>
      <c r="H217" s="9" t="n">
        <v>21</v>
      </c>
      <c r="I217" s="9" t="n">
        <v>20</v>
      </c>
      <c r="J217" s="10" t="s">
        <v>272</v>
      </c>
      <c r="K217" s="20"/>
      <c r="L217" s="20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 t="n">
        <v>0</v>
      </c>
      <c r="Y217" s="9" t="n">
        <v>0</v>
      </c>
      <c r="Z217" s="9" t="n">
        <v>0</v>
      </c>
      <c r="AA217" s="9" t="n">
        <v>0</v>
      </c>
      <c r="AB217" s="11" t="n">
        <f aca="false">(X217+Y217+Z217+AA217)/4</f>
        <v>0</v>
      </c>
      <c r="AC217" s="9" t="n">
        <v>1</v>
      </c>
      <c r="AD217" s="9" t="n">
        <v>1</v>
      </c>
      <c r="AE217" s="9" t="n">
        <v>1</v>
      </c>
      <c r="AF217" s="9" t="n">
        <v>0</v>
      </c>
      <c r="AG217" s="11" t="n">
        <f aca="false">(AC217+AD217+AE217+AF217)/4</f>
        <v>0.75</v>
      </c>
      <c r="AH217" s="9" t="n">
        <v>0</v>
      </c>
      <c r="AI217" s="9" t="n">
        <v>1</v>
      </c>
      <c r="AJ217" s="9" t="n">
        <v>1</v>
      </c>
      <c r="AK217" s="9" t="n">
        <v>0</v>
      </c>
      <c r="AL217" s="11" t="n">
        <f aca="false">(AH217+AI217+AJ217+AK217)/4</f>
        <v>0.5</v>
      </c>
      <c r="AM217" s="9" t="n">
        <v>8</v>
      </c>
      <c r="AN217" s="9" t="n">
        <v>23</v>
      </c>
      <c r="AO217" s="9" t="n">
        <v>56</v>
      </c>
      <c r="AP217" s="9" t="n">
        <v>0</v>
      </c>
      <c r="AQ217" s="11" t="n">
        <f aca="false">(AM217+AN217+AO217+AP217)/4</f>
        <v>21.75</v>
      </c>
      <c r="AR217" s="9" t="n">
        <v>19</v>
      </c>
      <c r="AS217" s="9" t="n">
        <v>130</v>
      </c>
      <c r="AT217" s="9" t="n">
        <v>14</v>
      </c>
      <c r="AU217" s="9" t="n">
        <v>59</v>
      </c>
      <c r="AV217" s="11" t="n">
        <f aca="false">(AR217+AS217+AT217+AU217)/4</f>
        <v>55.5</v>
      </c>
      <c r="AW217" s="9" t="n">
        <v>0</v>
      </c>
      <c r="AX217" s="9" t="n">
        <v>0</v>
      </c>
      <c r="AY217" s="9" t="n">
        <v>0</v>
      </c>
      <c r="AZ217" s="9" t="n">
        <v>0</v>
      </c>
      <c r="BA217" s="11" t="n">
        <f aca="false">(AW217+AX217+AY217+AZ217)/4</f>
        <v>0</v>
      </c>
      <c r="BB217" s="11" t="n">
        <f aca="false">(AW217/AR217)</f>
        <v>0</v>
      </c>
      <c r="BC217" s="11" t="n">
        <f aca="false">(AX217/AS217)</f>
        <v>0</v>
      </c>
      <c r="BD217" s="11" t="n">
        <f aca="false">(AY217/AT217)</f>
        <v>0</v>
      </c>
      <c r="BE217" s="11" t="n">
        <f aca="false">(AZ217/AU217)</f>
        <v>0</v>
      </c>
      <c r="BF217" s="11" t="n">
        <f aca="false">(BA217/AV217)</f>
        <v>0</v>
      </c>
      <c r="BG217" s="11" t="n">
        <f aca="false">(BF217*100)</f>
        <v>0</v>
      </c>
      <c r="BH217" s="9" t="n">
        <v>0</v>
      </c>
      <c r="BI217" s="9" t="n">
        <v>2</v>
      </c>
      <c r="BJ217" s="9" t="n">
        <v>17</v>
      </c>
      <c r="BK217" s="9" t="n">
        <v>1</v>
      </c>
      <c r="BL217" s="9" t="n">
        <v>0</v>
      </c>
      <c r="BM217" s="11" t="n">
        <f aca="false">(BI217+BJ217+BK217+BL217)/4</f>
        <v>5</v>
      </c>
      <c r="BN217" s="11" t="n">
        <f aca="false">(BI217/AR217)</f>
        <v>0.105263157894737</v>
      </c>
      <c r="BO217" s="11" t="n">
        <f aca="false">(BJ217/AS217)</f>
        <v>0.130769230769231</v>
      </c>
      <c r="BP217" s="11" t="n">
        <f aca="false">(BK217/AT217)</f>
        <v>0.0714285714285714</v>
      </c>
      <c r="BQ217" s="11" t="n">
        <f aca="false">(BL217/AU217)</f>
        <v>0</v>
      </c>
      <c r="BR217" s="11" t="n">
        <f aca="false">(BM217/AV217)</f>
        <v>0.0900900900900901</v>
      </c>
      <c r="BS217" s="11" t="n">
        <f aca="false">(100*BR217)</f>
        <v>9.00900900900901</v>
      </c>
      <c r="BT217" s="9" t="n">
        <v>1</v>
      </c>
      <c r="BU217" s="9" t="n">
        <v>0</v>
      </c>
      <c r="BV217" s="9" t="n">
        <v>0</v>
      </c>
      <c r="BW217" s="9" t="n">
        <v>0</v>
      </c>
      <c r="BX217" s="9" t="n">
        <v>0</v>
      </c>
      <c r="BY217" s="11" t="n">
        <f aca="false">(BU217+BV217+BW217+BX217)/4</f>
        <v>0</v>
      </c>
      <c r="BZ217" s="11" t="n">
        <f aca="false">(BU217/AR217)</f>
        <v>0</v>
      </c>
      <c r="CA217" s="11" t="n">
        <f aca="false">(BV217/AS217)</f>
        <v>0</v>
      </c>
      <c r="CB217" s="11" t="n">
        <f aca="false">(BW217/AT217)</f>
        <v>0</v>
      </c>
      <c r="CC217" s="11" t="n">
        <f aca="false">(BX217/AU217)</f>
        <v>0</v>
      </c>
      <c r="CD217" s="11" t="n">
        <f aca="false">(BY217/AV217)</f>
        <v>0</v>
      </c>
      <c r="CE217" s="11" t="n">
        <f aca="false">(100*CD217)</f>
        <v>0</v>
      </c>
      <c r="CF217" s="9" t="n">
        <v>0</v>
      </c>
      <c r="CG217" s="9" t="n">
        <v>0</v>
      </c>
      <c r="CH217" s="9" t="n">
        <v>6</v>
      </c>
      <c r="CI217" s="9" t="n">
        <v>2</v>
      </c>
      <c r="CJ217" s="9" t="n">
        <v>0</v>
      </c>
      <c r="CK217" s="11" t="n">
        <f aca="false">(CG217+CH217+CI217+CJ217)/4</f>
        <v>2</v>
      </c>
      <c r="CL217" s="11" t="n">
        <f aca="false">(CG217/AM217)</f>
        <v>0</v>
      </c>
      <c r="CM217" s="11" t="n">
        <f aca="false">(CH217/AN217)</f>
        <v>0.260869565217391</v>
      </c>
      <c r="CN217" s="11" t="n">
        <f aca="false">(CI217/AO217)</f>
        <v>0.0357142857142857</v>
      </c>
      <c r="CO217" s="9" t="e">
        <f aca="false">(CJ217/AP217)</f>
        <v>#DIV/0!</v>
      </c>
      <c r="CP217" s="9" t="n">
        <f aca="false">(CK217/AQ217)</f>
        <v>0.0919540229885058</v>
      </c>
      <c r="CQ217" s="9" t="n">
        <f aca="false">(100*CP217)</f>
        <v>9.19540229885057</v>
      </c>
      <c r="CR217" s="18" t="n">
        <v>1</v>
      </c>
      <c r="CS217" s="9" t="n">
        <v>50.3</v>
      </c>
      <c r="CT217" s="9" t="n">
        <v>64.3</v>
      </c>
      <c r="CU217" s="9" t="n">
        <v>56.6</v>
      </c>
      <c r="CV217" s="9" t="n">
        <v>54.6</v>
      </c>
      <c r="CW217" s="11" t="n">
        <f aca="false">(CS217+CT217+CU217+CV217)/4</f>
        <v>56.45</v>
      </c>
      <c r="CX217" s="9" t="n">
        <v>0</v>
      </c>
      <c r="CY217" s="9" t="n">
        <v>0</v>
      </c>
      <c r="CZ217" s="9" t="n">
        <v>1</v>
      </c>
      <c r="DA217" s="9" t="n">
        <v>0</v>
      </c>
      <c r="DB217" s="11" t="n">
        <f aca="false">(CX217+CY217+CZ217+DA217)/4</f>
        <v>0.25</v>
      </c>
      <c r="DC217" s="9" t="n">
        <v>0</v>
      </c>
      <c r="DD217" s="9" t="n">
        <v>1</v>
      </c>
      <c r="DE217" s="9" t="n">
        <v>0</v>
      </c>
      <c r="DF217" s="9" t="n">
        <v>1</v>
      </c>
      <c r="DG217" s="11" t="n">
        <f aca="false">(DC217+DD217+DE217+DF217)/4</f>
        <v>0.5</v>
      </c>
      <c r="DH217" s="9" t="n">
        <v>1</v>
      </c>
      <c r="DI217" s="9" t="n">
        <v>1</v>
      </c>
      <c r="DJ217" s="9" t="n">
        <v>1</v>
      </c>
      <c r="DK217" s="9" t="n">
        <v>0</v>
      </c>
      <c r="DL217" s="11" t="n">
        <f aca="false">(DH217+DI217+DJ217+DK217)/4</f>
        <v>0.75</v>
      </c>
      <c r="DM217" s="9" t="n">
        <v>31</v>
      </c>
      <c r="DN217" s="9" t="n">
        <v>101</v>
      </c>
      <c r="DO217" s="9" t="n">
        <v>18</v>
      </c>
      <c r="DP217" s="9" t="n">
        <v>42</v>
      </c>
      <c r="DQ217" s="11" t="n">
        <f aca="false">(DM217+DN217+DO217+DP217)/4</f>
        <v>48</v>
      </c>
      <c r="DR217" s="9" t="n">
        <v>11</v>
      </c>
      <c r="DS217" s="9" t="n">
        <v>15</v>
      </c>
      <c r="DT217" s="9" t="n">
        <v>14</v>
      </c>
      <c r="DU217" s="9" t="n">
        <v>13</v>
      </c>
      <c r="DV217" s="11" t="n">
        <f aca="false">(DR217+DS217+DT217+DU217)/4</f>
        <v>13.25</v>
      </c>
      <c r="DW217" s="9" t="n">
        <v>0</v>
      </c>
      <c r="DX217" s="9" t="n">
        <v>0</v>
      </c>
      <c r="DY217" s="9" t="n">
        <v>2</v>
      </c>
      <c r="DZ217" s="9" t="n">
        <v>0</v>
      </c>
      <c r="EA217" s="11" t="n">
        <f aca="false">(DW217+DX217+DY217+DZ217)/4</f>
        <v>0.5</v>
      </c>
      <c r="EB217" s="11" t="n">
        <f aca="false">(DW217/DR217)</f>
        <v>0</v>
      </c>
      <c r="EC217" s="11" t="n">
        <f aca="false">(DX217/DS217)</f>
        <v>0</v>
      </c>
      <c r="ED217" s="11" t="n">
        <f aca="false">(DY217/DT217)</f>
        <v>0.142857142857143</v>
      </c>
      <c r="EE217" s="11" t="n">
        <f aca="false">(DZ217/DU217)</f>
        <v>0</v>
      </c>
      <c r="EF217" s="11" t="n">
        <f aca="false">(EA217/DV217)</f>
        <v>0.0377358490566038</v>
      </c>
      <c r="EG217" s="11" t="n">
        <f aca="false">(100*EF217)</f>
        <v>3.77358490566038</v>
      </c>
      <c r="EH217" s="9" t="n">
        <v>1</v>
      </c>
      <c r="EI217" s="9" t="n">
        <v>0</v>
      </c>
      <c r="EJ217" s="9" t="n">
        <v>4</v>
      </c>
      <c r="EK217" s="19" t="n">
        <v>0</v>
      </c>
      <c r="EL217" s="9" t="n">
        <v>6</v>
      </c>
      <c r="EM217" s="9" t="n">
        <f aca="false">(EI217+EJ217+EK217+EL217)/4</f>
        <v>2.5</v>
      </c>
      <c r="EN217" s="9" t="n">
        <f aca="false">(EI217/DR217)</f>
        <v>0</v>
      </c>
      <c r="EO217" s="9" t="n">
        <f aca="false">(EJ217/DS217)</f>
        <v>0.266666666666667</v>
      </c>
      <c r="EP217" s="9" t="n">
        <f aca="false">(EK217/DT217)</f>
        <v>0</v>
      </c>
      <c r="EQ217" s="9" t="n">
        <f aca="false">(EL217/DU217)</f>
        <v>0.461538461538462</v>
      </c>
      <c r="ER217" s="9" t="n">
        <f aca="false">EM217/DV217</f>
        <v>0.188679245283019</v>
      </c>
      <c r="ES217" s="9" t="n">
        <f aca="false">(100*ER217)</f>
        <v>18.8679245283019</v>
      </c>
      <c r="ET217" s="9" t="n">
        <v>2</v>
      </c>
      <c r="EU217" s="18" t="n">
        <v>0</v>
      </c>
      <c r="EV217" s="9" t="n">
        <v>0</v>
      </c>
      <c r="EW217" s="9" t="n">
        <v>0</v>
      </c>
      <c r="EX217" s="9" t="n">
        <v>0</v>
      </c>
      <c r="EY217" s="11" t="n">
        <f aca="false">(EU217+EV217+EW217+EX217)/4</f>
        <v>0</v>
      </c>
      <c r="EZ217" s="11" t="n">
        <f aca="false">(EU217/DR217)</f>
        <v>0</v>
      </c>
      <c r="FA217" s="11" t="n">
        <f aca="false">(EV217/DS217)</f>
        <v>0</v>
      </c>
      <c r="FB217" s="11" t="n">
        <f aca="false">(EW217/DT217)</f>
        <v>0</v>
      </c>
      <c r="FC217" s="11" t="n">
        <f aca="false">(EX217/DU217)</f>
        <v>0</v>
      </c>
      <c r="FD217" s="11" t="n">
        <f aca="false">(EY217/DV217)</f>
        <v>0</v>
      </c>
      <c r="FE217" s="11" t="n">
        <f aca="false">(100*FD217)</f>
        <v>0</v>
      </c>
      <c r="FF217" s="9" t="n">
        <v>0</v>
      </c>
      <c r="FG217" s="9" t="n">
        <v>4</v>
      </c>
      <c r="FH217" s="9" t="n">
        <v>7</v>
      </c>
      <c r="FI217" s="9" t="n">
        <v>7</v>
      </c>
      <c r="FJ217" s="9" t="n">
        <v>0</v>
      </c>
      <c r="FK217" s="11" t="n">
        <f aca="false">(FG217+FH217+FI217+FJ217)/4</f>
        <v>4.5</v>
      </c>
      <c r="FL217" s="11" t="n">
        <f aca="false">(FG217/DR217)</f>
        <v>0.363636363636364</v>
      </c>
      <c r="FM217" s="11" t="n">
        <f aca="false">(FH217/DS217)</f>
        <v>0.466666666666667</v>
      </c>
      <c r="FN217" s="11" t="n">
        <f aca="false">(FI217/DT217)</f>
        <v>0.5</v>
      </c>
      <c r="FO217" s="11" t="n">
        <f aca="false">(FJ217/DU217)</f>
        <v>0</v>
      </c>
      <c r="FP217" s="11" t="n">
        <f aca="false">(FK217/DV217)</f>
        <v>0.339622641509434</v>
      </c>
      <c r="FQ217" s="11" t="n">
        <f aca="false">(100*FP217)</f>
        <v>33.9622641509434</v>
      </c>
      <c r="FR217" s="9" t="n">
        <v>3</v>
      </c>
      <c r="FS217" s="9" t="n">
        <v>59.7</v>
      </c>
      <c r="FT217" s="9" t="n">
        <v>63.7</v>
      </c>
      <c r="FU217" s="9" t="n">
        <v>55.9</v>
      </c>
      <c r="FV217" s="9" t="n">
        <v>55.7</v>
      </c>
      <c r="FW217" s="11" t="n">
        <f aca="false">(FS217+FT217+FU217+FV217)/4</f>
        <v>58.75</v>
      </c>
      <c r="FX217" s="9" t="n">
        <v>0</v>
      </c>
      <c r="FY217" s="9" t="n">
        <v>0</v>
      </c>
      <c r="FZ217" s="9" t="n">
        <v>0</v>
      </c>
      <c r="GA217" s="9" t="n">
        <v>0</v>
      </c>
      <c r="GB217" s="11" t="n">
        <f aca="false">(FX217+FY217+FZ217+GA217)/4</f>
        <v>0</v>
      </c>
      <c r="GC217" s="9" t="n">
        <v>1</v>
      </c>
      <c r="GD217" s="9" t="n">
        <v>1</v>
      </c>
      <c r="GE217" s="9" t="n">
        <v>1</v>
      </c>
      <c r="GF217" s="9" t="n">
        <v>1</v>
      </c>
      <c r="GG217" s="11" t="n">
        <f aca="false">(GC217+GD217+GE217+GF217)/4</f>
        <v>1</v>
      </c>
      <c r="GH217" s="9" t="n">
        <v>0</v>
      </c>
      <c r="GI217" s="9" t="n">
        <v>1</v>
      </c>
      <c r="GJ217" s="9" t="n">
        <v>1</v>
      </c>
      <c r="GK217" s="9" t="n">
        <v>0</v>
      </c>
      <c r="GL217" s="11" t="n">
        <f aca="false">(GH217+GI217+GJ217+GK217)/4</f>
        <v>0.5</v>
      </c>
      <c r="GM217" s="9" t="n">
        <v>8</v>
      </c>
      <c r="GN217" s="9" t="n">
        <v>97</v>
      </c>
      <c r="GO217" s="9" t="n">
        <v>21</v>
      </c>
      <c r="GP217" s="9" t="n">
        <v>35</v>
      </c>
      <c r="GQ217" s="11" t="n">
        <f aca="false">(GM217+GN217+GO217+GP217)/4</f>
        <v>40.25</v>
      </c>
      <c r="GR217" s="9" t="n">
        <v>11</v>
      </c>
      <c r="GS217" s="9" t="n">
        <v>13</v>
      </c>
      <c r="GT217" s="9" t="n">
        <v>16</v>
      </c>
      <c r="GU217" s="9" t="n">
        <v>12</v>
      </c>
      <c r="GV217" s="11" t="n">
        <f aca="false">(GR217+GS217+GT217+GU217)/4</f>
        <v>13</v>
      </c>
      <c r="GW217" s="9" t="n">
        <v>0</v>
      </c>
      <c r="GX217" s="9" t="n">
        <v>0</v>
      </c>
      <c r="GY217" s="9" t="n">
        <v>0</v>
      </c>
      <c r="GZ217" s="9" t="n">
        <v>0</v>
      </c>
      <c r="HA217" s="11" t="n">
        <f aca="false">(GW217+GX217+GY217+GZ217)/4</f>
        <v>0</v>
      </c>
      <c r="HB217" s="9" t="n">
        <f aca="false">(GW217/GR217)</f>
        <v>0</v>
      </c>
      <c r="HC217" s="9" t="n">
        <f aca="false">(GX217/GS217)</f>
        <v>0</v>
      </c>
      <c r="HD217" s="9" t="n">
        <f aca="false">(GY217/GT217)</f>
        <v>0</v>
      </c>
      <c r="HE217" s="9" t="n">
        <f aca="false">(GZ217/GU217)/4</f>
        <v>0</v>
      </c>
      <c r="HF217" s="9" t="n">
        <f aca="false">(HB217+HC217+HD217+HE217)/4</f>
        <v>0</v>
      </c>
      <c r="HG217" s="9" t="n">
        <f aca="false">(100*HF217)</f>
        <v>0</v>
      </c>
      <c r="HH217" s="18" t="n">
        <v>0</v>
      </c>
      <c r="HI217" s="9" t="n">
        <v>4</v>
      </c>
      <c r="HJ217" s="9" t="n">
        <v>4</v>
      </c>
      <c r="HK217" s="9" t="n">
        <v>4</v>
      </c>
      <c r="HL217" s="19" t="n">
        <v>4</v>
      </c>
      <c r="HM217" s="9" t="n">
        <f aca="false">(HI217+HJ217+HK217+HL217)/4</f>
        <v>4</v>
      </c>
      <c r="HN217" s="9" t="n">
        <f aca="false">(HI217/GR217)</f>
        <v>0.363636363636364</v>
      </c>
      <c r="HO217" s="9" t="n">
        <f aca="false">(HJ217/GS217)</f>
        <v>0.307692307692308</v>
      </c>
      <c r="HP217" s="9" t="n">
        <f aca="false">(HK217/GT217)</f>
        <v>0.25</v>
      </c>
      <c r="HQ217" s="9" t="n">
        <f aca="false">(HL217/GU217)</f>
        <v>0.333333333333333</v>
      </c>
      <c r="HR217" s="9" t="n">
        <f aca="false">(HM217/GV217)</f>
        <v>0.307692307692308</v>
      </c>
      <c r="HS217" s="9" t="n">
        <f aca="false">(100*HR217)</f>
        <v>30.7692307692308</v>
      </c>
      <c r="HT217" s="18" t="n">
        <v>3</v>
      </c>
      <c r="HU217" s="9" t="n">
        <v>0</v>
      </c>
      <c r="HV217" s="9" t="n">
        <v>0</v>
      </c>
      <c r="HW217" s="9" t="n">
        <v>0</v>
      </c>
      <c r="HX217" s="19" t="n">
        <v>0</v>
      </c>
      <c r="HY217" s="9" t="n">
        <f aca="false">(HU217+HV217+HW217+HX217)/4</f>
        <v>0</v>
      </c>
      <c r="HZ217" s="9" t="n">
        <f aca="false">(HU217/GR217)</f>
        <v>0</v>
      </c>
      <c r="IA217" s="9" t="n">
        <f aca="false">HV217/GS217</f>
        <v>0</v>
      </c>
      <c r="IB217" s="9" t="n">
        <f aca="false">(HW217/GT217)</f>
        <v>0</v>
      </c>
      <c r="IC217" s="9" t="n">
        <f aca="false">(HX217/GU217)</f>
        <v>0</v>
      </c>
      <c r="ID217" s="9" t="n">
        <f aca="false">(HY217/GV217)</f>
        <v>0</v>
      </c>
      <c r="IE217" s="9" t="n">
        <f aca="false">(100*ID217)</f>
        <v>0</v>
      </c>
      <c r="IF217" s="18" t="n">
        <v>0</v>
      </c>
      <c r="IG217" s="9" t="n">
        <v>0</v>
      </c>
      <c r="IH217" s="9" t="n">
        <v>5</v>
      </c>
      <c r="II217" s="19" t="n">
        <v>4</v>
      </c>
      <c r="IJ217" s="9" t="n">
        <v>0</v>
      </c>
      <c r="IK217" s="9" t="n">
        <f aca="false">(IG217+IH217+II217+IJ217)/4</f>
        <v>2.25</v>
      </c>
      <c r="IL217" s="9" t="n">
        <f aca="false">(IG217/GM217)</f>
        <v>0</v>
      </c>
      <c r="IM217" s="9" t="n">
        <f aca="false">(IH217/GN217)</f>
        <v>0.0515463917525773</v>
      </c>
      <c r="IN217" s="9" t="n">
        <f aca="false">(II217/GO217)</f>
        <v>0.19047619047619</v>
      </c>
      <c r="IO217" s="9" t="n">
        <f aca="false">(IJ217/GP217)</f>
        <v>0</v>
      </c>
      <c r="IP217" s="9" t="n">
        <f aca="false">(IK217/GQ217)</f>
        <v>0.0559006211180124</v>
      </c>
      <c r="IQ217" s="9" t="n">
        <f aca="false">(100*IP217)</f>
        <v>5.59006211180124</v>
      </c>
      <c r="IR217" s="18" t="n">
        <v>1</v>
      </c>
      <c r="IS217" s="9" t="n">
        <v>62.3</v>
      </c>
      <c r="IT217" s="9" t="n">
        <v>54.5</v>
      </c>
      <c r="IU217" s="19" t="n">
        <v>50.5</v>
      </c>
      <c r="IV217" s="9" t="n">
        <v>67.9</v>
      </c>
      <c r="IW217" s="9" t="n">
        <f aca="false">(IS217+IT217+IU217+IV217)/4</f>
        <v>58.8</v>
      </c>
      <c r="IX217" s="16" t="n">
        <v>45205</v>
      </c>
      <c r="IY217" s="42" t="s">
        <v>268</v>
      </c>
    </row>
    <row r="218" customFormat="false" ht="15.75" hidden="false" customHeight="true" outlineLevel="0" collapsed="false">
      <c r="A218" s="9" t="s">
        <v>299</v>
      </c>
      <c r="B218" s="10" t="s">
        <v>758</v>
      </c>
      <c r="C218" s="10" t="s">
        <v>727</v>
      </c>
      <c r="D218" s="9" t="n">
        <v>2</v>
      </c>
      <c r="E218" s="9" t="n">
        <v>73</v>
      </c>
      <c r="F218" s="10" t="s">
        <v>759</v>
      </c>
      <c r="G218" s="11" t="s">
        <v>263</v>
      </c>
      <c r="H218" s="9" t="n">
        <v>21</v>
      </c>
      <c r="I218" s="9" t="n">
        <v>3</v>
      </c>
      <c r="J218" s="12" t="s">
        <v>264</v>
      </c>
      <c r="K218" s="13" t="s">
        <v>576</v>
      </c>
      <c r="L218" s="13" t="s">
        <v>760</v>
      </c>
      <c r="M218" s="14" t="n">
        <v>1302</v>
      </c>
      <c r="N218" s="15" t="n">
        <v>45135</v>
      </c>
      <c r="O218" s="10" t="s">
        <v>267</v>
      </c>
      <c r="P218" s="9"/>
      <c r="Q218" s="9" t="n">
        <v>0.73</v>
      </c>
      <c r="R218" s="9" t="n">
        <v>10</v>
      </c>
      <c r="S218" s="9" t="n">
        <v>-10</v>
      </c>
      <c r="T218" s="9" t="n">
        <v>110</v>
      </c>
      <c r="U218" s="9"/>
      <c r="V218" s="9" t="n">
        <f aca="false">(26/100)</f>
        <v>0.26</v>
      </c>
      <c r="W218" s="9" t="s">
        <v>462</v>
      </c>
      <c r="X218" s="9" t="n">
        <v>0</v>
      </c>
      <c r="Y218" s="9" t="n">
        <v>0</v>
      </c>
      <c r="Z218" s="9" t="n">
        <v>0</v>
      </c>
      <c r="AA218" s="9" t="n">
        <v>0</v>
      </c>
      <c r="AB218" s="11" t="n">
        <f aca="false">(X218+Y218+Z218+AA218)/4</f>
        <v>0</v>
      </c>
      <c r="AC218" s="9" t="n">
        <v>1</v>
      </c>
      <c r="AD218" s="9" t="n">
        <v>1</v>
      </c>
      <c r="AE218" s="9" t="n">
        <v>1</v>
      </c>
      <c r="AF218" s="9" t="n">
        <v>1</v>
      </c>
      <c r="AG218" s="11" t="n">
        <f aca="false">(AC218+AD218+AE218+AF218)/4</f>
        <v>1</v>
      </c>
      <c r="AH218" s="9" t="n">
        <v>0</v>
      </c>
      <c r="AI218" s="9" t="n">
        <v>1</v>
      </c>
      <c r="AJ218" s="9" t="n">
        <v>1</v>
      </c>
      <c r="AK218" s="9" t="n">
        <v>1</v>
      </c>
      <c r="AL218" s="11" t="n">
        <f aca="false">(AH218+AI218+AJ218+AK218)/4</f>
        <v>0.75</v>
      </c>
      <c r="AM218" s="9" t="n">
        <v>11</v>
      </c>
      <c r="AN218" s="9" t="n">
        <v>22</v>
      </c>
      <c r="AO218" s="9" t="n">
        <v>3</v>
      </c>
      <c r="AP218" s="9" t="n">
        <v>83</v>
      </c>
      <c r="AQ218" s="11" t="n">
        <f aca="false">(AM218+AN218+AO218+AP218)/4</f>
        <v>29.75</v>
      </c>
      <c r="AR218" s="9" t="n">
        <v>17</v>
      </c>
      <c r="AS218" s="9" t="n">
        <v>6</v>
      </c>
      <c r="AT218" s="9" t="n">
        <v>7</v>
      </c>
      <c r="AU218" s="9" t="n">
        <v>23</v>
      </c>
      <c r="AV218" s="11" t="n">
        <f aca="false">(AR218+AS218+AT218+AU218)/4</f>
        <v>13.25</v>
      </c>
      <c r="AW218" s="9" t="n">
        <v>0</v>
      </c>
      <c r="AX218" s="9" t="n">
        <v>0</v>
      </c>
      <c r="AY218" s="9" t="n">
        <v>0</v>
      </c>
      <c r="AZ218" s="9" t="n">
        <v>0</v>
      </c>
      <c r="BA218" s="11" t="n">
        <f aca="false">(AW218+AX218+AY218+AZ218)/4</f>
        <v>0</v>
      </c>
      <c r="BB218" s="11" t="n">
        <f aca="false">(AW218/AR218)</f>
        <v>0</v>
      </c>
      <c r="BC218" s="11" t="n">
        <f aca="false">(AX218/AS218)</f>
        <v>0</v>
      </c>
      <c r="BD218" s="11" t="n">
        <f aca="false">(AY218/AT218)</f>
        <v>0</v>
      </c>
      <c r="BE218" s="11" t="n">
        <f aca="false">(AZ218/AU218)</f>
        <v>0</v>
      </c>
      <c r="BF218" s="11" t="n">
        <f aca="false">(BA218/AV218)</f>
        <v>0</v>
      </c>
      <c r="BG218" s="11" t="n">
        <f aca="false">(BF218*100)</f>
        <v>0</v>
      </c>
      <c r="BH218" s="9" t="n">
        <v>0</v>
      </c>
      <c r="BI218" s="9" t="n">
        <v>3</v>
      </c>
      <c r="BJ218" s="9" t="n">
        <v>3</v>
      </c>
      <c r="BK218" s="9" t="n">
        <v>2</v>
      </c>
      <c r="BL218" s="9" t="n">
        <v>1</v>
      </c>
      <c r="BM218" s="11" t="n">
        <f aca="false">(BI218+BJ218+BK218+BL218)/4</f>
        <v>2.25</v>
      </c>
      <c r="BN218" s="11" t="n">
        <f aca="false">(BI218/AR218)</f>
        <v>0.176470588235294</v>
      </c>
      <c r="BO218" s="11" t="n">
        <f aca="false">(BJ218/AS218)</f>
        <v>0.5</v>
      </c>
      <c r="BP218" s="11" t="n">
        <f aca="false">(BK218/AT218)</f>
        <v>0.285714285714286</v>
      </c>
      <c r="BQ218" s="11" t="n">
        <f aca="false">(BL218/AU218)</f>
        <v>0.0434782608695652</v>
      </c>
      <c r="BR218" s="11" t="n">
        <f aca="false">(BM218/AV218)</f>
        <v>0.169811320754717</v>
      </c>
      <c r="BS218" s="11" t="n">
        <f aca="false">(100*BR218)</f>
        <v>16.9811320754717</v>
      </c>
      <c r="BT218" s="9" t="n">
        <v>2</v>
      </c>
      <c r="BU218" s="9" t="n">
        <v>0</v>
      </c>
      <c r="BV218" s="9" t="n">
        <v>0</v>
      </c>
      <c r="BW218" s="9" t="n">
        <v>0</v>
      </c>
      <c r="BX218" s="9" t="n">
        <v>0</v>
      </c>
      <c r="BY218" s="11" t="n">
        <f aca="false">(BU218+BV218+BW218+BX218)/4</f>
        <v>0</v>
      </c>
      <c r="BZ218" s="11" t="n">
        <f aca="false">(BU218/AR218)</f>
        <v>0</v>
      </c>
      <c r="CA218" s="11" t="n">
        <f aca="false">(BV218/AS218)</f>
        <v>0</v>
      </c>
      <c r="CB218" s="11" t="n">
        <f aca="false">(BW218/AT218)</f>
        <v>0</v>
      </c>
      <c r="CC218" s="11" t="n">
        <f aca="false">(BX218/AU218)</f>
        <v>0</v>
      </c>
      <c r="CD218" s="11" t="n">
        <f aca="false">(BY218/AV218)</f>
        <v>0</v>
      </c>
      <c r="CE218" s="11" t="n">
        <f aca="false">(100*CD218)</f>
        <v>0</v>
      </c>
      <c r="CF218" s="9" t="n">
        <v>0</v>
      </c>
      <c r="CG218" s="9" t="n">
        <v>0</v>
      </c>
      <c r="CH218" s="9" t="n">
        <v>2</v>
      </c>
      <c r="CI218" s="9" t="n">
        <v>1</v>
      </c>
      <c r="CJ218" s="9" t="n">
        <v>17</v>
      </c>
      <c r="CK218" s="11" t="n">
        <f aca="false">(CG218+CH218+CI218+CJ218)/4</f>
        <v>5</v>
      </c>
      <c r="CL218" s="11" t="n">
        <f aca="false">(CG218/AM218)</f>
        <v>0</v>
      </c>
      <c r="CM218" s="11" t="n">
        <f aca="false">(CH218/AN218)</f>
        <v>0.0909090909090909</v>
      </c>
      <c r="CN218" s="11" t="n">
        <f aca="false">(CI218/AO218)</f>
        <v>0.333333333333333</v>
      </c>
      <c r="CO218" s="9" t="n">
        <f aca="false">(CJ218/AP218)</f>
        <v>0.204819277108434</v>
      </c>
      <c r="CP218" s="9" t="n">
        <f aca="false">(CK218/AQ218)</f>
        <v>0.168067226890756</v>
      </c>
      <c r="CQ218" s="9" t="n">
        <f aca="false">(100*CP218)</f>
        <v>16.8067226890756</v>
      </c>
      <c r="CR218" s="18" t="n">
        <v>2</v>
      </c>
      <c r="CS218" s="9" t="n">
        <v>68.7</v>
      </c>
      <c r="CT218" s="9" t="n">
        <v>65.6</v>
      </c>
      <c r="CU218" s="9" t="n">
        <v>56.7</v>
      </c>
      <c r="CV218" s="9" t="n">
        <v>76.4</v>
      </c>
      <c r="CW218" s="11" t="n">
        <f aca="false">(CS218+CT218+CU218+CV218)/4</f>
        <v>66.85</v>
      </c>
      <c r="CX218" s="9" t="n">
        <v>0</v>
      </c>
      <c r="CY218" s="9" t="n">
        <v>0</v>
      </c>
      <c r="CZ218" s="9" t="n">
        <v>0</v>
      </c>
      <c r="DA218" s="9" t="n">
        <v>0</v>
      </c>
      <c r="DB218" s="11" t="n">
        <f aca="false">(CX218+CY218+CZ218+DA218)/4</f>
        <v>0</v>
      </c>
      <c r="DC218" s="9" t="n">
        <v>1</v>
      </c>
      <c r="DD218" s="9" t="n">
        <v>1</v>
      </c>
      <c r="DE218" s="9" t="n">
        <v>1</v>
      </c>
      <c r="DF218" s="9" t="n">
        <v>1</v>
      </c>
      <c r="DG218" s="11" t="n">
        <f aca="false">(DC218+DD218+DE218+DF218)/4</f>
        <v>1</v>
      </c>
      <c r="DH218" s="9" t="n">
        <v>1</v>
      </c>
      <c r="DI218" s="9" t="n">
        <v>1</v>
      </c>
      <c r="DJ218" s="9" t="n">
        <v>1</v>
      </c>
      <c r="DK218" s="9" t="n">
        <v>1</v>
      </c>
      <c r="DL218" s="11" t="n">
        <f aca="false">(DH218+DI218+DJ218+DK218)/4</f>
        <v>1</v>
      </c>
      <c r="DM218" s="9" t="n">
        <v>63</v>
      </c>
      <c r="DN218" s="9" t="n">
        <v>53</v>
      </c>
      <c r="DO218" s="9" t="n">
        <v>21</v>
      </c>
      <c r="DP218" s="9" t="n">
        <v>92</v>
      </c>
      <c r="DQ218" s="11" t="n">
        <f aca="false">(DM218+DN218+DO218+DP218)/4</f>
        <v>57.25</v>
      </c>
      <c r="DR218" s="9" t="n">
        <v>63</v>
      </c>
      <c r="DS218" s="9" t="n">
        <v>53</v>
      </c>
      <c r="DT218" s="9" t="n">
        <v>34</v>
      </c>
      <c r="DU218" s="9" t="n">
        <v>12</v>
      </c>
      <c r="DV218" s="11" t="n">
        <f aca="false">(DR218+DS218+DT218+DU218)/4</f>
        <v>40.5</v>
      </c>
      <c r="DW218" s="9" t="n">
        <v>0</v>
      </c>
      <c r="DX218" s="9" t="n">
        <v>0</v>
      </c>
      <c r="DY218" s="9" t="n">
        <v>0</v>
      </c>
      <c r="DZ218" s="9" t="n">
        <v>0</v>
      </c>
      <c r="EA218" s="11" t="n">
        <f aca="false">(DW218+DX218+DY218+DZ218)/4</f>
        <v>0</v>
      </c>
      <c r="EB218" s="11" t="n">
        <f aca="false">(DW218/DR218)</f>
        <v>0</v>
      </c>
      <c r="EC218" s="11" t="n">
        <f aca="false">(DX218/DS218)</f>
        <v>0</v>
      </c>
      <c r="ED218" s="11" t="n">
        <f aca="false">(DY218/DT218)</f>
        <v>0</v>
      </c>
      <c r="EE218" s="11" t="n">
        <f aca="false">(DZ218/DU218)</f>
        <v>0</v>
      </c>
      <c r="EF218" s="11" t="n">
        <f aca="false">(EA218/DV218)</f>
        <v>0</v>
      </c>
      <c r="EG218" s="11" t="n">
        <f aca="false">(100*EF218)</f>
        <v>0</v>
      </c>
      <c r="EH218" s="9" t="n">
        <v>0</v>
      </c>
      <c r="EI218" s="9" t="n">
        <v>4</v>
      </c>
      <c r="EJ218" s="9" t="n">
        <v>2</v>
      </c>
      <c r="EK218" s="19" t="n">
        <v>1</v>
      </c>
      <c r="EL218" s="9" t="n">
        <v>2</v>
      </c>
      <c r="EM218" s="9" t="n">
        <f aca="false">(EI218+EJ218+EK218+EL218)/4</f>
        <v>2.25</v>
      </c>
      <c r="EN218" s="9" t="n">
        <f aca="false">(EI218/DR218)</f>
        <v>0.0634920634920635</v>
      </c>
      <c r="EO218" s="9" t="n">
        <f aca="false">(EJ218/DS218)</f>
        <v>0.0377358490566038</v>
      </c>
      <c r="EP218" s="9" t="n">
        <f aca="false">(EK218/DT218)</f>
        <v>0.0294117647058824</v>
      </c>
      <c r="EQ218" s="9" t="n">
        <f aca="false">(EL218/DU218)</f>
        <v>0.166666666666667</v>
      </c>
      <c r="ER218" s="9" t="n">
        <f aca="false">EM218/DV218</f>
        <v>0.0555555555555556</v>
      </c>
      <c r="ES218" s="9" t="n">
        <f aca="false">(100*ER218)</f>
        <v>5.55555555555556</v>
      </c>
      <c r="ET218" s="9" t="n">
        <v>2</v>
      </c>
      <c r="EU218" s="18" t="n">
        <v>1</v>
      </c>
      <c r="EV218" s="9" t="n">
        <v>1</v>
      </c>
      <c r="EW218" s="9" t="n">
        <v>0</v>
      </c>
      <c r="EX218" s="9" t="n">
        <v>0</v>
      </c>
      <c r="EY218" s="11" t="n">
        <f aca="false">(EU218+EV218+EW218+EX218)/4</f>
        <v>0.5</v>
      </c>
      <c r="EZ218" s="11" t="n">
        <f aca="false">(EU218/DR218)</f>
        <v>0.0158730158730159</v>
      </c>
      <c r="FA218" s="11" t="n">
        <f aca="false">(EV218/DS218)</f>
        <v>0.0188679245283019</v>
      </c>
      <c r="FB218" s="11" t="n">
        <f aca="false">(EW218/DT218)</f>
        <v>0</v>
      </c>
      <c r="FC218" s="11" t="n">
        <f aca="false">(EX218/DU218)</f>
        <v>0</v>
      </c>
      <c r="FD218" s="11" t="n">
        <f aca="false">(EY218/DV218)</f>
        <v>0.0123456790123457</v>
      </c>
      <c r="FE218" s="11" t="n">
        <f aca="false">(100*FD218)</f>
        <v>1.23456790123457</v>
      </c>
      <c r="FF218" s="9" t="n">
        <v>1</v>
      </c>
      <c r="FG218" s="9" t="n">
        <v>8</v>
      </c>
      <c r="FH218" s="9" t="n">
        <v>3</v>
      </c>
      <c r="FI218" s="9" t="n">
        <v>2</v>
      </c>
      <c r="FJ218" s="9" t="n">
        <v>30</v>
      </c>
      <c r="FK218" s="11" t="n">
        <f aca="false">(FG218+FH218+FI218+FJ218)/4</f>
        <v>10.75</v>
      </c>
      <c r="FL218" s="11" t="n">
        <f aca="false">(FG218/DR218)</f>
        <v>0.126984126984127</v>
      </c>
      <c r="FM218" s="11" t="n">
        <f aca="false">(FH218/DS218)</f>
        <v>0.0566037735849057</v>
      </c>
      <c r="FN218" s="11" t="n">
        <f aca="false">(FI218/DT218)</f>
        <v>0.0588235294117647</v>
      </c>
      <c r="FO218" s="11" t="n">
        <f aca="false">(FJ218/DU218)</f>
        <v>2.5</v>
      </c>
      <c r="FP218" s="11" t="n">
        <f aca="false">(FK218/DV218)</f>
        <v>0.265432098765432</v>
      </c>
      <c r="FQ218" s="11" t="n">
        <f aca="false">(100*FP218)</f>
        <v>26.5432098765432</v>
      </c>
      <c r="FR218" s="9" t="n">
        <v>2</v>
      </c>
      <c r="FS218" s="9" t="n">
        <v>65</v>
      </c>
      <c r="FT218" s="9" t="n">
        <v>65.3</v>
      </c>
      <c r="FU218" s="9" t="n">
        <v>65.5</v>
      </c>
      <c r="FV218" s="9" t="n">
        <v>66</v>
      </c>
      <c r="FW218" s="11" t="n">
        <f aca="false">(FS218+FT218+FU218+FV218)/4</f>
        <v>65.45</v>
      </c>
      <c r="FX218" s="9" t="n">
        <v>0</v>
      </c>
      <c r="FY218" s="9" t="n">
        <v>0</v>
      </c>
      <c r="FZ218" s="9" t="n">
        <v>0</v>
      </c>
      <c r="GA218" s="9" t="n">
        <v>0</v>
      </c>
      <c r="GB218" s="11" t="n">
        <f aca="false">(FX218+FY218+FZ218+GA218)/4</f>
        <v>0</v>
      </c>
      <c r="GC218" s="9" t="n">
        <v>1</v>
      </c>
      <c r="GD218" s="9" t="n">
        <v>1</v>
      </c>
      <c r="GE218" s="9" t="n">
        <v>0</v>
      </c>
      <c r="GF218" s="9" t="n">
        <v>1</v>
      </c>
      <c r="GG218" s="11" t="n">
        <f aca="false">(GC218+GD218+GE218+GF218)/4</f>
        <v>0.75</v>
      </c>
      <c r="GH218" s="9" t="n">
        <v>1</v>
      </c>
      <c r="GI218" s="9" t="n">
        <v>1</v>
      </c>
      <c r="GJ218" s="9" t="n">
        <v>1</v>
      </c>
      <c r="GK218" s="9" t="n">
        <v>1</v>
      </c>
      <c r="GL218" s="11" t="n">
        <f aca="false">(GH218+GI218+GJ218+GK218)/4</f>
        <v>1</v>
      </c>
      <c r="GM218" s="9" t="n">
        <v>10</v>
      </c>
      <c r="GN218" s="9" t="n">
        <v>7</v>
      </c>
      <c r="GO218" s="9" t="n">
        <v>132</v>
      </c>
      <c r="GP218" s="9" t="n">
        <v>8</v>
      </c>
      <c r="GQ218" s="11" t="n">
        <f aca="false">(GM218+GN218+GO218+GP218)/4</f>
        <v>39.25</v>
      </c>
      <c r="GR218" s="9" t="n">
        <v>16</v>
      </c>
      <c r="GS218" s="9" t="n">
        <v>16</v>
      </c>
      <c r="GT218" s="9" t="n">
        <v>19</v>
      </c>
      <c r="GU218" s="9" t="n">
        <v>8</v>
      </c>
      <c r="GV218" s="11" t="n">
        <f aca="false">(GR218+GS218+GT218+GU218)/4</f>
        <v>14.75</v>
      </c>
      <c r="GW218" s="9" t="n">
        <v>0</v>
      </c>
      <c r="GX218" s="9" t="n">
        <v>0</v>
      </c>
      <c r="GY218" s="9" t="n">
        <v>0</v>
      </c>
      <c r="GZ218" s="9" t="n">
        <v>0</v>
      </c>
      <c r="HA218" s="11" t="n">
        <f aca="false">(GW218+GX218+GY218+GZ218)/4</f>
        <v>0</v>
      </c>
      <c r="HB218" s="9" t="n">
        <f aca="false">(GW218/GR218)</f>
        <v>0</v>
      </c>
      <c r="HC218" s="9" t="n">
        <f aca="false">(GX218/GS218)</f>
        <v>0</v>
      </c>
      <c r="HD218" s="9" t="n">
        <f aca="false">(GY218/GT218)</f>
        <v>0</v>
      </c>
      <c r="HE218" s="9" t="n">
        <f aca="false">(GZ218/GU218)/4</f>
        <v>0</v>
      </c>
      <c r="HF218" s="9" t="n">
        <f aca="false">(HB218+HC218+HD218+HE218)/4</f>
        <v>0</v>
      </c>
      <c r="HG218" s="9" t="n">
        <f aca="false">(100*HF218)</f>
        <v>0</v>
      </c>
      <c r="HH218" s="18" t="n">
        <v>0</v>
      </c>
      <c r="HI218" s="9" t="n">
        <v>2</v>
      </c>
      <c r="HJ218" s="9" t="n">
        <v>1</v>
      </c>
      <c r="HK218" s="9" t="n">
        <v>0</v>
      </c>
      <c r="HL218" s="19" t="n">
        <v>3</v>
      </c>
      <c r="HM218" s="9" t="n">
        <f aca="false">(HI218+HJ218+HK218+HL218)/4</f>
        <v>1.5</v>
      </c>
      <c r="HN218" s="9" t="n">
        <f aca="false">(HI218/GR218)</f>
        <v>0.125</v>
      </c>
      <c r="HO218" s="9" t="n">
        <f aca="false">(HJ218/GS218)</f>
        <v>0.0625</v>
      </c>
      <c r="HP218" s="9" t="n">
        <f aca="false">(HK218/GT218)</f>
        <v>0</v>
      </c>
      <c r="HQ218" s="9" t="n">
        <f aca="false">(HL218/GU218)</f>
        <v>0.375</v>
      </c>
      <c r="HR218" s="9" t="n">
        <f aca="false">(HM218/GV218)</f>
        <v>0.101694915254237</v>
      </c>
      <c r="HS218" s="9" t="n">
        <f aca="false">(100*HR218)</f>
        <v>10.1694915254237</v>
      </c>
      <c r="HT218" s="18" t="n">
        <v>2</v>
      </c>
      <c r="HU218" s="9" t="n">
        <v>2</v>
      </c>
      <c r="HV218" s="9" t="n">
        <v>4</v>
      </c>
      <c r="HW218" s="9" t="n">
        <v>7</v>
      </c>
      <c r="HX218" s="19" t="n">
        <v>2</v>
      </c>
      <c r="HY218" s="9" t="n">
        <f aca="false">(HU218+HV218+HW218+HX218)/4</f>
        <v>3.75</v>
      </c>
      <c r="HZ218" s="9" t="n">
        <f aca="false">(HU218/GR218)</f>
        <v>0.125</v>
      </c>
      <c r="IA218" s="9" t="n">
        <f aca="false">HV218/GS218</f>
        <v>0.25</v>
      </c>
      <c r="IB218" s="9" t="n">
        <f aca="false">(HW218/GT218)</f>
        <v>0.368421052631579</v>
      </c>
      <c r="IC218" s="9" t="n">
        <f aca="false">(HX218/GU218)</f>
        <v>0.25</v>
      </c>
      <c r="ID218" s="9" t="n">
        <f aca="false">(HY218/GV218)</f>
        <v>0.254237288135593</v>
      </c>
      <c r="IE218" s="9" t="n">
        <f aca="false">(100*ID218)</f>
        <v>25.4237288135593</v>
      </c>
      <c r="IF218" s="18" t="n">
        <v>2</v>
      </c>
      <c r="IG218" s="9" t="n">
        <v>0</v>
      </c>
      <c r="IH218" s="9" t="n">
        <v>0</v>
      </c>
      <c r="II218" s="19" t="n">
        <v>0</v>
      </c>
      <c r="IJ218" s="9" t="n">
        <v>0</v>
      </c>
      <c r="IK218" s="9" t="n">
        <f aca="false">(IG218+IH218+II218+IJ218)/4</f>
        <v>0</v>
      </c>
      <c r="IL218" s="9" t="n">
        <f aca="false">(IG218/GM218)</f>
        <v>0</v>
      </c>
      <c r="IM218" s="9" t="n">
        <f aca="false">(IH218/GN218)</f>
        <v>0</v>
      </c>
      <c r="IN218" s="9" t="n">
        <f aca="false">(II218/GO218)</f>
        <v>0</v>
      </c>
      <c r="IO218" s="9" t="n">
        <f aca="false">(IJ218/GP218)</f>
        <v>0</v>
      </c>
      <c r="IP218" s="9" t="n">
        <f aca="false">(IK218/GQ218)</f>
        <v>0</v>
      </c>
      <c r="IQ218" s="9" t="n">
        <f aca="false">(100*IP218)</f>
        <v>0</v>
      </c>
      <c r="IR218" s="18" t="n">
        <v>0</v>
      </c>
      <c r="IS218" s="9" t="n">
        <v>77.7</v>
      </c>
      <c r="IT218" s="9" t="n">
        <v>76.4</v>
      </c>
      <c r="IU218" s="19" t="n">
        <v>59.4</v>
      </c>
      <c r="IV218" s="9"/>
      <c r="IW218" s="9" t="n">
        <f aca="false">(IS218+IT218+IU218+IV218)/4</f>
        <v>53.375</v>
      </c>
      <c r="IX218" s="16" t="n">
        <v>45241</v>
      </c>
      <c r="IY218" s="10" t="s">
        <v>268</v>
      </c>
    </row>
    <row r="219" customFormat="false" ht="15.75" hidden="false" customHeight="true" outlineLevel="0" collapsed="false">
      <c r="A219" s="9" t="s">
        <v>299</v>
      </c>
      <c r="B219" s="10" t="s">
        <v>758</v>
      </c>
      <c r="C219" s="10" t="s">
        <v>727</v>
      </c>
      <c r="D219" s="9" t="n">
        <v>2</v>
      </c>
      <c r="E219" s="9" t="n">
        <v>73</v>
      </c>
      <c r="F219" s="10" t="s">
        <v>761</v>
      </c>
      <c r="G219" s="11" t="s">
        <v>263</v>
      </c>
      <c r="H219" s="9" t="n">
        <v>21</v>
      </c>
      <c r="I219" s="9" t="n">
        <v>10</v>
      </c>
      <c r="J219" s="12" t="s">
        <v>270</v>
      </c>
      <c r="K219" s="20"/>
      <c r="L219" s="20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 t="n">
        <v>0</v>
      </c>
      <c r="Y219" s="9" t="n">
        <v>0</v>
      </c>
      <c r="Z219" s="9" t="n">
        <v>0</v>
      </c>
      <c r="AA219" s="9" t="n">
        <v>0</v>
      </c>
      <c r="AB219" s="11" t="n">
        <f aca="false">(X219+Y219+Z219+AA219)/4</f>
        <v>0</v>
      </c>
      <c r="AC219" s="9" t="n">
        <v>1</v>
      </c>
      <c r="AD219" s="9" t="n">
        <v>1</v>
      </c>
      <c r="AE219" s="9" t="n">
        <v>1</v>
      </c>
      <c r="AF219" s="9" t="n">
        <v>1</v>
      </c>
      <c r="AG219" s="11" t="n">
        <f aca="false">(AC219+AD219+AE219+AF219)/4</f>
        <v>1</v>
      </c>
      <c r="AH219" s="9" t="n">
        <v>1</v>
      </c>
      <c r="AI219" s="9" t="n">
        <v>1</v>
      </c>
      <c r="AJ219" s="9" t="n">
        <v>0</v>
      </c>
      <c r="AK219" s="9" t="n">
        <v>1</v>
      </c>
      <c r="AL219" s="11" t="n">
        <f aca="false">(AH219+AI219+AJ219+AK219)/4</f>
        <v>0.75</v>
      </c>
      <c r="AM219" s="9" t="n">
        <v>10</v>
      </c>
      <c r="AN219" s="9" t="n">
        <v>7</v>
      </c>
      <c r="AO219" s="9" t="n">
        <v>10</v>
      </c>
      <c r="AP219" s="9" t="n">
        <v>7</v>
      </c>
      <c r="AQ219" s="11" t="n">
        <f aca="false">(AM219+AN219+AO219+AP219)/4</f>
        <v>8.5</v>
      </c>
      <c r="AR219" s="9" t="n">
        <v>6</v>
      </c>
      <c r="AS219" s="9" t="n">
        <v>19</v>
      </c>
      <c r="AT219" s="9" t="n">
        <v>15</v>
      </c>
      <c r="AU219" s="9" t="n">
        <v>4</v>
      </c>
      <c r="AV219" s="11" t="n">
        <f aca="false">(AR219+AS219+AT219+AU219)/4</f>
        <v>11</v>
      </c>
      <c r="AW219" s="9" t="n">
        <v>0</v>
      </c>
      <c r="AX219" s="9" t="n">
        <v>0</v>
      </c>
      <c r="AY219" s="9" t="n">
        <v>0</v>
      </c>
      <c r="AZ219" s="9" t="n">
        <v>0</v>
      </c>
      <c r="BA219" s="11" t="n">
        <f aca="false">(AW219+AX219+AY219+AZ219)/4</f>
        <v>0</v>
      </c>
      <c r="BB219" s="11" t="n">
        <f aca="false">(AW219/AR219)</f>
        <v>0</v>
      </c>
      <c r="BC219" s="11" t="n">
        <f aca="false">(AX219/AS219)</f>
        <v>0</v>
      </c>
      <c r="BD219" s="11" t="n">
        <f aca="false">(AY219/AT219)</f>
        <v>0</v>
      </c>
      <c r="BE219" s="11" t="n">
        <f aca="false">(AZ219/AU219)</f>
        <v>0</v>
      </c>
      <c r="BF219" s="11" t="n">
        <f aca="false">(BA219/AV219)</f>
        <v>0</v>
      </c>
      <c r="BG219" s="11" t="n">
        <f aca="false">(BF219*100)</f>
        <v>0</v>
      </c>
      <c r="BH219" s="9" t="n">
        <v>0</v>
      </c>
      <c r="BI219" s="9" t="n">
        <v>3</v>
      </c>
      <c r="BJ219" s="9" t="n">
        <v>5</v>
      </c>
      <c r="BK219" s="9" t="n">
        <v>8</v>
      </c>
      <c r="BL219" s="9" t="n">
        <v>3</v>
      </c>
      <c r="BM219" s="11" t="n">
        <f aca="false">(BI219+BJ219+BK219+BL219)/4</f>
        <v>4.75</v>
      </c>
      <c r="BN219" s="11" t="n">
        <f aca="false">(BI219/AR219)</f>
        <v>0.5</v>
      </c>
      <c r="BO219" s="11" t="n">
        <f aca="false">(BJ219/AS219)</f>
        <v>0.263157894736842</v>
      </c>
      <c r="BP219" s="11" t="n">
        <f aca="false">(BK219/AT219)</f>
        <v>0.533333333333333</v>
      </c>
      <c r="BQ219" s="11" t="n">
        <f aca="false">(BL219/AU219)</f>
        <v>0.75</v>
      </c>
      <c r="BR219" s="11" t="n">
        <f aca="false">(BM219/AV219)</f>
        <v>0.431818181818182</v>
      </c>
      <c r="BS219" s="11" t="n">
        <f aca="false">(100*BR219)</f>
        <v>43.1818181818182</v>
      </c>
      <c r="BT219" s="9" t="n">
        <v>3</v>
      </c>
      <c r="BU219" s="9" t="n">
        <v>0</v>
      </c>
      <c r="BV219" s="9" t="n">
        <v>0</v>
      </c>
      <c r="BW219" s="9" t="n">
        <v>0</v>
      </c>
      <c r="BX219" s="9" t="n">
        <v>0</v>
      </c>
      <c r="BY219" s="11" t="n">
        <f aca="false">(BU219+BV219+BW219+BX219)/4</f>
        <v>0</v>
      </c>
      <c r="BZ219" s="11" t="n">
        <f aca="false">(BU219/AR219)</f>
        <v>0</v>
      </c>
      <c r="CA219" s="11" t="n">
        <f aca="false">(BV219/AS219)</f>
        <v>0</v>
      </c>
      <c r="CB219" s="11" t="n">
        <f aca="false">(BW219/AT219)</f>
        <v>0</v>
      </c>
      <c r="CC219" s="11" t="n">
        <f aca="false">(BX219/AU219)</f>
        <v>0</v>
      </c>
      <c r="CD219" s="11" t="n">
        <f aca="false">(BY219/AV219)</f>
        <v>0</v>
      </c>
      <c r="CE219" s="11" t="n">
        <f aca="false">(100*CD219)</f>
        <v>0</v>
      </c>
      <c r="CF219" s="9" t="n">
        <v>0</v>
      </c>
      <c r="CG219" s="9" t="n">
        <v>1</v>
      </c>
      <c r="CH219" s="9" t="n">
        <v>2</v>
      </c>
      <c r="CI219" s="9" t="n">
        <v>0</v>
      </c>
      <c r="CJ219" s="9" t="n">
        <v>2</v>
      </c>
      <c r="CK219" s="11" t="n">
        <f aca="false">(CG219+CH219+CI219+CJ219)/4</f>
        <v>1.25</v>
      </c>
      <c r="CL219" s="11" t="n">
        <f aca="false">(CG219/AM219)</f>
        <v>0.1</v>
      </c>
      <c r="CM219" s="11" t="n">
        <f aca="false">(CH219/AN219)</f>
        <v>0.285714285714286</v>
      </c>
      <c r="CN219" s="11" t="n">
        <f aca="false">(CI219/AO219)</f>
        <v>0</v>
      </c>
      <c r="CO219" s="9" t="n">
        <f aca="false">(CJ219/AP219)</f>
        <v>0.285714285714286</v>
      </c>
      <c r="CP219" s="9" t="n">
        <f aca="false">(CK219/AQ219)</f>
        <v>0.147058823529412</v>
      </c>
      <c r="CQ219" s="9" t="n">
        <f aca="false">(100*CP219)</f>
        <v>14.7058823529412</v>
      </c>
      <c r="CR219" s="18" t="n">
        <v>2</v>
      </c>
      <c r="CS219" s="9" t="n">
        <v>67.8</v>
      </c>
      <c r="CT219" s="9" t="n">
        <v>67.9</v>
      </c>
      <c r="CU219" s="9" t="n">
        <v>79.2</v>
      </c>
      <c r="CV219" s="9" t="n">
        <v>69</v>
      </c>
      <c r="CW219" s="11" t="n">
        <f aca="false">(CS219+CT219+CU219+CV219)/4</f>
        <v>70.975</v>
      </c>
      <c r="CX219" s="9" t="n">
        <v>0</v>
      </c>
      <c r="CY219" s="9" t="n">
        <v>0</v>
      </c>
      <c r="CZ219" s="9" t="n">
        <v>0</v>
      </c>
      <c r="DA219" s="9" t="n">
        <v>0</v>
      </c>
      <c r="DB219" s="11" t="n">
        <f aca="false">(CX219+CY219+CZ219+DA219)/4</f>
        <v>0</v>
      </c>
      <c r="DC219" s="9" t="n">
        <v>1</v>
      </c>
      <c r="DD219" s="9" t="n">
        <v>1</v>
      </c>
      <c r="DE219" s="9" t="n">
        <v>1</v>
      </c>
      <c r="DF219" s="9" t="n">
        <v>1</v>
      </c>
      <c r="DG219" s="11" t="n">
        <f aca="false">(DC219+DD219+DE219+DF219)/4</f>
        <v>1</v>
      </c>
      <c r="DH219" s="9" t="n">
        <v>1</v>
      </c>
      <c r="DI219" s="9" t="n">
        <v>1</v>
      </c>
      <c r="DJ219" s="9" t="n">
        <v>1</v>
      </c>
      <c r="DK219" s="9" t="n">
        <v>1</v>
      </c>
      <c r="DL219" s="11" t="n">
        <f aca="false">(DH219+DI219+DJ219+DK219)/4</f>
        <v>1</v>
      </c>
      <c r="DM219" s="9" t="n">
        <v>22</v>
      </c>
      <c r="DN219" s="9" t="n">
        <v>4</v>
      </c>
      <c r="DO219" s="9" t="n">
        <v>3</v>
      </c>
      <c r="DP219" s="9" t="n">
        <v>15</v>
      </c>
      <c r="DQ219" s="11" t="n">
        <f aca="false">(DM219+DN219+DO219+DP219)/4</f>
        <v>11</v>
      </c>
      <c r="DR219" s="9" t="n">
        <v>28</v>
      </c>
      <c r="DS219" s="9" t="n">
        <v>9</v>
      </c>
      <c r="DT219" s="9" t="n">
        <v>28</v>
      </c>
      <c r="DU219" s="9" t="n">
        <v>32</v>
      </c>
      <c r="DV219" s="11" t="n">
        <f aca="false">(DR219+DS219+DT219+DU219)/4</f>
        <v>24.25</v>
      </c>
      <c r="DW219" s="9" t="n">
        <v>0</v>
      </c>
      <c r="DX219" s="9" t="n">
        <v>0</v>
      </c>
      <c r="DY219" s="9" t="n">
        <v>0</v>
      </c>
      <c r="DZ219" s="9" t="n">
        <v>0</v>
      </c>
      <c r="EA219" s="11" t="n">
        <f aca="false">(DW219+DX219+DY219+DZ219)/4</f>
        <v>0</v>
      </c>
      <c r="EB219" s="11" t="n">
        <f aca="false">(DW219/DR219)</f>
        <v>0</v>
      </c>
      <c r="EC219" s="11" t="n">
        <f aca="false">(DX219/DS219)</f>
        <v>0</v>
      </c>
      <c r="ED219" s="11" t="n">
        <f aca="false">(DY219/DT219)</f>
        <v>0</v>
      </c>
      <c r="EE219" s="11" t="n">
        <f aca="false">(DZ219/DU219)</f>
        <v>0</v>
      </c>
      <c r="EF219" s="11" t="n">
        <f aca="false">(EA219/DV219)</f>
        <v>0</v>
      </c>
      <c r="EG219" s="11" t="n">
        <f aca="false">(100*EF219)</f>
        <v>0</v>
      </c>
      <c r="EH219" s="9" t="n">
        <v>0</v>
      </c>
      <c r="EI219" s="9" t="n">
        <v>2</v>
      </c>
      <c r="EJ219" s="9" t="n">
        <v>3</v>
      </c>
      <c r="EK219" s="19" t="n">
        <v>2</v>
      </c>
      <c r="EL219" s="9" t="n">
        <v>4</v>
      </c>
      <c r="EM219" s="9" t="n">
        <f aca="false">(EI219+EJ219+EK219+EL219)/4</f>
        <v>2.75</v>
      </c>
      <c r="EN219" s="9" t="n">
        <f aca="false">(EI219/DR219)</f>
        <v>0.0714285714285714</v>
      </c>
      <c r="EO219" s="9" t="n">
        <f aca="false">(EJ219/DS219)</f>
        <v>0.333333333333333</v>
      </c>
      <c r="EP219" s="9" t="n">
        <f aca="false">(EK219/DT219)</f>
        <v>0.0714285714285714</v>
      </c>
      <c r="EQ219" s="9" t="n">
        <f aca="false">(EL219/DU219)</f>
        <v>0.125</v>
      </c>
      <c r="ER219" s="9" t="n">
        <f aca="false">EM219/DV219</f>
        <v>0.11340206185567</v>
      </c>
      <c r="ES219" s="9" t="n">
        <f aca="false">(100*ER219)</f>
        <v>11.340206185567</v>
      </c>
      <c r="ET219" s="9" t="n">
        <v>2</v>
      </c>
      <c r="EU219" s="18" t="n">
        <v>2</v>
      </c>
      <c r="EV219" s="9" t="n">
        <v>3</v>
      </c>
      <c r="EW219" s="9" t="n">
        <v>2</v>
      </c>
      <c r="EX219" s="9" t="n">
        <v>0</v>
      </c>
      <c r="EY219" s="11" t="n">
        <f aca="false">(EU219+EV219+EW219+EX219)/4</f>
        <v>1.75</v>
      </c>
      <c r="EZ219" s="11" t="n">
        <f aca="false">(EU219/DR219)</f>
        <v>0.0714285714285714</v>
      </c>
      <c r="FA219" s="11" t="n">
        <f aca="false">(EV219/DS219)</f>
        <v>0.333333333333333</v>
      </c>
      <c r="FB219" s="11" t="n">
        <f aca="false">(EW219/DT219)</f>
        <v>0.0714285714285714</v>
      </c>
      <c r="FC219" s="11" t="n">
        <f aca="false">(EX219/DU219)</f>
        <v>0</v>
      </c>
      <c r="FD219" s="11" t="n">
        <f aca="false">(EY219/DV219)</f>
        <v>0.0721649484536082</v>
      </c>
      <c r="FE219" s="11" t="n">
        <f aca="false">(100*FD219)</f>
        <v>7.21649484536082</v>
      </c>
      <c r="FF219" s="9" t="n">
        <v>1</v>
      </c>
      <c r="FG219" s="9" t="n">
        <v>1</v>
      </c>
      <c r="FH219" s="9" t="n">
        <v>0</v>
      </c>
      <c r="FI219" s="9" t="n">
        <v>1</v>
      </c>
      <c r="FJ219" s="9" t="n">
        <v>1</v>
      </c>
      <c r="FK219" s="11" t="n">
        <f aca="false">(FG219+FH219+FI219+FJ219)/4</f>
        <v>0.75</v>
      </c>
      <c r="FL219" s="11" t="n">
        <f aca="false">(FG219/DR219)</f>
        <v>0.0357142857142857</v>
      </c>
      <c r="FM219" s="11" t="n">
        <f aca="false">(FH219/DS219)</f>
        <v>0</v>
      </c>
      <c r="FN219" s="11" t="n">
        <f aca="false">(FI219/DT219)</f>
        <v>0.0357142857142857</v>
      </c>
      <c r="FO219" s="11" t="n">
        <f aca="false">(FJ219/DU219)</f>
        <v>0.03125</v>
      </c>
      <c r="FP219" s="11" t="n">
        <f aca="false">(FK219/DV219)</f>
        <v>0.0309278350515464</v>
      </c>
      <c r="FQ219" s="11" t="n">
        <f aca="false">(100*FP219)</f>
        <v>3.09278350515464</v>
      </c>
      <c r="FR219" s="9" t="n">
        <v>1</v>
      </c>
      <c r="FS219" s="9" t="n">
        <v>65.9</v>
      </c>
      <c r="FT219" s="9" t="n">
        <v>59.5</v>
      </c>
      <c r="FU219" s="9" t="n">
        <v>42.7</v>
      </c>
      <c r="FV219" s="9" t="n">
        <v>48.7</v>
      </c>
      <c r="FW219" s="11" t="n">
        <f aca="false">(FS219+FT219+FU219+FV219)/4</f>
        <v>54.2</v>
      </c>
      <c r="FX219" s="9" t="n">
        <v>0</v>
      </c>
      <c r="FY219" s="9" t="n">
        <v>0</v>
      </c>
      <c r="FZ219" s="9" t="n">
        <v>0</v>
      </c>
      <c r="GA219" s="9" t="n">
        <v>0</v>
      </c>
      <c r="GB219" s="11" t="n">
        <f aca="false">(FX219+FY219+FZ219+GA219)/4</f>
        <v>0</v>
      </c>
      <c r="GC219" s="9" t="n">
        <v>1</v>
      </c>
      <c r="GD219" s="9" t="n">
        <v>1</v>
      </c>
      <c r="GE219" s="9" t="n">
        <v>1</v>
      </c>
      <c r="GF219" s="9" t="n">
        <v>1</v>
      </c>
      <c r="GG219" s="11" t="n">
        <f aca="false">(GC219+GD219+GE219+GF219)/4</f>
        <v>1</v>
      </c>
      <c r="GH219" s="9" t="n">
        <v>1</v>
      </c>
      <c r="GI219" s="9" t="n">
        <v>1</v>
      </c>
      <c r="GJ219" s="9" t="n">
        <v>1</v>
      </c>
      <c r="GK219" s="9" t="n">
        <v>1</v>
      </c>
      <c r="GL219" s="11" t="n">
        <f aca="false">(GH219+GI219+GJ219+GK219)/4</f>
        <v>1</v>
      </c>
      <c r="GM219" s="9" t="n">
        <v>13</v>
      </c>
      <c r="GN219" s="9" t="n">
        <v>23</v>
      </c>
      <c r="GO219" s="9" t="n">
        <v>15</v>
      </c>
      <c r="GP219" s="9" t="n">
        <v>30</v>
      </c>
      <c r="GQ219" s="11" t="n">
        <f aca="false">(GM219+GN219+GO219+GP219)/4</f>
        <v>20.25</v>
      </c>
      <c r="GR219" s="9" t="n">
        <v>21</v>
      </c>
      <c r="GS219" s="9" t="n">
        <v>10</v>
      </c>
      <c r="GT219" s="9" t="n">
        <v>10</v>
      </c>
      <c r="GU219" s="9" t="n">
        <v>28</v>
      </c>
      <c r="GV219" s="11" t="n">
        <f aca="false">(GR219+GS219+GT219+GU219)/4</f>
        <v>17.25</v>
      </c>
      <c r="GW219" s="9" t="n">
        <v>0</v>
      </c>
      <c r="GX219" s="9" t="n">
        <v>0</v>
      </c>
      <c r="GY219" s="9" t="n">
        <v>0</v>
      </c>
      <c r="GZ219" s="9" t="n">
        <v>0</v>
      </c>
      <c r="HA219" s="11" t="n">
        <f aca="false">(GW219+GX219+GY219+GZ219)/4</f>
        <v>0</v>
      </c>
      <c r="HB219" s="9" t="n">
        <v>0</v>
      </c>
      <c r="HC219" s="9" t="n">
        <f aca="false">(GX219/GS219)</f>
        <v>0</v>
      </c>
      <c r="HD219" s="9" t="n">
        <f aca="false">(GY219/GT219)</f>
        <v>0</v>
      </c>
      <c r="HE219" s="9" t="n">
        <v>0</v>
      </c>
      <c r="HF219" s="9" t="n">
        <f aca="false">(HE219+HD219+HC219+HB219)/4</f>
        <v>0</v>
      </c>
      <c r="HG219" s="9" t="n">
        <f aca="false">(100*HF219)</f>
        <v>0</v>
      </c>
      <c r="HH219" s="18" t="n">
        <v>0</v>
      </c>
      <c r="HI219" s="9" t="n">
        <v>2</v>
      </c>
      <c r="HJ219" s="9" t="n">
        <v>3</v>
      </c>
      <c r="HK219" s="9" t="n">
        <v>1</v>
      </c>
      <c r="HL219" s="19" t="n">
        <v>2</v>
      </c>
      <c r="HM219" s="9" t="n">
        <f aca="false">(HI219+HJ219+HK219+HL219)/4</f>
        <v>2</v>
      </c>
      <c r="HN219" s="9" t="n">
        <f aca="false">(HI219/GR219)</f>
        <v>0.0952380952380952</v>
      </c>
      <c r="HO219" s="9" t="n">
        <f aca="false">(HJ219/GS219)</f>
        <v>0.3</v>
      </c>
      <c r="HP219" s="9" t="n">
        <f aca="false">(HK219/GT219)</f>
        <v>0.1</v>
      </c>
      <c r="HQ219" s="9" t="n">
        <f aca="false">(HL219/GU219)</f>
        <v>0.0714285714285714</v>
      </c>
      <c r="HR219" s="9" t="n">
        <f aca="false">(HM219/GV219)</f>
        <v>0.115942028985507</v>
      </c>
      <c r="HS219" s="9" t="n">
        <f aca="false">(100*HR219)</f>
        <v>11.5942028985507</v>
      </c>
      <c r="HT219" s="18" t="n">
        <v>2</v>
      </c>
      <c r="HU219" s="9" t="n">
        <v>4</v>
      </c>
      <c r="HV219" s="9" t="n">
        <v>3</v>
      </c>
      <c r="HW219" s="9" t="n">
        <v>4</v>
      </c>
      <c r="HX219" s="19" t="n">
        <v>1</v>
      </c>
      <c r="HY219" s="9" t="n">
        <f aca="false">(HU219+HV219+HW219+HX219)/4</f>
        <v>3</v>
      </c>
      <c r="HZ219" s="9" t="n">
        <f aca="false">(HU219/GR219)</f>
        <v>0.19047619047619</v>
      </c>
      <c r="IA219" s="9" t="n">
        <f aca="false">HV219/GS219</f>
        <v>0.3</v>
      </c>
      <c r="IB219" s="9" t="n">
        <f aca="false">(HW219/GT219)</f>
        <v>0.4</v>
      </c>
      <c r="IC219" s="9" t="n">
        <f aca="false">(HX219/GU219)</f>
        <v>0.0357142857142857</v>
      </c>
      <c r="ID219" s="9" t="n">
        <f aca="false">(HY219/GV219)</f>
        <v>0.173913043478261</v>
      </c>
      <c r="IE219" s="9" t="n">
        <f aca="false">(100*ID219)</f>
        <v>17.3913043478261</v>
      </c>
      <c r="IF219" s="18" t="n">
        <v>2</v>
      </c>
      <c r="IG219" s="9" t="n">
        <v>2</v>
      </c>
      <c r="IH219" s="9" t="n">
        <v>7</v>
      </c>
      <c r="II219" s="19" t="n">
        <v>3</v>
      </c>
      <c r="IJ219" s="9" t="n">
        <v>2</v>
      </c>
      <c r="IK219" s="9" t="n">
        <f aca="false">(IG219+IH219+II219+IJ219)/4</f>
        <v>3.5</v>
      </c>
      <c r="IL219" s="9" t="n">
        <f aca="false">(IG219/GM219)</f>
        <v>0.153846153846154</v>
      </c>
      <c r="IM219" s="9" t="n">
        <f aca="false">(IH219/GN219)</f>
        <v>0.304347826086957</v>
      </c>
      <c r="IN219" s="9" t="n">
        <f aca="false">(II219/GO219)</f>
        <v>0.2</v>
      </c>
      <c r="IO219" s="9" t="n">
        <f aca="false">(IJ219/GP219)</f>
        <v>0.0666666666666667</v>
      </c>
      <c r="IP219" s="9" t="n">
        <f aca="false">(IK219/GQ219)</f>
        <v>0.17283950617284</v>
      </c>
      <c r="IQ219" s="9" t="n">
        <f aca="false">(100*IP219)</f>
        <v>17.283950617284</v>
      </c>
      <c r="IR219" s="18" t="n">
        <v>2</v>
      </c>
      <c r="IS219" s="9" t="n">
        <v>49.8</v>
      </c>
      <c r="IT219" s="9" t="n">
        <v>42.1</v>
      </c>
      <c r="IU219" s="19" t="n">
        <v>42.3</v>
      </c>
      <c r="IV219" s="9" t="n">
        <v>50.1</v>
      </c>
      <c r="IW219" s="9" t="n">
        <f aca="false">(IS219+IT219+IU219+IV219)/4</f>
        <v>46.075</v>
      </c>
      <c r="IX219" s="16" t="n">
        <v>45241</v>
      </c>
      <c r="IY219" s="10" t="s">
        <v>268</v>
      </c>
    </row>
    <row r="220" customFormat="false" ht="15.75" hidden="false" customHeight="true" outlineLevel="0" collapsed="false">
      <c r="A220" s="9" t="s">
        <v>299</v>
      </c>
      <c r="B220" s="10" t="s">
        <v>758</v>
      </c>
      <c r="C220" s="10" t="s">
        <v>727</v>
      </c>
      <c r="D220" s="9" t="n">
        <v>2</v>
      </c>
      <c r="E220" s="9" t="n">
        <v>73</v>
      </c>
      <c r="F220" s="10" t="s">
        <v>762</v>
      </c>
      <c r="G220" s="11" t="s">
        <v>263</v>
      </c>
      <c r="H220" s="9" t="n">
        <v>21</v>
      </c>
      <c r="I220" s="9" t="n">
        <v>20</v>
      </c>
      <c r="J220" s="10" t="s">
        <v>272</v>
      </c>
      <c r="K220" s="20"/>
      <c r="L220" s="20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 t="n">
        <v>0</v>
      </c>
      <c r="Y220" s="9" t="n">
        <v>0</v>
      </c>
      <c r="Z220" s="9" t="n">
        <v>0</v>
      </c>
      <c r="AA220" s="9" t="n">
        <v>0</v>
      </c>
      <c r="AB220" s="11" t="n">
        <f aca="false">(X220+Y220+Z220+AA220)/4</f>
        <v>0</v>
      </c>
      <c r="AC220" s="9" t="n">
        <v>1</v>
      </c>
      <c r="AD220" s="9" t="n">
        <v>1</v>
      </c>
      <c r="AE220" s="9" t="n">
        <v>1</v>
      </c>
      <c r="AF220" s="9" t="n">
        <v>1</v>
      </c>
      <c r="AG220" s="11" t="n">
        <f aca="false">(AC220+AD220+AE220+AF220)/4</f>
        <v>1</v>
      </c>
      <c r="AH220" s="9" t="n">
        <v>1</v>
      </c>
      <c r="AI220" s="9" t="n">
        <v>1</v>
      </c>
      <c r="AJ220" s="9" t="n">
        <v>1</v>
      </c>
      <c r="AK220" s="9" t="n">
        <v>1</v>
      </c>
      <c r="AL220" s="11" t="n">
        <f aca="false">(AH220+AI220+AJ220+AK220)/4</f>
        <v>1</v>
      </c>
      <c r="AM220" s="9" t="n">
        <v>17</v>
      </c>
      <c r="AN220" s="9" t="n">
        <v>20</v>
      </c>
      <c r="AO220" s="9" t="n">
        <v>42</v>
      </c>
      <c r="AP220" s="9" t="n">
        <v>19</v>
      </c>
      <c r="AQ220" s="11" t="n">
        <f aca="false">(AM220+AN220+AO220+AP220)/4</f>
        <v>24.5</v>
      </c>
      <c r="AR220" s="9" t="n">
        <v>10</v>
      </c>
      <c r="AS220" s="9" t="n">
        <v>16</v>
      </c>
      <c r="AT220" s="9" t="n">
        <v>16</v>
      </c>
      <c r="AU220" s="9" t="n">
        <v>13</v>
      </c>
      <c r="AV220" s="11" t="n">
        <f aca="false">(AR220+AS220+AT220+AU220)/4</f>
        <v>13.75</v>
      </c>
      <c r="AW220" s="9" t="n">
        <v>0</v>
      </c>
      <c r="AX220" s="9" t="n">
        <v>0</v>
      </c>
      <c r="AY220" s="9" t="n">
        <v>0</v>
      </c>
      <c r="AZ220" s="9" t="n">
        <v>0</v>
      </c>
      <c r="BA220" s="11" t="n">
        <f aca="false">(AW220+AX220+AY220+AZ220)/4</f>
        <v>0</v>
      </c>
      <c r="BB220" s="11" t="n">
        <f aca="false">(AW220/AR220)</f>
        <v>0</v>
      </c>
      <c r="BC220" s="11" t="n">
        <f aca="false">(AX220/AS220)</f>
        <v>0</v>
      </c>
      <c r="BD220" s="11" t="n">
        <f aca="false">(AY220/AT220)</f>
        <v>0</v>
      </c>
      <c r="BE220" s="11" t="n">
        <f aca="false">(AZ220/AU220)</f>
        <v>0</v>
      </c>
      <c r="BF220" s="11" t="n">
        <f aca="false">(BA220/AV220)</f>
        <v>0</v>
      </c>
      <c r="BG220" s="11" t="n">
        <f aca="false">(BF220*100)</f>
        <v>0</v>
      </c>
      <c r="BH220" s="9" t="n">
        <v>0</v>
      </c>
      <c r="BI220" s="9" t="n">
        <v>1</v>
      </c>
      <c r="BJ220" s="9" t="n">
        <v>2</v>
      </c>
      <c r="BK220" s="9" t="n">
        <v>3</v>
      </c>
      <c r="BL220" s="9" t="n">
        <v>4</v>
      </c>
      <c r="BM220" s="11" t="n">
        <f aca="false">(BI220+BJ220+BK220+BL220)/4</f>
        <v>2.5</v>
      </c>
      <c r="BN220" s="11" t="n">
        <f aca="false">(BI220/AR220)</f>
        <v>0.1</v>
      </c>
      <c r="BO220" s="11" t="n">
        <f aca="false">(BJ220/AS220)</f>
        <v>0.125</v>
      </c>
      <c r="BP220" s="11" t="n">
        <f aca="false">(BK220/AT220)</f>
        <v>0.1875</v>
      </c>
      <c r="BQ220" s="11" t="n">
        <f aca="false">(BL220/AU220)</f>
        <v>0.307692307692308</v>
      </c>
      <c r="BR220" s="11" t="n">
        <f aca="false">(BM220/AV220)</f>
        <v>0.181818181818182</v>
      </c>
      <c r="BS220" s="11" t="n">
        <f aca="false">(100*BR220)</f>
        <v>18.1818181818182</v>
      </c>
      <c r="BT220" s="9" t="n">
        <v>2</v>
      </c>
      <c r="BU220" s="9" t="n">
        <v>0</v>
      </c>
      <c r="BV220" s="9" t="n">
        <v>1</v>
      </c>
      <c r="BW220" s="9" t="n">
        <v>0</v>
      </c>
      <c r="BX220" s="9" t="n">
        <v>1</v>
      </c>
      <c r="BY220" s="11" t="n">
        <f aca="false">(BU220+BV220+BW220+BX220)/4</f>
        <v>0.5</v>
      </c>
      <c r="BZ220" s="11" t="n">
        <f aca="false">(BU220/AR220)</f>
        <v>0</v>
      </c>
      <c r="CA220" s="11" t="n">
        <f aca="false">(BV220/AS220)</f>
        <v>0.0625</v>
      </c>
      <c r="CB220" s="11" t="n">
        <f aca="false">(BW220/AT220)</f>
        <v>0</v>
      </c>
      <c r="CC220" s="11" t="n">
        <f aca="false">(BX220/AU220)</f>
        <v>0.0769230769230769</v>
      </c>
      <c r="CD220" s="11" t="n">
        <f aca="false">(BY220/AV220)</f>
        <v>0.0363636363636364</v>
      </c>
      <c r="CE220" s="11" t="n">
        <f aca="false">(100*CD220)</f>
        <v>3.63636363636364</v>
      </c>
      <c r="CF220" s="9" t="n">
        <v>1</v>
      </c>
      <c r="CG220" s="9" t="n">
        <v>4</v>
      </c>
      <c r="CH220" s="9" t="n">
        <v>2</v>
      </c>
      <c r="CI220" s="9" t="n">
        <v>2</v>
      </c>
      <c r="CJ220" s="9" t="n">
        <v>3</v>
      </c>
      <c r="CK220" s="11" t="n">
        <f aca="false">(CG220+CH220+CI220+CJ220)/4</f>
        <v>2.75</v>
      </c>
      <c r="CL220" s="11" t="n">
        <f aca="false">(CG220/AM220)</f>
        <v>0.235294117647059</v>
      </c>
      <c r="CM220" s="11" t="n">
        <f aca="false">(CH220/AN220)</f>
        <v>0.1</v>
      </c>
      <c r="CN220" s="11" t="n">
        <f aca="false">(CI220/AO220)</f>
        <v>0.0476190476190476</v>
      </c>
      <c r="CO220" s="9" t="n">
        <f aca="false">(CJ220/AP220)</f>
        <v>0.157894736842105</v>
      </c>
      <c r="CP220" s="9" t="n">
        <f aca="false">(CK220/AQ220)</f>
        <v>0.112244897959184</v>
      </c>
      <c r="CQ220" s="9" t="n">
        <f aca="false">(100*CP220)</f>
        <v>11.2244897959184</v>
      </c>
      <c r="CR220" s="18" t="n">
        <v>2</v>
      </c>
      <c r="CS220" s="9" t="n">
        <v>75.7</v>
      </c>
      <c r="CT220" s="9" t="n">
        <v>70</v>
      </c>
      <c r="CU220" s="9" t="n">
        <v>48.1</v>
      </c>
      <c r="CV220" s="9" t="n">
        <v>71.5</v>
      </c>
      <c r="CW220" s="11" t="n">
        <f aca="false">(CS220+CT220+CU220+CV220)/4</f>
        <v>66.325</v>
      </c>
      <c r="CX220" s="9" t="n">
        <v>0</v>
      </c>
      <c r="CY220" s="9" t="n">
        <v>0</v>
      </c>
      <c r="CZ220" s="9" t="n">
        <v>0</v>
      </c>
      <c r="DA220" s="9" t="n">
        <v>0</v>
      </c>
      <c r="DB220" s="11" t="n">
        <f aca="false">(CX220+CY220+CZ220+DA220)/4</f>
        <v>0</v>
      </c>
      <c r="DC220" s="9" t="n">
        <v>1</v>
      </c>
      <c r="DD220" s="9" t="n">
        <v>1</v>
      </c>
      <c r="DE220" s="9" t="n">
        <v>1</v>
      </c>
      <c r="DF220" s="9" t="n">
        <v>1</v>
      </c>
      <c r="DG220" s="11" t="n">
        <f aca="false">(DC220+DD220+DE220+DF220)/4</f>
        <v>1</v>
      </c>
      <c r="DH220" s="9" t="n">
        <v>1</v>
      </c>
      <c r="DI220" s="9" t="n">
        <v>1</v>
      </c>
      <c r="DJ220" s="9" t="n">
        <v>1</v>
      </c>
      <c r="DK220" s="9" t="n">
        <v>1</v>
      </c>
      <c r="DL220" s="11" t="n">
        <f aca="false">(DH220+DI220+DJ220+DK220)/4</f>
        <v>1</v>
      </c>
      <c r="DM220" s="9" t="n">
        <v>3</v>
      </c>
      <c r="DN220" s="9" t="n">
        <v>29</v>
      </c>
      <c r="DO220" s="9" t="n">
        <v>24</v>
      </c>
      <c r="DP220" s="9" t="n">
        <v>20</v>
      </c>
      <c r="DQ220" s="11" t="n">
        <f aca="false">(DM220+DN220+DO220+DP220)/4</f>
        <v>19</v>
      </c>
      <c r="DR220" s="9" t="n">
        <v>5</v>
      </c>
      <c r="DS220" s="9" t="n">
        <v>18</v>
      </c>
      <c r="DT220" s="9" t="n">
        <v>18</v>
      </c>
      <c r="DU220" s="9" t="n">
        <v>15</v>
      </c>
      <c r="DV220" s="11" t="n">
        <f aca="false">(DR220+DS220+DT220+DU220)/4</f>
        <v>14</v>
      </c>
      <c r="DW220" s="9" t="n">
        <v>0</v>
      </c>
      <c r="DX220" s="9" t="n">
        <v>0</v>
      </c>
      <c r="DY220" s="9" t="n">
        <v>0</v>
      </c>
      <c r="DZ220" s="9" t="n">
        <v>0</v>
      </c>
      <c r="EA220" s="11" t="n">
        <f aca="false">(DW220+DX220+DY220+DZ220)/4</f>
        <v>0</v>
      </c>
      <c r="EB220" s="11" t="n">
        <f aca="false">(DW220/DR220)</f>
        <v>0</v>
      </c>
      <c r="EC220" s="11" t="n">
        <f aca="false">(DX220/DS220)</f>
        <v>0</v>
      </c>
      <c r="ED220" s="11" t="n">
        <f aca="false">(DY220/DT220)</f>
        <v>0</v>
      </c>
      <c r="EE220" s="11" t="n">
        <f aca="false">(DZ220/DU220)</f>
        <v>0</v>
      </c>
      <c r="EF220" s="11" t="n">
        <f aca="false">(EA220/DV220)</f>
        <v>0</v>
      </c>
      <c r="EG220" s="11" t="n">
        <f aca="false">(100*EF220)</f>
        <v>0</v>
      </c>
      <c r="EH220" s="9" t="n">
        <v>0</v>
      </c>
      <c r="EI220" s="9" t="n">
        <v>2</v>
      </c>
      <c r="EJ220" s="9" t="n">
        <v>4</v>
      </c>
      <c r="EK220" s="19" t="n">
        <v>2</v>
      </c>
      <c r="EL220" s="9" t="n">
        <v>3</v>
      </c>
      <c r="EM220" s="9" t="n">
        <f aca="false">(EI220+EJ220+EK220+EL220)/4</f>
        <v>2.75</v>
      </c>
      <c r="EN220" s="9" t="n">
        <f aca="false">(EI220/DR220)</f>
        <v>0.4</v>
      </c>
      <c r="EO220" s="9" t="n">
        <f aca="false">(EJ220/DS220)</f>
        <v>0.222222222222222</v>
      </c>
      <c r="EP220" s="9" t="n">
        <f aca="false">(EK220/DT220)</f>
        <v>0.111111111111111</v>
      </c>
      <c r="EQ220" s="9" t="n">
        <f aca="false">(EL220/DU220)</f>
        <v>0.2</v>
      </c>
      <c r="ER220" s="9" t="n">
        <f aca="false">EM220/DV220</f>
        <v>0.196428571428571</v>
      </c>
      <c r="ES220" s="9" t="n">
        <f aca="false">(100*ER220)</f>
        <v>19.6428571428571</v>
      </c>
      <c r="ET220" s="9" t="n">
        <v>2</v>
      </c>
      <c r="EU220" s="18" t="n">
        <v>4</v>
      </c>
      <c r="EV220" s="9" t="n">
        <v>0</v>
      </c>
      <c r="EW220" s="9" t="n">
        <v>2</v>
      </c>
      <c r="EX220" s="9" t="n">
        <v>3</v>
      </c>
      <c r="EY220" s="11" t="n">
        <f aca="false">(EU220+EV220+EW220+EX220)/4</f>
        <v>2.25</v>
      </c>
      <c r="EZ220" s="11" t="n">
        <f aca="false">(EU220/DR220)</f>
        <v>0.8</v>
      </c>
      <c r="FA220" s="11" t="n">
        <f aca="false">(EV220/DS220)</f>
        <v>0</v>
      </c>
      <c r="FB220" s="11" t="n">
        <f aca="false">(EW220/DT220)</f>
        <v>0.111111111111111</v>
      </c>
      <c r="FC220" s="11" t="n">
        <f aca="false">(EX220/DU220)</f>
        <v>0.2</v>
      </c>
      <c r="FD220" s="11" t="n">
        <f aca="false">(EY220/DV220)</f>
        <v>0.160714285714286</v>
      </c>
      <c r="FE220" s="11" t="n">
        <f aca="false">(100*FD220)</f>
        <v>16.0714285714286</v>
      </c>
      <c r="FF220" s="9" t="n">
        <v>2</v>
      </c>
      <c r="FG220" s="9" t="n">
        <v>0</v>
      </c>
      <c r="FH220" s="9" t="n">
        <v>6</v>
      </c>
      <c r="FI220" s="9" t="n">
        <v>0</v>
      </c>
      <c r="FJ220" s="9" t="n">
        <v>0</v>
      </c>
      <c r="FK220" s="11" t="n">
        <f aca="false">(FG220+FH220+FI220+FJ220)/4</f>
        <v>1.5</v>
      </c>
      <c r="FL220" s="11" t="n">
        <f aca="false">(FG220/DR220)</f>
        <v>0</v>
      </c>
      <c r="FM220" s="11" t="n">
        <f aca="false">(FH220/DS220)</f>
        <v>0.333333333333333</v>
      </c>
      <c r="FN220" s="11" t="n">
        <f aca="false">(FI220/DT220)</f>
        <v>0</v>
      </c>
      <c r="FO220" s="11" t="n">
        <f aca="false">(FJ220/DU220)</f>
        <v>0</v>
      </c>
      <c r="FP220" s="11" t="n">
        <f aca="false">(FK220/DV220)</f>
        <v>0.107142857142857</v>
      </c>
      <c r="FQ220" s="11" t="n">
        <f aca="false">(100*FP220)</f>
        <v>10.7142857142857</v>
      </c>
      <c r="FR220" s="9" t="n">
        <v>2</v>
      </c>
      <c r="FS220" s="9" t="n">
        <v>72.4</v>
      </c>
      <c r="FT220" s="9" t="n">
        <v>72.2</v>
      </c>
      <c r="FU220" s="9" t="n">
        <v>79.4</v>
      </c>
      <c r="FV220" s="9" t="n">
        <v>81.2</v>
      </c>
      <c r="FW220" s="11" t="n">
        <f aca="false">(FS220+FT220+FU220+FV220)/4</f>
        <v>76.3</v>
      </c>
      <c r="FX220" s="9" t="n">
        <v>0</v>
      </c>
      <c r="FY220" s="9" t="n">
        <v>0</v>
      </c>
      <c r="FZ220" s="9" t="n">
        <v>0</v>
      </c>
      <c r="GA220" s="9" t="n">
        <v>1</v>
      </c>
      <c r="GB220" s="11" t="n">
        <f aca="false">(FX220+FY220+FZ220+GA220)/4</f>
        <v>0.25</v>
      </c>
      <c r="GC220" s="9" t="n">
        <v>1</v>
      </c>
      <c r="GD220" s="9" t="n">
        <v>1</v>
      </c>
      <c r="GE220" s="9" t="n">
        <v>1</v>
      </c>
      <c r="GF220" s="9" t="n">
        <v>1</v>
      </c>
      <c r="GG220" s="11" t="n">
        <f aca="false">(GC220+GD220+GE220+GF220)/4</f>
        <v>1</v>
      </c>
      <c r="GH220" s="9" t="n">
        <v>1</v>
      </c>
      <c r="GI220" s="9" t="n">
        <v>1</v>
      </c>
      <c r="GJ220" s="9" t="n">
        <v>1</v>
      </c>
      <c r="GK220" s="9" t="n">
        <v>0</v>
      </c>
      <c r="GL220" s="11" t="n">
        <f aca="false">(GH220+GI220+GJ220+GK220)/4</f>
        <v>0.75</v>
      </c>
      <c r="GM220" s="9" t="n">
        <v>15</v>
      </c>
      <c r="GN220" s="9" t="n">
        <v>24</v>
      </c>
      <c r="GO220" s="9" t="n">
        <v>14</v>
      </c>
      <c r="GP220" s="9" t="n">
        <v>41</v>
      </c>
      <c r="GQ220" s="11" t="n">
        <f aca="false">(GM220+GN220+GO220+GP220)/4</f>
        <v>23.5</v>
      </c>
      <c r="GR220" s="9" t="n">
        <v>10</v>
      </c>
      <c r="GS220" s="9" t="n">
        <v>2</v>
      </c>
      <c r="GT220" s="9" t="n">
        <v>8</v>
      </c>
      <c r="GU220" s="9" t="n">
        <v>12</v>
      </c>
      <c r="GV220" s="11" t="n">
        <f aca="false">(GR220+GS220+GT220+GU220)/4</f>
        <v>8</v>
      </c>
      <c r="GW220" s="9" t="n">
        <v>0</v>
      </c>
      <c r="GX220" s="9" t="n">
        <v>0</v>
      </c>
      <c r="GY220" s="9" t="n">
        <v>0</v>
      </c>
      <c r="GZ220" s="9" t="n">
        <v>1</v>
      </c>
      <c r="HA220" s="11" t="n">
        <f aca="false">(GW220+GX220+GY220+GZ220)/4</f>
        <v>0.25</v>
      </c>
      <c r="HB220" s="9"/>
      <c r="HC220" s="9" t="n">
        <f aca="false">(GX220/GS220)</f>
        <v>0</v>
      </c>
      <c r="HD220" s="9" t="n">
        <f aca="false">(GY220/GT220)</f>
        <v>0</v>
      </c>
      <c r="HE220" s="9" t="n">
        <f aca="false">(GZ220/GU220)/4</f>
        <v>0.0208333333333333</v>
      </c>
      <c r="HF220" s="9" t="n">
        <f aca="false">(HB220+HC220+HD220+HE220)/4</f>
        <v>0.00520833333333333</v>
      </c>
      <c r="HG220" s="9" t="n">
        <f aca="false">(100*HF220)</f>
        <v>0.520833333333333</v>
      </c>
      <c r="HH220" s="18" t="n">
        <v>1</v>
      </c>
      <c r="HI220" s="9" t="n">
        <v>4</v>
      </c>
      <c r="HJ220" s="9" t="n">
        <v>2</v>
      </c>
      <c r="HK220" s="9" t="n">
        <v>2</v>
      </c>
      <c r="HL220" s="19" t="n">
        <v>3</v>
      </c>
      <c r="HM220" s="9" t="n">
        <f aca="false">(HI220+HJ220+HK220+HL220)/4</f>
        <v>2.75</v>
      </c>
      <c r="HN220" s="9" t="n">
        <f aca="false">(HI220/GR220)</f>
        <v>0.4</v>
      </c>
      <c r="HO220" s="9" t="n">
        <f aca="false">(HJ220/GS220)</f>
        <v>1</v>
      </c>
      <c r="HP220" s="9" t="n">
        <f aca="false">(HK220/GT220)</f>
        <v>0.25</v>
      </c>
      <c r="HQ220" s="9" t="n">
        <f aca="false">(HL220/GU220)</f>
        <v>0.25</v>
      </c>
      <c r="HR220" s="9" t="n">
        <f aca="false">(HM220/GV220)</f>
        <v>0.34375</v>
      </c>
      <c r="HS220" s="9" t="n">
        <f aca="false">(100*HR220)</f>
        <v>34.375</v>
      </c>
      <c r="HT220" s="18" t="n">
        <v>3</v>
      </c>
      <c r="HU220" s="9" t="n">
        <v>1</v>
      </c>
      <c r="HV220" s="9" t="n">
        <v>2</v>
      </c>
      <c r="HW220" s="9" t="n">
        <v>3</v>
      </c>
      <c r="HX220" s="19" t="n">
        <v>0</v>
      </c>
      <c r="HY220" s="9" t="n">
        <f aca="false">(HU220+HV220+HW220+HX220)/4</f>
        <v>1.5</v>
      </c>
      <c r="HZ220" s="9" t="n">
        <f aca="false">(HU220/GR220)</f>
        <v>0.1</v>
      </c>
      <c r="IA220" s="9" t="n">
        <f aca="false">HV220/GS220</f>
        <v>1</v>
      </c>
      <c r="IB220" s="9" t="n">
        <f aca="false">(HW220/GT220)</f>
        <v>0.375</v>
      </c>
      <c r="IC220" s="9" t="n">
        <f aca="false">(HX220/GU220)</f>
        <v>0</v>
      </c>
      <c r="ID220" s="9" t="n">
        <f aca="false">(HY220/GV220)</f>
        <v>0.1875</v>
      </c>
      <c r="IE220" s="9" t="n">
        <f aca="false">(100*ID220)</f>
        <v>18.75</v>
      </c>
      <c r="IF220" s="18" t="n">
        <v>2</v>
      </c>
      <c r="IG220" s="9" t="n">
        <v>0</v>
      </c>
      <c r="IH220" s="9" t="n">
        <v>0</v>
      </c>
      <c r="II220" s="19" t="n">
        <v>2</v>
      </c>
      <c r="IJ220" s="9" t="n">
        <v>0</v>
      </c>
      <c r="IK220" s="9" t="n">
        <f aca="false">(IG220+IH220+II220+IJ220)/4</f>
        <v>0.5</v>
      </c>
      <c r="IL220" s="9" t="n">
        <f aca="false">(IG220/GM220)</f>
        <v>0</v>
      </c>
      <c r="IM220" s="9" t="n">
        <f aca="false">(IH220/GN220)</f>
        <v>0</v>
      </c>
      <c r="IN220" s="9" t="n">
        <f aca="false">(II220/GO220)</f>
        <v>0.142857142857143</v>
      </c>
      <c r="IO220" s="9" t="n">
        <f aca="false">(IJ220/GP220)</f>
        <v>0</v>
      </c>
      <c r="IP220" s="9" t="n">
        <f aca="false">(IK220/GQ220)</f>
        <v>0.0212765957446809</v>
      </c>
      <c r="IQ220" s="9" t="n">
        <f aca="false">(100*IP220)</f>
        <v>2.12765957446809</v>
      </c>
      <c r="IR220" s="18" t="n">
        <v>1</v>
      </c>
      <c r="IS220" s="9" t="n">
        <v>48.2</v>
      </c>
      <c r="IT220" s="9" t="n">
        <v>49.1</v>
      </c>
      <c r="IU220" s="19" t="n">
        <v>42.12</v>
      </c>
      <c r="IV220" s="9" t="n">
        <v>59.1</v>
      </c>
      <c r="IW220" s="9" t="n">
        <f aca="false">(IS220+IT220+IU220+IV220)/4</f>
        <v>49.63</v>
      </c>
      <c r="IX220" s="16" t="n">
        <v>45241</v>
      </c>
      <c r="IY220" s="10" t="s">
        <v>268</v>
      </c>
    </row>
    <row r="221" customFormat="false" ht="15.75" hidden="false" customHeight="true" outlineLevel="0" collapsed="false">
      <c r="A221" s="9" t="s">
        <v>299</v>
      </c>
      <c r="B221" s="10" t="s">
        <v>763</v>
      </c>
      <c r="C221" s="10" t="s">
        <v>727</v>
      </c>
      <c r="D221" s="9" t="n">
        <v>3</v>
      </c>
      <c r="E221" s="9" t="n">
        <v>74</v>
      </c>
      <c r="F221" s="10" t="s">
        <v>764</v>
      </c>
      <c r="G221" s="11" t="s">
        <v>263</v>
      </c>
      <c r="H221" s="9" t="n">
        <v>21</v>
      </c>
      <c r="I221" s="9" t="n">
        <v>5</v>
      </c>
      <c r="J221" s="12" t="s">
        <v>264</v>
      </c>
      <c r="K221" s="13" t="s">
        <v>765</v>
      </c>
      <c r="L221" s="23" t="s">
        <v>766</v>
      </c>
      <c r="M221" s="14" t="n">
        <v>1306</v>
      </c>
      <c r="N221" s="15" t="n">
        <v>45135</v>
      </c>
      <c r="O221" s="10" t="s">
        <v>267</v>
      </c>
      <c r="P221" s="9"/>
      <c r="Q221" s="9" t="n">
        <v>20.37</v>
      </c>
      <c r="R221" s="9" t="n">
        <v>10</v>
      </c>
      <c r="S221" s="9" t="n">
        <v>-8</v>
      </c>
      <c r="T221" s="9" t="n">
        <v>130</v>
      </c>
      <c r="U221" s="9"/>
      <c r="V221" s="9" t="n">
        <f aca="false">(27.9/100)</f>
        <v>0.279</v>
      </c>
      <c r="W221" s="9" t="s">
        <v>767</v>
      </c>
      <c r="X221" s="9" t="n">
        <v>0</v>
      </c>
      <c r="Y221" s="9" t="n">
        <v>0</v>
      </c>
      <c r="Z221" s="9" t="n">
        <v>0</v>
      </c>
      <c r="AA221" s="9" t="n">
        <v>0</v>
      </c>
      <c r="AB221" s="11" t="n">
        <f aca="false">(X221+Y221+Z221+AA221)/4</f>
        <v>0</v>
      </c>
      <c r="AC221" s="9" t="n">
        <v>1</v>
      </c>
      <c r="AD221" s="9" t="n">
        <v>1</v>
      </c>
      <c r="AE221" s="9" t="n">
        <v>1</v>
      </c>
      <c r="AF221" s="9" t="n">
        <v>1</v>
      </c>
      <c r="AG221" s="11" t="n">
        <f aca="false">(AC221+AD221+AE221+AF221)/4</f>
        <v>1</v>
      </c>
      <c r="AH221" s="9" t="n">
        <v>0</v>
      </c>
      <c r="AI221" s="9" t="n">
        <v>1</v>
      </c>
      <c r="AJ221" s="9" t="n">
        <v>1</v>
      </c>
      <c r="AK221" s="9" t="n">
        <v>1</v>
      </c>
      <c r="AL221" s="11" t="n">
        <f aca="false">(AH221+AI221+AJ221+AK221)/4</f>
        <v>0.75</v>
      </c>
      <c r="AM221" s="9" t="n">
        <v>18</v>
      </c>
      <c r="AN221" s="9" t="n">
        <v>23</v>
      </c>
      <c r="AO221" s="9" t="n">
        <v>4</v>
      </c>
      <c r="AP221" s="9" t="n">
        <v>87</v>
      </c>
      <c r="AQ221" s="11" t="n">
        <f aca="false">(AM221+AN221+AO221+AP221)/4</f>
        <v>33</v>
      </c>
      <c r="AR221" s="9" t="n">
        <v>11</v>
      </c>
      <c r="AS221" s="9" t="n">
        <v>7</v>
      </c>
      <c r="AT221" s="9" t="n">
        <v>6</v>
      </c>
      <c r="AU221" s="9" t="n">
        <v>11</v>
      </c>
      <c r="AV221" s="11" t="n">
        <f aca="false">(AR221+AS221+AT221+AU221)/4</f>
        <v>8.75</v>
      </c>
      <c r="AW221" s="9" t="n">
        <v>0</v>
      </c>
      <c r="AX221" s="9" t="n">
        <v>0</v>
      </c>
      <c r="AY221" s="9" t="n">
        <v>0</v>
      </c>
      <c r="AZ221" s="9" t="n">
        <v>0</v>
      </c>
      <c r="BA221" s="11" t="n">
        <f aca="false">(AW221+AX221+AY221+AZ221)/4</f>
        <v>0</v>
      </c>
      <c r="BB221" s="11" t="n">
        <f aca="false">(AW221/AR221)</f>
        <v>0</v>
      </c>
      <c r="BC221" s="11" t="n">
        <f aca="false">(AX221/AS221)</f>
        <v>0</v>
      </c>
      <c r="BD221" s="11" t="n">
        <f aca="false">(AY221/AT221)</f>
        <v>0</v>
      </c>
      <c r="BE221" s="11" t="n">
        <f aca="false">(AZ221/AU221)</f>
        <v>0</v>
      </c>
      <c r="BF221" s="11" t="n">
        <f aca="false">(BA221/AV221)</f>
        <v>0</v>
      </c>
      <c r="BG221" s="11" t="n">
        <f aca="false">(BF221*100)</f>
        <v>0</v>
      </c>
      <c r="BH221" s="9" t="n">
        <v>0</v>
      </c>
      <c r="BI221" s="9" t="n">
        <v>2</v>
      </c>
      <c r="BJ221" s="9" t="n">
        <v>3</v>
      </c>
      <c r="BK221" s="9" t="n">
        <v>4</v>
      </c>
      <c r="BL221" s="9" t="n">
        <v>2</v>
      </c>
      <c r="BM221" s="11" t="n">
        <f aca="false">(BI221+BJ221+BK221+BL221)/4</f>
        <v>2.75</v>
      </c>
      <c r="BN221" s="11" t="n">
        <f aca="false">(BI221/AR221)</f>
        <v>0.181818181818182</v>
      </c>
      <c r="BO221" s="11" t="n">
        <f aca="false">(BJ221/AS221)</f>
        <v>0.428571428571429</v>
      </c>
      <c r="BP221" s="11" t="n">
        <f aca="false">(BK221/AT221)</f>
        <v>0.666666666666667</v>
      </c>
      <c r="BQ221" s="11" t="n">
        <f aca="false">(BL221/AU221)</f>
        <v>0.181818181818182</v>
      </c>
      <c r="BR221" s="11" t="n">
        <f aca="false">(BM221/AV221)</f>
        <v>0.314285714285714</v>
      </c>
      <c r="BS221" s="11" t="n">
        <f aca="false">(100*BR221)</f>
        <v>31.4285714285714</v>
      </c>
      <c r="BT221" s="9" t="n">
        <v>3</v>
      </c>
      <c r="BU221" s="9" t="n">
        <v>0</v>
      </c>
      <c r="BV221" s="9" t="n">
        <v>0</v>
      </c>
      <c r="BW221" s="9" t="n">
        <v>0</v>
      </c>
      <c r="BX221" s="9" t="n">
        <v>0</v>
      </c>
      <c r="BY221" s="11" t="n">
        <f aca="false">(BU221+BV221+BW221+BX221)/4</f>
        <v>0</v>
      </c>
      <c r="BZ221" s="11" t="n">
        <f aca="false">(BU221/AR221)</f>
        <v>0</v>
      </c>
      <c r="CA221" s="11" t="n">
        <f aca="false">(BV221/AS221)</f>
        <v>0</v>
      </c>
      <c r="CB221" s="11" t="n">
        <f aca="false">(BW221/AT221)</f>
        <v>0</v>
      </c>
      <c r="CC221" s="11" t="n">
        <f aca="false">(BX221/AU221)</f>
        <v>0</v>
      </c>
      <c r="CD221" s="11" t="n">
        <f aca="false">(BY221/AV221)</f>
        <v>0</v>
      </c>
      <c r="CE221" s="11" t="n">
        <f aca="false">(100*CD221)</f>
        <v>0</v>
      </c>
      <c r="CF221" s="9" t="n">
        <v>0</v>
      </c>
      <c r="CG221" s="9" t="n">
        <v>0</v>
      </c>
      <c r="CH221" s="9" t="n">
        <v>1</v>
      </c>
      <c r="CI221" s="9" t="n">
        <v>4</v>
      </c>
      <c r="CJ221" s="9" t="n">
        <v>2</v>
      </c>
      <c r="CK221" s="11" t="n">
        <f aca="false">(CG221+CH221+CI221+CJ221)/4</f>
        <v>1.75</v>
      </c>
      <c r="CL221" s="11" t="n">
        <f aca="false">(CG221/AM221)</f>
        <v>0</v>
      </c>
      <c r="CM221" s="11" t="n">
        <f aca="false">(CH221/AN221)</f>
        <v>0.0434782608695652</v>
      </c>
      <c r="CN221" s="11" t="n">
        <f aca="false">(CI221/AO221)</f>
        <v>1</v>
      </c>
      <c r="CO221" s="9" t="n">
        <f aca="false">(CJ221/AP221)</f>
        <v>0.0229885057471264</v>
      </c>
      <c r="CP221" s="9" t="n">
        <f aca="false">(CK221/AQ221)</f>
        <v>0.053030303030303</v>
      </c>
      <c r="CQ221" s="9" t="n">
        <f aca="false">(100*CP221)</f>
        <v>5.3030303030303</v>
      </c>
      <c r="CR221" s="18" t="n">
        <v>1</v>
      </c>
      <c r="CS221" s="9" t="n">
        <v>51.7</v>
      </c>
      <c r="CT221" s="9" t="n">
        <v>61.2</v>
      </c>
      <c r="CU221" s="9" t="n">
        <v>60.8</v>
      </c>
      <c r="CV221" s="9" t="n">
        <v>63.4</v>
      </c>
      <c r="CW221" s="11" t="n">
        <f aca="false">(CS221+CT221+CU221+CV221)/4</f>
        <v>59.275</v>
      </c>
      <c r="CX221" s="9" t="n">
        <v>0</v>
      </c>
      <c r="CY221" s="9" t="n">
        <v>0</v>
      </c>
      <c r="CZ221" s="9" t="n">
        <v>0</v>
      </c>
      <c r="DA221" s="9" t="n">
        <v>0</v>
      </c>
      <c r="DB221" s="11" t="n">
        <f aca="false">(CX221+CY221+CZ221+DA221)/4</f>
        <v>0</v>
      </c>
      <c r="DC221" s="9" t="n">
        <v>1</v>
      </c>
      <c r="DD221" s="9" t="n">
        <v>1</v>
      </c>
      <c r="DE221" s="9" t="n">
        <v>1</v>
      </c>
      <c r="DF221" s="9" t="n">
        <v>1</v>
      </c>
      <c r="DG221" s="11" t="n">
        <f aca="false">(DC221+DD221+DE221+DF221)/4</f>
        <v>1</v>
      </c>
      <c r="DH221" s="9" t="n">
        <v>1</v>
      </c>
      <c r="DI221" s="9" t="n">
        <v>1</v>
      </c>
      <c r="DJ221" s="9" t="n">
        <v>1</v>
      </c>
      <c r="DK221" s="9" t="n">
        <v>1</v>
      </c>
      <c r="DL221" s="11" t="n">
        <f aca="false">(DH221+DI221+DJ221+DK221)/4</f>
        <v>1</v>
      </c>
      <c r="DM221" s="9" t="n">
        <v>30</v>
      </c>
      <c r="DN221" s="9" t="n">
        <v>40</v>
      </c>
      <c r="DO221" s="9" t="n">
        <v>74</v>
      </c>
      <c r="DP221" s="9" t="n">
        <v>43</v>
      </c>
      <c r="DQ221" s="11" t="n">
        <f aca="false">(DM221+DN221+DO221+DP221)/4</f>
        <v>46.75</v>
      </c>
      <c r="DR221" s="9" t="n">
        <v>5</v>
      </c>
      <c r="DS221" s="9" t="n">
        <v>16</v>
      </c>
      <c r="DT221" s="9" t="n">
        <v>11</v>
      </c>
      <c r="DU221" s="9" t="n">
        <v>10</v>
      </c>
      <c r="DV221" s="11" t="n">
        <f aca="false">(DR221+DS221+DT221+DU221)/4</f>
        <v>10.5</v>
      </c>
      <c r="DW221" s="9" t="n">
        <v>0</v>
      </c>
      <c r="DX221" s="9" t="n">
        <v>0</v>
      </c>
      <c r="DY221" s="9" t="n">
        <v>0</v>
      </c>
      <c r="DZ221" s="9" t="n">
        <v>0</v>
      </c>
      <c r="EA221" s="11" t="n">
        <f aca="false">(DW221+DX221+DY221+DZ221)/4</f>
        <v>0</v>
      </c>
      <c r="EB221" s="11" t="n">
        <f aca="false">(DW221/DR221)</f>
        <v>0</v>
      </c>
      <c r="EC221" s="11" t="n">
        <f aca="false">(DX221/DS221)</f>
        <v>0</v>
      </c>
      <c r="ED221" s="11" t="n">
        <f aca="false">(DY221/DT221)</f>
        <v>0</v>
      </c>
      <c r="EE221" s="11" t="n">
        <f aca="false">(DZ221/DU221)</f>
        <v>0</v>
      </c>
      <c r="EF221" s="11" t="n">
        <f aca="false">(EA221/DV221)</f>
        <v>0</v>
      </c>
      <c r="EG221" s="11" t="n">
        <f aca="false">(100*EF221)</f>
        <v>0</v>
      </c>
      <c r="EH221" s="9" t="n">
        <v>0</v>
      </c>
      <c r="EI221" s="9" t="n">
        <v>2</v>
      </c>
      <c r="EJ221" s="9" t="n">
        <v>4</v>
      </c>
      <c r="EK221" s="19" t="n">
        <v>4</v>
      </c>
      <c r="EL221" s="9" t="n">
        <v>2</v>
      </c>
      <c r="EM221" s="9" t="n">
        <f aca="false">(EI221+EJ221+EK221+EL221)/4</f>
        <v>3</v>
      </c>
      <c r="EN221" s="9" t="n">
        <f aca="false">(EI221/DR221)</f>
        <v>0.4</v>
      </c>
      <c r="EO221" s="9" t="n">
        <f aca="false">(EJ221/DS221)</f>
        <v>0.25</v>
      </c>
      <c r="EP221" s="9" t="n">
        <f aca="false">(EK221/DT221)</f>
        <v>0.363636363636364</v>
      </c>
      <c r="EQ221" s="9" t="n">
        <f aca="false">(EL221/DU221)</f>
        <v>0.2</v>
      </c>
      <c r="ER221" s="9" t="n">
        <f aca="false">EM221/DV221</f>
        <v>0.285714285714286</v>
      </c>
      <c r="ES221" s="9" t="n">
        <f aca="false">(100*ER221)</f>
        <v>28.5714285714286</v>
      </c>
      <c r="ET221" s="9" t="n">
        <v>3</v>
      </c>
      <c r="EU221" s="18" t="n">
        <v>1</v>
      </c>
      <c r="EV221" s="9" t="n">
        <v>1</v>
      </c>
      <c r="EW221" s="9" t="n">
        <v>1</v>
      </c>
      <c r="EX221" s="9" t="n">
        <v>0</v>
      </c>
      <c r="EY221" s="11" t="n">
        <f aca="false">(EU221+EV221+EW221+EX221)/4</f>
        <v>0.75</v>
      </c>
      <c r="EZ221" s="11" t="n">
        <f aca="false">(EU221/DR221)</f>
        <v>0.2</v>
      </c>
      <c r="FA221" s="11" t="n">
        <f aca="false">(EV221/DS221)</f>
        <v>0.0625</v>
      </c>
      <c r="FB221" s="11" t="n">
        <f aca="false">(EW221/DT221)</f>
        <v>0.0909090909090909</v>
      </c>
      <c r="FC221" s="11" t="n">
        <f aca="false">(EX221/DU221)</f>
        <v>0</v>
      </c>
      <c r="FD221" s="11" t="n">
        <f aca="false">(EY221/DV221)</f>
        <v>0.0714285714285714</v>
      </c>
      <c r="FE221" s="11" t="n">
        <f aca="false">(100*FD221)</f>
        <v>7.14285714285714</v>
      </c>
      <c r="FF221" s="9" t="n">
        <v>1</v>
      </c>
      <c r="FG221" s="9" t="n">
        <v>19</v>
      </c>
      <c r="FH221" s="9" t="n">
        <v>2</v>
      </c>
      <c r="FI221" s="9" t="n">
        <v>5</v>
      </c>
      <c r="FJ221" s="9" t="n">
        <v>0</v>
      </c>
      <c r="FK221" s="11" t="n">
        <f aca="false">(FG221+FH221+FI221+FJ221)/4</f>
        <v>6.5</v>
      </c>
      <c r="FL221" s="11" t="n">
        <f aca="false">(FG221/DR221)</f>
        <v>3.8</v>
      </c>
      <c r="FM221" s="11" t="n">
        <f aca="false">(FH221/DS221)</f>
        <v>0.125</v>
      </c>
      <c r="FN221" s="11" t="n">
        <f aca="false">(FI221/DT221)</f>
        <v>0.454545454545455</v>
      </c>
      <c r="FO221" s="11" t="n">
        <f aca="false">(FJ221/DU221)</f>
        <v>0</v>
      </c>
      <c r="FP221" s="11" t="n">
        <f aca="false">(FK221/DV221)</f>
        <v>0.619047619047619</v>
      </c>
      <c r="FQ221" s="11" t="n">
        <f aca="false">(100*FP221)</f>
        <v>61.9047619047619</v>
      </c>
      <c r="FR221" s="9" t="n">
        <v>3</v>
      </c>
      <c r="FS221" s="9" t="n">
        <v>63.4</v>
      </c>
      <c r="FT221" s="9" t="n">
        <v>65.1</v>
      </c>
      <c r="FU221" s="9" t="n">
        <v>63.5</v>
      </c>
      <c r="FV221" s="9" t="n">
        <v>46.9</v>
      </c>
      <c r="FW221" s="11" t="n">
        <f aca="false">(FS221+FT221+FU221+FV221)/4</f>
        <v>59.725</v>
      </c>
      <c r="FX221" s="9" t="n">
        <v>0</v>
      </c>
      <c r="FY221" s="9" t="n">
        <v>0</v>
      </c>
      <c r="FZ221" s="9" t="n">
        <v>0</v>
      </c>
      <c r="GA221" s="9" t="n">
        <v>0</v>
      </c>
      <c r="GB221" s="11" t="n">
        <f aca="false">(FX221+FY221+FZ221+GA221)/4</f>
        <v>0</v>
      </c>
      <c r="GC221" s="9" t="n">
        <v>1</v>
      </c>
      <c r="GD221" s="9" t="n">
        <v>1</v>
      </c>
      <c r="GE221" s="9" t="n">
        <v>1</v>
      </c>
      <c r="GF221" s="9" t="n">
        <v>1</v>
      </c>
      <c r="GG221" s="11" t="n">
        <f aca="false">(GC221+GD221+GE221+GF221)/4</f>
        <v>1</v>
      </c>
      <c r="GH221" s="9" t="n">
        <v>1</v>
      </c>
      <c r="GI221" s="9" t="n">
        <v>1</v>
      </c>
      <c r="GJ221" s="9" t="n">
        <v>1</v>
      </c>
      <c r="GK221" s="9" t="n">
        <v>1</v>
      </c>
      <c r="GL221" s="11" t="n">
        <f aca="false">(GH221+GI221+GJ221+GK221)/4</f>
        <v>1</v>
      </c>
      <c r="GM221" s="9" t="n">
        <v>176</v>
      </c>
      <c r="GN221" s="9" t="n">
        <v>27</v>
      </c>
      <c r="GO221" s="9" t="n">
        <v>10</v>
      </c>
      <c r="GP221" s="9" t="n">
        <v>98</v>
      </c>
      <c r="GQ221" s="11" t="n">
        <f aca="false">(GM221+GN221+GO221+GP221)/4</f>
        <v>77.75</v>
      </c>
      <c r="GR221" s="9" t="n">
        <v>57</v>
      </c>
      <c r="GS221" s="9" t="n">
        <v>8</v>
      </c>
      <c r="GT221" s="9" t="n">
        <v>41</v>
      </c>
      <c r="GU221" s="9" t="n">
        <v>16</v>
      </c>
      <c r="GV221" s="11" t="n">
        <f aca="false">(GR221+GS221+GT221+GU221)/4</f>
        <v>30.5</v>
      </c>
      <c r="GW221" s="9" t="n">
        <v>0</v>
      </c>
      <c r="GX221" s="9" t="n">
        <v>0</v>
      </c>
      <c r="GY221" s="9" t="n">
        <v>0</v>
      </c>
      <c r="GZ221" s="9" t="n">
        <v>0</v>
      </c>
      <c r="HA221" s="11" t="n">
        <f aca="false">(GW221+GX221+GY221+GZ221)/4</f>
        <v>0</v>
      </c>
      <c r="HB221" s="9"/>
      <c r="HC221" s="9" t="n">
        <f aca="false">(GX221/GS221)</f>
        <v>0</v>
      </c>
      <c r="HD221" s="9" t="n">
        <f aca="false">(GY221/GT221)</f>
        <v>0</v>
      </c>
      <c r="HE221" s="9" t="n">
        <f aca="false">(GZ221/GU221)/4</f>
        <v>0</v>
      </c>
      <c r="HF221" s="9" t="n">
        <f aca="false">(HB221+HC221+HD221+HE221)/4</f>
        <v>0</v>
      </c>
      <c r="HG221" s="9" t="n">
        <f aca="false">(100*HF221)</f>
        <v>0</v>
      </c>
      <c r="HH221" s="18" t="n">
        <v>0</v>
      </c>
      <c r="HI221" s="11" t="n">
        <v>4</v>
      </c>
      <c r="HJ221" s="11" t="n">
        <v>5</v>
      </c>
      <c r="HK221" s="11" t="n">
        <v>2</v>
      </c>
      <c r="HL221" s="11" t="n">
        <v>5</v>
      </c>
      <c r="HM221" s="9" t="n">
        <f aca="false">(HI221+HJ221+HK221+HL221)/4</f>
        <v>4</v>
      </c>
      <c r="HN221" s="9" t="n">
        <f aca="false">(HI221/GR221)</f>
        <v>0.0701754385964912</v>
      </c>
      <c r="HO221" s="9" t="n">
        <f aca="false">(HJ221/GS221)</f>
        <v>0.625</v>
      </c>
      <c r="HP221" s="9" t="n">
        <f aca="false">(HK221/GT221)</f>
        <v>0.0487804878048781</v>
      </c>
      <c r="HQ221" s="9" t="n">
        <f aca="false">(HL221/GU221)</f>
        <v>0.3125</v>
      </c>
      <c r="HR221" s="9" t="n">
        <f aca="false">(HM221/GV221)</f>
        <v>0.131147540983607</v>
      </c>
      <c r="HS221" s="9" t="n">
        <f aca="false">(100*HR221)</f>
        <v>13.1147540983607</v>
      </c>
      <c r="HT221" s="11" t="n">
        <v>2</v>
      </c>
      <c r="HU221" s="9" t="n">
        <v>2</v>
      </c>
      <c r="HV221" s="9" t="n">
        <v>0</v>
      </c>
      <c r="HW221" s="9" t="n">
        <v>0</v>
      </c>
      <c r="HX221" s="19" t="n">
        <v>1</v>
      </c>
      <c r="HY221" s="9" t="n">
        <f aca="false">(HU221+HV221+HW221+HX221)/4</f>
        <v>0.75</v>
      </c>
      <c r="HZ221" s="9" t="n">
        <f aca="false">(HU221/GR221)</f>
        <v>0.0350877192982456</v>
      </c>
      <c r="IA221" s="9" t="n">
        <f aca="false">HV221/GS221</f>
        <v>0</v>
      </c>
      <c r="IB221" s="9" t="n">
        <f aca="false">(HW221/GT221)</f>
        <v>0</v>
      </c>
      <c r="IC221" s="9" t="n">
        <f aca="false">(HX221/GU221)</f>
        <v>0.0625</v>
      </c>
      <c r="ID221" s="9" t="n">
        <f aca="false">(HY221/GV221)</f>
        <v>0.0245901639344262</v>
      </c>
      <c r="IE221" s="9" t="n">
        <f aca="false">(100*ID221)</f>
        <v>2.45901639344262</v>
      </c>
      <c r="IF221" s="18" t="n">
        <v>1</v>
      </c>
      <c r="IG221" s="9" t="n">
        <v>4</v>
      </c>
      <c r="IH221" s="9" t="n">
        <v>17</v>
      </c>
      <c r="II221" s="19" t="n">
        <v>2</v>
      </c>
      <c r="IJ221" s="9" t="n">
        <v>2</v>
      </c>
      <c r="IK221" s="9" t="n">
        <f aca="false">(IG221+IH221+II221+IJ221)/4</f>
        <v>6.25</v>
      </c>
      <c r="IL221" s="9" t="n">
        <f aca="false">(IG221/GM221)</f>
        <v>0.0227272727272727</v>
      </c>
      <c r="IM221" s="9" t="n">
        <f aca="false">(IH221/GN221)</f>
        <v>0.62962962962963</v>
      </c>
      <c r="IN221" s="9" t="n">
        <f aca="false">(II221/GO221)</f>
        <v>0.2</v>
      </c>
      <c r="IO221" s="9" t="n">
        <f aca="false">(IJ221/GP221)</f>
        <v>0.0204081632653061</v>
      </c>
      <c r="IP221" s="9" t="n">
        <f aca="false">(IK221/GQ221)</f>
        <v>0.0803858520900322</v>
      </c>
      <c r="IQ221" s="9" t="n">
        <f aca="false">(100*IP221)</f>
        <v>8.03858520900322</v>
      </c>
      <c r="IR221" s="18" t="n">
        <v>1</v>
      </c>
      <c r="IS221" s="9" t="n">
        <v>46.5</v>
      </c>
      <c r="IT221" s="9" t="n">
        <v>75.8</v>
      </c>
      <c r="IU221" s="19" t="n">
        <v>72.5</v>
      </c>
      <c r="IV221" s="9" t="n">
        <v>72.9</v>
      </c>
      <c r="IW221" s="9" t="n">
        <f aca="false">(IS221+IT221+IU221+IV221)/4</f>
        <v>66.925</v>
      </c>
      <c r="IX221" s="16" t="n">
        <v>45241</v>
      </c>
      <c r="IY221" s="10" t="s">
        <v>268</v>
      </c>
    </row>
    <row r="222" customFormat="false" ht="15.75" hidden="false" customHeight="true" outlineLevel="0" collapsed="false">
      <c r="A222" s="9" t="s">
        <v>299</v>
      </c>
      <c r="B222" s="10" t="s">
        <v>763</v>
      </c>
      <c r="C222" s="10" t="s">
        <v>727</v>
      </c>
      <c r="D222" s="9" t="n">
        <v>3</v>
      </c>
      <c r="E222" s="9" t="n">
        <v>74</v>
      </c>
      <c r="F222" s="10" t="s">
        <v>768</v>
      </c>
      <c r="G222" s="11" t="s">
        <v>263</v>
      </c>
      <c r="H222" s="9" t="n">
        <v>21</v>
      </c>
      <c r="I222" s="9" t="n">
        <v>10</v>
      </c>
      <c r="J222" s="12" t="s">
        <v>270</v>
      </c>
      <c r="K222" s="20"/>
      <c r="L222" s="20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 t="n">
        <v>0</v>
      </c>
      <c r="Y222" s="9" t="n">
        <v>0</v>
      </c>
      <c r="Z222" s="9" t="n">
        <v>0</v>
      </c>
      <c r="AA222" s="9" t="n">
        <v>0</v>
      </c>
      <c r="AB222" s="11" t="n">
        <f aca="false">(X222+Y222+Z222+AA222)/4</f>
        <v>0</v>
      </c>
      <c r="AC222" s="9" t="n">
        <v>1</v>
      </c>
      <c r="AD222" s="9" t="n">
        <v>1</v>
      </c>
      <c r="AE222" s="9" t="n">
        <v>1</v>
      </c>
      <c r="AF222" s="9" t="n">
        <v>1</v>
      </c>
      <c r="AG222" s="11" t="n">
        <f aca="false">(AC222+AD222+AE222+AF222)/4</f>
        <v>1</v>
      </c>
      <c r="AH222" s="9" t="n">
        <v>1</v>
      </c>
      <c r="AI222" s="9" t="n">
        <v>1</v>
      </c>
      <c r="AJ222" s="9" t="n">
        <v>1</v>
      </c>
      <c r="AK222" s="9" t="n">
        <v>0</v>
      </c>
      <c r="AL222" s="11" t="n">
        <f aca="false">(AH222+AI222+AJ222+AK222)/4</f>
        <v>0.75</v>
      </c>
      <c r="AM222" s="9" t="n">
        <v>25</v>
      </c>
      <c r="AN222" s="9" t="n">
        <v>19</v>
      </c>
      <c r="AO222" s="9" t="n">
        <v>32</v>
      </c>
      <c r="AP222" s="9" t="n">
        <v>22</v>
      </c>
      <c r="AQ222" s="11" t="n">
        <f aca="false">(AM222+AN222+AO222+AP222)/4</f>
        <v>24.5</v>
      </c>
      <c r="AR222" s="9" t="n">
        <v>8</v>
      </c>
      <c r="AS222" s="9" t="n">
        <v>22</v>
      </c>
      <c r="AT222" s="9" t="n">
        <v>10</v>
      </c>
      <c r="AU222" s="9" t="n">
        <v>4</v>
      </c>
      <c r="AV222" s="11" t="n">
        <f aca="false">(AR222+AS222+AT222+AU222)/4</f>
        <v>11</v>
      </c>
      <c r="AW222" s="9" t="n">
        <v>0</v>
      </c>
      <c r="AX222" s="9" t="n">
        <v>0</v>
      </c>
      <c r="AY222" s="9" t="n">
        <v>0</v>
      </c>
      <c r="AZ222" s="9" t="n">
        <v>0</v>
      </c>
      <c r="BA222" s="11" t="n">
        <f aca="false">(AW222+AX222+AY222+AZ222)/4</f>
        <v>0</v>
      </c>
      <c r="BB222" s="11" t="n">
        <f aca="false">(AW222/AR222)</f>
        <v>0</v>
      </c>
      <c r="BC222" s="11" t="n">
        <f aca="false">(AX222/AS222)</f>
        <v>0</v>
      </c>
      <c r="BD222" s="11" t="n">
        <f aca="false">(AY222/AT222)</f>
        <v>0</v>
      </c>
      <c r="BE222" s="11" t="n">
        <f aca="false">(AZ222/AU222)</f>
        <v>0</v>
      </c>
      <c r="BF222" s="11" t="n">
        <f aca="false">(BA222/AV222)</f>
        <v>0</v>
      </c>
      <c r="BG222" s="11" t="n">
        <f aca="false">(BF222*100)</f>
        <v>0</v>
      </c>
      <c r="BH222" s="9" t="n">
        <v>0</v>
      </c>
      <c r="BI222" s="9" t="n">
        <v>4</v>
      </c>
      <c r="BJ222" s="9" t="n">
        <v>2</v>
      </c>
      <c r="BK222" s="9" t="n">
        <v>6</v>
      </c>
      <c r="BL222" s="9" t="n">
        <v>4</v>
      </c>
      <c r="BM222" s="11" t="n">
        <f aca="false">(BI222+BJ222+BK222+BL222)/4</f>
        <v>4</v>
      </c>
      <c r="BN222" s="11" t="n">
        <f aca="false">(BI222/AR222)</f>
        <v>0.5</v>
      </c>
      <c r="BO222" s="11" t="n">
        <f aca="false">(BJ222/AS222)</f>
        <v>0.0909090909090909</v>
      </c>
      <c r="BP222" s="11" t="n">
        <f aca="false">(BK222/AT222)</f>
        <v>0.6</v>
      </c>
      <c r="BQ222" s="11" t="n">
        <f aca="false">(BL222/AU222)</f>
        <v>1</v>
      </c>
      <c r="BR222" s="11" t="n">
        <f aca="false">(BM222/AV222)</f>
        <v>0.363636363636364</v>
      </c>
      <c r="BS222" s="11" t="n">
        <f aca="false">(100*BR222)</f>
        <v>36.3636363636364</v>
      </c>
      <c r="BT222" s="9" t="n">
        <v>3</v>
      </c>
      <c r="BU222" s="9" t="n">
        <v>0</v>
      </c>
      <c r="BV222" s="9" t="n">
        <v>0</v>
      </c>
      <c r="BW222" s="9" t="n">
        <v>1</v>
      </c>
      <c r="BX222" s="9" t="n">
        <v>0</v>
      </c>
      <c r="BY222" s="11" t="n">
        <f aca="false">(BU222+BV222+BW222+BX222)/4</f>
        <v>0.25</v>
      </c>
      <c r="BZ222" s="11" t="n">
        <f aca="false">(BU222/AR222)</f>
        <v>0</v>
      </c>
      <c r="CA222" s="11" t="n">
        <f aca="false">(BV222/AS222)</f>
        <v>0</v>
      </c>
      <c r="CB222" s="11" t="n">
        <f aca="false">(BW222/AT222)</f>
        <v>0.1</v>
      </c>
      <c r="CC222" s="11" t="n">
        <f aca="false">(BX222/AU222)</f>
        <v>0</v>
      </c>
      <c r="CD222" s="11" t="n">
        <f aca="false">(BY222/AV222)</f>
        <v>0.0227272727272727</v>
      </c>
      <c r="CE222" s="11" t="n">
        <f aca="false">(100*CD222)</f>
        <v>2.27272727272727</v>
      </c>
      <c r="CF222" s="9" t="n">
        <v>1</v>
      </c>
      <c r="CG222" s="9" t="n">
        <v>2</v>
      </c>
      <c r="CH222" s="9" t="n">
        <v>6</v>
      </c>
      <c r="CI222" s="9" t="n">
        <v>18</v>
      </c>
      <c r="CJ222" s="9" t="n">
        <v>0</v>
      </c>
      <c r="CK222" s="11" t="n">
        <f aca="false">(CG222+CH222+CI222+CJ222)/4</f>
        <v>6.5</v>
      </c>
      <c r="CL222" s="11" t="n">
        <f aca="false">(CG222/AM222)</f>
        <v>0.08</v>
      </c>
      <c r="CM222" s="11" t="n">
        <f aca="false">(CH222/AN222)</f>
        <v>0.315789473684211</v>
      </c>
      <c r="CN222" s="11" t="n">
        <f aca="false">(CI222/AO222)</f>
        <v>0.5625</v>
      </c>
      <c r="CO222" s="9" t="n">
        <f aca="false">(CJ222/AP222)</f>
        <v>0</v>
      </c>
      <c r="CP222" s="9" t="n">
        <f aca="false">(CK222/AQ222)</f>
        <v>0.26530612244898</v>
      </c>
      <c r="CQ222" s="9" t="n">
        <f aca="false">(100*CP222)</f>
        <v>26.530612244898</v>
      </c>
      <c r="CR222" s="18" t="n">
        <v>2</v>
      </c>
      <c r="CS222" s="9" t="n">
        <v>68.1</v>
      </c>
      <c r="CT222" s="9" t="n">
        <v>72.2</v>
      </c>
      <c r="CU222" s="9" t="n">
        <v>74.9</v>
      </c>
      <c r="CV222" s="9" t="n">
        <v>78.9</v>
      </c>
      <c r="CW222" s="11" t="n">
        <f aca="false">(CS222+CT222+CU222+CV222)/4</f>
        <v>73.525</v>
      </c>
      <c r="CX222" s="9" t="n">
        <v>0</v>
      </c>
      <c r="CY222" s="9" t="n">
        <v>0</v>
      </c>
      <c r="CZ222" s="9" t="n">
        <v>0</v>
      </c>
      <c r="DA222" s="9" t="n">
        <v>0</v>
      </c>
      <c r="DB222" s="11" t="n">
        <f aca="false">(CX222+CY222+CZ222+DA222)/4</f>
        <v>0</v>
      </c>
      <c r="DC222" s="9" t="n">
        <v>1</v>
      </c>
      <c r="DD222" s="9" t="n">
        <v>1</v>
      </c>
      <c r="DE222" s="9" t="n">
        <v>1</v>
      </c>
      <c r="DF222" s="9" t="n">
        <v>1</v>
      </c>
      <c r="DG222" s="11" t="n">
        <f aca="false">(DC222+DD222+DE222+DF222)/4</f>
        <v>1</v>
      </c>
      <c r="DH222" s="9" t="n">
        <v>1</v>
      </c>
      <c r="DI222" s="9" t="n">
        <v>1</v>
      </c>
      <c r="DJ222" s="9" t="n">
        <v>1</v>
      </c>
      <c r="DK222" s="9" t="n">
        <v>1</v>
      </c>
      <c r="DL222" s="11" t="n">
        <f aca="false">(DH222+DI222+DJ222+DK222)/4</f>
        <v>1</v>
      </c>
      <c r="DM222" s="9" t="n">
        <v>30</v>
      </c>
      <c r="DN222" s="9" t="n">
        <v>40</v>
      </c>
      <c r="DO222" s="9" t="n">
        <v>74</v>
      </c>
      <c r="DP222" s="9" t="n">
        <v>43</v>
      </c>
      <c r="DQ222" s="11" t="n">
        <f aca="false">(DM222+DN222+DO222+DP222)/4</f>
        <v>46.75</v>
      </c>
      <c r="DR222" s="9" t="n">
        <v>4</v>
      </c>
      <c r="DS222" s="9" t="n">
        <v>16</v>
      </c>
      <c r="DT222" s="9" t="n">
        <v>11</v>
      </c>
      <c r="DU222" s="9" t="n">
        <v>10</v>
      </c>
      <c r="DV222" s="11" t="n">
        <f aca="false">(DR222+DS222+DT222+DU222)/4</f>
        <v>10.25</v>
      </c>
      <c r="DW222" s="9" t="n">
        <v>0</v>
      </c>
      <c r="DX222" s="9" t="n">
        <v>0</v>
      </c>
      <c r="DY222" s="9" t="n">
        <v>0</v>
      </c>
      <c r="DZ222" s="9" t="n">
        <v>0</v>
      </c>
      <c r="EA222" s="11" t="n">
        <f aca="false">(DW222+DX222+DY222+DZ222)/4</f>
        <v>0</v>
      </c>
      <c r="EB222" s="11" t="n">
        <f aca="false">(DW222/DR222)</f>
        <v>0</v>
      </c>
      <c r="EC222" s="11" t="n">
        <f aca="false">(DX222/DS222)</f>
        <v>0</v>
      </c>
      <c r="ED222" s="11" t="n">
        <f aca="false">(DY222/DT222)</f>
        <v>0</v>
      </c>
      <c r="EE222" s="11" t="n">
        <f aca="false">(DZ222/DU222)</f>
        <v>0</v>
      </c>
      <c r="EF222" s="11" t="n">
        <f aca="false">(EA222/DV222)</f>
        <v>0</v>
      </c>
      <c r="EG222" s="11" t="n">
        <f aca="false">(100*EF222)</f>
        <v>0</v>
      </c>
      <c r="EH222" s="9" t="n">
        <v>0</v>
      </c>
      <c r="EI222" s="9" t="n">
        <v>2</v>
      </c>
      <c r="EJ222" s="9" t="n">
        <v>2</v>
      </c>
      <c r="EK222" s="19" t="n">
        <v>5</v>
      </c>
      <c r="EL222" s="9" t="n">
        <v>8</v>
      </c>
      <c r="EM222" s="9" t="n">
        <f aca="false">(EI222+EJ222+EK222+EL222)/4</f>
        <v>4.25</v>
      </c>
      <c r="EN222" s="9" t="n">
        <f aca="false">(EI222/DR222)</f>
        <v>0.5</v>
      </c>
      <c r="EO222" s="9" t="n">
        <f aca="false">(EJ222/DS222)</f>
        <v>0.125</v>
      </c>
      <c r="EP222" s="9" t="n">
        <f aca="false">(EK222/DT222)</f>
        <v>0.454545454545455</v>
      </c>
      <c r="EQ222" s="9" t="n">
        <f aca="false">(EL222/DU222)</f>
        <v>0.8</v>
      </c>
      <c r="ER222" s="9" t="n">
        <f aca="false">EM222/DV222</f>
        <v>0.414634146341463</v>
      </c>
      <c r="ES222" s="9" t="n">
        <f aca="false">(100*ER222)</f>
        <v>41.4634146341463</v>
      </c>
      <c r="ET222" s="9" t="n">
        <v>3</v>
      </c>
      <c r="EU222" s="18" t="n">
        <v>2</v>
      </c>
      <c r="EV222" s="9" t="n">
        <v>4</v>
      </c>
      <c r="EW222" s="9" t="n">
        <v>6</v>
      </c>
      <c r="EX222" s="9" t="n">
        <v>0</v>
      </c>
      <c r="EY222" s="11" t="n">
        <f aca="false">(EU222+EV222+EW222+EX222)/4</f>
        <v>3</v>
      </c>
      <c r="EZ222" s="11" t="n">
        <f aca="false">(EU222/DR222)</f>
        <v>0.5</v>
      </c>
      <c r="FA222" s="11" t="n">
        <f aca="false">(EV222/DS222)</f>
        <v>0.25</v>
      </c>
      <c r="FB222" s="11" t="n">
        <f aca="false">(EW222/DT222)</f>
        <v>0.545454545454545</v>
      </c>
      <c r="FC222" s="11" t="n">
        <f aca="false">(EX222/DU222)</f>
        <v>0</v>
      </c>
      <c r="FD222" s="11" t="n">
        <f aca="false">(EY222/DV222)</f>
        <v>0.292682926829268</v>
      </c>
      <c r="FE222" s="11" t="n">
        <f aca="false">(100*FD222)</f>
        <v>29.2682926829268</v>
      </c>
      <c r="FF222" s="9" t="n">
        <v>3</v>
      </c>
      <c r="FG222" s="9" t="n">
        <v>0</v>
      </c>
      <c r="FH222" s="9" t="n">
        <v>2</v>
      </c>
      <c r="FI222" s="9" t="n">
        <v>4</v>
      </c>
      <c r="FJ222" s="9" t="n">
        <v>25</v>
      </c>
      <c r="FK222" s="11" t="n">
        <f aca="false">(FG222+FH222+FI222+FJ222)/4</f>
        <v>7.75</v>
      </c>
      <c r="FL222" s="11" t="n">
        <f aca="false">(FG222/DR222)</f>
        <v>0</v>
      </c>
      <c r="FM222" s="11" t="n">
        <f aca="false">(FH222/DS222)</f>
        <v>0.125</v>
      </c>
      <c r="FN222" s="11" t="n">
        <f aca="false">(FI222/DT222)</f>
        <v>0.363636363636364</v>
      </c>
      <c r="FO222" s="11" t="n">
        <f aca="false">(FJ222/DU222)</f>
        <v>2.5</v>
      </c>
      <c r="FP222" s="11" t="n">
        <f aca="false">(FK222/DV222)</f>
        <v>0.75609756097561</v>
      </c>
      <c r="FQ222" s="11" t="n">
        <f aca="false">(100*FP222)</f>
        <v>75.609756097561</v>
      </c>
      <c r="FR222" s="9" t="n">
        <v>3</v>
      </c>
      <c r="FS222" s="9" t="n">
        <v>42.1</v>
      </c>
      <c r="FT222" s="9" t="n">
        <v>14.2</v>
      </c>
      <c r="FU222" s="9" t="n">
        <v>72.2</v>
      </c>
      <c r="FV222" s="9" t="n">
        <v>49.8</v>
      </c>
      <c r="FW222" s="11" t="n">
        <f aca="false">(FS222+FT222+FU222+FV222)/4</f>
        <v>44.575</v>
      </c>
      <c r="FX222" s="9" t="n">
        <v>0</v>
      </c>
      <c r="FY222" s="9" t="n">
        <v>0</v>
      </c>
      <c r="FZ222" s="9" t="n">
        <v>1</v>
      </c>
      <c r="GA222" s="9" t="n">
        <v>1</v>
      </c>
      <c r="GB222" s="11" t="n">
        <f aca="false">(FX222+FY222+FZ222+GA222)/4</f>
        <v>0.5</v>
      </c>
      <c r="GC222" s="9" t="n">
        <v>1</v>
      </c>
      <c r="GD222" s="9" t="n">
        <v>1</v>
      </c>
      <c r="GE222" s="9" t="n">
        <v>1</v>
      </c>
      <c r="GF222" s="9" t="n">
        <v>1</v>
      </c>
      <c r="GG222" s="11" t="n">
        <f aca="false">(GC222+GD222+GE222+GF222)/4</f>
        <v>1</v>
      </c>
      <c r="GH222" s="9" t="n">
        <v>1</v>
      </c>
      <c r="GI222" s="9" t="n">
        <v>1</v>
      </c>
      <c r="GJ222" s="9" t="n">
        <v>1</v>
      </c>
      <c r="GK222" s="9" t="n">
        <v>0</v>
      </c>
      <c r="GL222" s="11" t="n">
        <f aca="false">(GH222+GI222+GJ222+GK222)/4</f>
        <v>0.75</v>
      </c>
      <c r="GM222" s="9" t="n">
        <v>38</v>
      </c>
      <c r="GN222" s="9" t="n">
        <v>23</v>
      </c>
      <c r="GO222" s="9" t="n">
        <v>56</v>
      </c>
      <c r="GP222" s="9" t="n">
        <v>6</v>
      </c>
      <c r="GQ222" s="11" t="n">
        <f aca="false">(GM222+GN222+GO222+GP222)/4</f>
        <v>30.75</v>
      </c>
      <c r="GR222" s="9" t="n">
        <v>22</v>
      </c>
      <c r="GS222" s="9" t="n">
        <v>19</v>
      </c>
      <c r="GT222" s="9" t="n">
        <v>17</v>
      </c>
      <c r="GU222" s="9" t="n">
        <v>19</v>
      </c>
      <c r="GV222" s="11" t="n">
        <f aca="false">(GR222+GS222+GT222+GU222)/4</f>
        <v>19.25</v>
      </c>
      <c r="GW222" s="9" t="n">
        <v>0</v>
      </c>
      <c r="GX222" s="9" t="n">
        <v>0</v>
      </c>
      <c r="GY222" s="9" t="n">
        <v>2</v>
      </c>
      <c r="GZ222" s="9" t="n">
        <v>1</v>
      </c>
      <c r="HA222" s="11" t="n">
        <f aca="false">(GW222+GX222+GY222+GZ222)/4</f>
        <v>0.75</v>
      </c>
      <c r="HB222" s="9"/>
      <c r="HC222" s="9" t="n">
        <f aca="false">(GX222/GS222)</f>
        <v>0</v>
      </c>
      <c r="HD222" s="9" t="n">
        <f aca="false">(GY222/GT222)</f>
        <v>0.117647058823529</v>
      </c>
      <c r="HE222" s="9" t="n">
        <f aca="false">(GZ222/GU222)/4</f>
        <v>0.0131578947368421</v>
      </c>
      <c r="HF222" s="9" t="n">
        <f aca="false">(HB222+HC222+HD222+HE222)/4</f>
        <v>0.0327012383900929</v>
      </c>
      <c r="HG222" s="9" t="n">
        <f aca="false">(100*HF222)</f>
        <v>3.27012383900929</v>
      </c>
      <c r="HH222" s="18" t="n">
        <v>1</v>
      </c>
      <c r="HI222" s="9" t="n">
        <v>6</v>
      </c>
      <c r="HJ222" s="9" t="n">
        <v>4</v>
      </c>
      <c r="HK222" s="9" t="n">
        <v>2</v>
      </c>
      <c r="HL222" s="19" t="n">
        <v>6</v>
      </c>
      <c r="HM222" s="9" t="n">
        <f aca="false">(HI222+HJ222+HK222+HL222)/4</f>
        <v>4.5</v>
      </c>
      <c r="HN222" s="9" t="n">
        <f aca="false">(HI222/GR222)</f>
        <v>0.272727272727273</v>
      </c>
      <c r="HO222" s="9" t="n">
        <f aca="false">(HJ222/GS222)</f>
        <v>0.210526315789474</v>
      </c>
      <c r="HP222" s="9" t="n">
        <f aca="false">(HK222/GT222)</f>
        <v>0.117647058823529</v>
      </c>
      <c r="HQ222" s="9" t="n">
        <f aca="false">(HL222/GU222)</f>
        <v>0.315789473684211</v>
      </c>
      <c r="HR222" s="9" t="n">
        <f aca="false">(HM222/GV222)</f>
        <v>0.233766233766234</v>
      </c>
      <c r="HS222" s="9" t="n">
        <f aca="false">(100*HR222)</f>
        <v>23.3766233766234</v>
      </c>
      <c r="HT222" s="18" t="n">
        <v>2</v>
      </c>
      <c r="HU222" s="9" t="n">
        <v>0</v>
      </c>
      <c r="HV222" s="9" t="n">
        <v>0</v>
      </c>
      <c r="HW222" s="9" t="n">
        <v>1</v>
      </c>
      <c r="HX222" s="19" t="n">
        <v>0</v>
      </c>
      <c r="HY222" s="9" t="n">
        <f aca="false">(HU222+HV222+HW222+HX222)/4</f>
        <v>0.25</v>
      </c>
      <c r="HZ222" s="9" t="n">
        <f aca="false">(HU222/GR222)</f>
        <v>0</v>
      </c>
      <c r="IA222" s="9" t="n">
        <f aca="false">HV222/GS222</f>
        <v>0</v>
      </c>
      <c r="IB222" s="9" t="n">
        <f aca="false">(HW222/GT222)</f>
        <v>0.0588235294117647</v>
      </c>
      <c r="IC222" s="9" t="n">
        <f aca="false">(HX222/GU222)</f>
        <v>0</v>
      </c>
      <c r="ID222" s="9" t="n">
        <f aca="false">(HY222/GV222)</f>
        <v>0.012987012987013</v>
      </c>
      <c r="IE222" s="9" t="n">
        <f aca="false">(100*ID222)</f>
        <v>1.2987012987013</v>
      </c>
      <c r="IF222" s="18" t="n">
        <v>1</v>
      </c>
      <c r="IG222" s="9" t="n">
        <v>5</v>
      </c>
      <c r="IH222" s="9" t="n">
        <v>1</v>
      </c>
      <c r="II222" s="19" t="n">
        <v>2</v>
      </c>
      <c r="IJ222" s="9" t="n">
        <v>0</v>
      </c>
      <c r="IK222" s="9" t="n">
        <f aca="false">(IG222+IH222+II222+IJ222)/4</f>
        <v>2</v>
      </c>
      <c r="IL222" s="9" t="n">
        <f aca="false">(IG222/GM222)</f>
        <v>0.131578947368421</v>
      </c>
      <c r="IM222" s="9" t="n">
        <f aca="false">(IH222/GN222)</f>
        <v>0.0434782608695652</v>
      </c>
      <c r="IN222" s="9" t="n">
        <f aca="false">(II222/GO222)</f>
        <v>0.0357142857142857</v>
      </c>
      <c r="IO222" s="9" t="n">
        <f aca="false">(IJ222/GP222)</f>
        <v>0</v>
      </c>
      <c r="IP222" s="9" t="n">
        <f aca="false">(IK222/GQ222)</f>
        <v>0.0650406504065041</v>
      </c>
      <c r="IQ222" s="9" t="n">
        <f aca="false">(100*IP222)</f>
        <v>6.50406504065041</v>
      </c>
      <c r="IR222" s="18" t="n">
        <v>1</v>
      </c>
      <c r="IS222" s="9" t="n">
        <v>66.7</v>
      </c>
      <c r="IT222" s="9" t="n">
        <v>80.7</v>
      </c>
      <c r="IU222" s="19" t="n">
        <v>88.6</v>
      </c>
      <c r="IV222" s="9" t="n">
        <v>48.6</v>
      </c>
      <c r="IW222" s="9" t="n">
        <f aca="false">(IS222+IT222+IU222+IV222)/4</f>
        <v>71.15</v>
      </c>
      <c r="IX222" s="16" t="n">
        <v>45241</v>
      </c>
      <c r="IY222" s="10" t="s">
        <v>268</v>
      </c>
    </row>
    <row r="223" customFormat="false" ht="15.75" hidden="false" customHeight="true" outlineLevel="0" collapsed="false">
      <c r="A223" s="9" t="s">
        <v>299</v>
      </c>
      <c r="B223" s="10" t="s">
        <v>763</v>
      </c>
      <c r="C223" s="10" t="s">
        <v>727</v>
      </c>
      <c r="D223" s="9" t="n">
        <v>3</v>
      </c>
      <c r="E223" s="9" t="n">
        <v>74</v>
      </c>
      <c r="F223" s="10" t="s">
        <v>769</v>
      </c>
      <c r="G223" s="11" t="s">
        <v>263</v>
      </c>
      <c r="H223" s="9" t="n">
        <v>21</v>
      </c>
      <c r="I223" s="9" t="n">
        <v>19</v>
      </c>
      <c r="J223" s="10" t="s">
        <v>272</v>
      </c>
      <c r="K223" s="20"/>
      <c r="L223" s="20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 t="n">
        <v>0</v>
      </c>
      <c r="Y223" s="9" t="n">
        <v>0</v>
      </c>
      <c r="Z223" s="9" t="n">
        <v>0</v>
      </c>
      <c r="AA223" s="9" t="n">
        <v>0</v>
      </c>
      <c r="AB223" s="11" t="n">
        <f aca="false">(X223+Y223+Z223+AA223)/4</f>
        <v>0</v>
      </c>
      <c r="AC223" s="9" t="n">
        <v>1</v>
      </c>
      <c r="AD223" s="9" t="n">
        <v>1</v>
      </c>
      <c r="AE223" s="9" t="n">
        <v>1</v>
      </c>
      <c r="AF223" s="9" t="n">
        <v>1</v>
      </c>
      <c r="AG223" s="11" t="n">
        <f aca="false">(AC223+AD223+AE223+AF223)/4</f>
        <v>1</v>
      </c>
      <c r="AH223" s="9" t="n">
        <v>1</v>
      </c>
      <c r="AI223" s="9" t="n">
        <v>1</v>
      </c>
      <c r="AJ223" s="9" t="n">
        <v>1</v>
      </c>
      <c r="AK223" s="9" t="n">
        <v>1</v>
      </c>
      <c r="AL223" s="11" t="n">
        <f aca="false">(AH223+AI223+AJ223+AK223)/4</f>
        <v>1</v>
      </c>
      <c r="AM223" s="9" t="n">
        <v>53</v>
      </c>
      <c r="AN223" s="9" t="n">
        <v>9</v>
      </c>
      <c r="AO223" s="9" t="n">
        <v>37</v>
      </c>
      <c r="AP223" s="9" t="n">
        <v>52</v>
      </c>
      <c r="AQ223" s="11" t="n">
        <f aca="false">(AM223+AN223+AO223+AP223)/4</f>
        <v>37.75</v>
      </c>
      <c r="AR223" s="9" t="n">
        <v>23</v>
      </c>
      <c r="AS223" s="9" t="n">
        <v>15</v>
      </c>
      <c r="AT223" s="9" t="n">
        <v>42</v>
      </c>
      <c r="AU223" s="9" t="n">
        <v>32</v>
      </c>
      <c r="AV223" s="11" t="n">
        <f aca="false">(AR223+AS223+AT223+AU223)/4</f>
        <v>28</v>
      </c>
      <c r="AW223" s="9" t="n">
        <v>0</v>
      </c>
      <c r="AX223" s="9" t="n">
        <v>0</v>
      </c>
      <c r="AY223" s="9" t="n">
        <v>0</v>
      </c>
      <c r="AZ223" s="9" t="n">
        <v>0</v>
      </c>
      <c r="BA223" s="11" t="n">
        <f aca="false">(AW223+AX223+AY223+AZ223)/4</f>
        <v>0</v>
      </c>
      <c r="BB223" s="11" t="n">
        <f aca="false">(AW223/AR223)</f>
        <v>0</v>
      </c>
      <c r="BC223" s="11" t="n">
        <f aca="false">(AX223/AS223)</f>
        <v>0</v>
      </c>
      <c r="BD223" s="11" t="n">
        <f aca="false">(AY223/AT223)</f>
        <v>0</v>
      </c>
      <c r="BE223" s="11" t="n">
        <f aca="false">(AZ223/AU223)</f>
        <v>0</v>
      </c>
      <c r="BF223" s="11" t="n">
        <f aca="false">(BA223/AV223)</f>
        <v>0</v>
      </c>
      <c r="BG223" s="11" t="n">
        <f aca="false">(BF223*100)</f>
        <v>0</v>
      </c>
      <c r="BH223" s="9" t="n">
        <v>0</v>
      </c>
      <c r="BI223" s="9" t="n">
        <v>7</v>
      </c>
      <c r="BJ223" s="9" t="n">
        <v>4</v>
      </c>
      <c r="BK223" s="9" t="n">
        <v>2</v>
      </c>
      <c r="BL223" s="9" t="n">
        <v>1</v>
      </c>
      <c r="BM223" s="11" t="n">
        <f aca="false">(BI223+BJ223+BK223+BL223)/4</f>
        <v>3.5</v>
      </c>
      <c r="BN223" s="11" t="n">
        <f aca="false">(BI223/AR223)</f>
        <v>0.304347826086957</v>
      </c>
      <c r="BO223" s="11" t="n">
        <f aca="false">(BJ223/AS223)</f>
        <v>0.266666666666667</v>
      </c>
      <c r="BP223" s="11" t="n">
        <f aca="false">(BK223/AT223)</f>
        <v>0.0476190476190476</v>
      </c>
      <c r="BQ223" s="11" t="n">
        <f aca="false">(BL223/AU223)</f>
        <v>0.03125</v>
      </c>
      <c r="BR223" s="11" t="n">
        <f aca="false">(BM223/AV223)</f>
        <v>0.125</v>
      </c>
      <c r="BS223" s="11" t="n">
        <f aca="false">(100*BR223)</f>
        <v>12.5</v>
      </c>
      <c r="BT223" s="9" t="n">
        <v>2</v>
      </c>
      <c r="BU223" s="9" t="n">
        <v>0</v>
      </c>
      <c r="BV223" s="9" t="n">
        <v>0</v>
      </c>
      <c r="BW223" s="9" t="n">
        <v>1</v>
      </c>
      <c r="BX223" s="9" t="n">
        <v>0</v>
      </c>
      <c r="BY223" s="11" t="n">
        <f aca="false">(BU223+BV223+BW223+BX223)/4</f>
        <v>0.25</v>
      </c>
      <c r="BZ223" s="11" t="n">
        <f aca="false">(BU223/AR223)</f>
        <v>0</v>
      </c>
      <c r="CA223" s="11" t="n">
        <f aca="false">(BV223/AS223)</f>
        <v>0</v>
      </c>
      <c r="CB223" s="11" t="n">
        <f aca="false">(BW223/AT223)</f>
        <v>0.0238095238095238</v>
      </c>
      <c r="CC223" s="11" t="n">
        <f aca="false">(BX223/AU223)</f>
        <v>0</v>
      </c>
      <c r="CD223" s="11" t="n">
        <f aca="false">(BY223/AV223)</f>
        <v>0.00892857142857143</v>
      </c>
      <c r="CE223" s="11" t="n">
        <f aca="false">(100*CD223)</f>
        <v>0.892857142857143</v>
      </c>
      <c r="CF223" s="9" t="n">
        <v>1</v>
      </c>
      <c r="CG223" s="9" t="n">
        <v>7</v>
      </c>
      <c r="CH223" s="9" t="n">
        <v>8</v>
      </c>
      <c r="CI223" s="9" t="n">
        <v>2</v>
      </c>
      <c r="CJ223" s="9" t="n">
        <v>2</v>
      </c>
      <c r="CK223" s="11" t="n">
        <f aca="false">(CG223+CH223+CI223+CJ223)/4</f>
        <v>4.75</v>
      </c>
      <c r="CL223" s="11" t="n">
        <f aca="false">(CG223/AM223)</f>
        <v>0.132075471698113</v>
      </c>
      <c r="CM223" s="11" t="n">
        <f aca="false">(CH223/AN223)</f>
        <v>0.888888888888889</v>
      </c>
      <c r="CN223" s="11" t="n">
        <f aca="false">(CI223/AO223)</f>
        <v>0.0540540540540541</v>
      </c>
      <c r="CO223" s="9" t="n">
        <f aca="false">(CJ223/AP223)</f>
        <v>0.0384615384615385</v>
      </c>
      <c r="CP223" s="9" t="n">
        <f aca="false">(CK223/AQ223)</f>
        <v>0.125827814569536</v>
      </c>
      <c r="CQ223" s="9" t="n">
        <f aca="false">(100*CP223)</f>
        <v>12.5827814569536</v>
      </c>
      <c r="CR223" s="18" t="n">
        <v>2</v>
      </c>
      <c r="CS223" s="9" t="n">
        <v>59.6</v>
      </c>
      <c r="CT223" s="9" t="n">
        <v>55.2</v>
      </c>
      <c r="CU223" s="9" t="n">
        <v>54.6</v>
      </c>
      <c r="CV223" s="9" t="n">
        <v>56.3</v>
      </c>
      <c r="CW223" s="11" t="n">
        <f aca="false">(CS223+CT223+CU223+CV223)/4</f>
        <v>56.425</v>
      </c>
      <c r="CX223" s="9" t="n">
        <v>0</v>
      </c>
      <c r="CY223" s="9" t="n">
        <v>0</v>
      </c>
      <c r="CZ223" s="9" t="n">
        <v>0</v>
      </c>
      <c r="DA223" s="9" t="n">
        <v>0</v>
      </c>
      <c r="DB223" s="11" t="n">
        <f aca="false">(CX223+CY223+CZ223+DA223)/4</f>
        <v>0</v>
      </c>
      <c r="DC223" s="9" t="n">
        <v>1</v>
      </c>
      <c r="DD223" s="9" t="n">
        <v>1</v>
      </c>
      <c r="DE223" s="9" t="n">
        <v>1</v>
      </c>
      <c r="DF223" s="9" t="n">
        <v>1</v>
      </c>
      <c r="DG223" s="11" t="n">
        <f aca="false">(DC223+DD223+DE223+DF223)/4</f>
        <v>1</v>
      </c>
      <c r="DH223" s="9" t="n">
        <v>1</v>
      </c>
      <c r="DI223" s="9" t="n">
        <v>1</v>
      </c>
      <c r="DJ223" s="9" t="n">
        <v>1</v>
      </c>
      <c r="DK223" s="9" t="n">
        <v>1</v>
      </c>
      <c r="DL223" s="11" t="n">
        <f aca="false">(DH223+DI223+DJ223+DK223)/4</f>
        <v>1</v>
      </c>
      <c r="DM223" s="9" t="n">
        <v>35</v>
      </c>
      <c r="DN223" s="9" t="n">
        <v>50</v>
      </c>
      <c r="DO223" s="9" t="n">
        <v>48</v>
      </c>
      <c r="DP223" s="9" t="n">
        <v>12</v>
      </c>
      <c r="DQ223" s="11" t="n">
        <f aca="false">(DM223+DN223+DO223+DP223)/4</f>
        <v>36.25</v>
      </c>
      <c r="DR223" s="9" t="n">
        <v>4</v>
      </c>
      <c r="DS223" s="9" t="n">
        <v>6</v>
      </c>
      <c r="DT223" s="9" t="n">
        <v>18</v>
      </c>
      <c r="DU223" s="9" t="n">
        <v>6</v>
      </c>
      <c r="DV223" s="11" t="n">
        <f aca="false">(DR223+DS223+DT223+DU223)/4</f>
        <v>8.5</v>
      </c>
      <c r="DW223" s="9" t="n">
        <v>0</v>
      </c>
      <c r="DX223" s="9" t="n">
        <v>0</v>
      </c>
      <c r="DY223" s="9" t="n">
        <v>0</v>
      </c>
      <c r="DZ223" s="9" t="n">
        <v>0</v>
      </c>
      <c r="EA223" s="11" t="n">
        <f aca="false">(DW223+DX223+DY223+DZ223)/4</f>
        <v>0</v>
      </c>
      <c r="EB223" s="11" t="n">
        <f aca="false">(DW223/DR223)</f>
        <v>0</v>
      </c>
      <c r="EC223" s="11" t="n">
        <f aca="false">(DX223/DS223)</f>
        <v>0</v>
      </c>
      <c r="ED223" s="11" t="n">
        <f aca="false">(DY223/DT223)</f>
        <v>0</v>
      </c>
      <c r="EE223" s="11" t="n">
        <f aca="false">(DZ223/DU223)</f>
        <v>0</v>
      </c>
      <c r="EF223" s="11" t="n">
        <f aca="false">(EA223/DV223)</f>
        <v>0</v>
      </c>
      <c r="EG223" s="11" t="n">
        <f aca="false">(100*EF223)</f>
        <v>0</v>
      </c>
      <c r="EH223" s="9" t="n">
        <v>0</v>
      </c>
      <c r="EI223" s="9" t="n">
        <v>2</v>
      </c>
      <c r="EJ223" s="9" t="n">
        <v>4</v>
      </c>
      <c r="EK223" s="19" t="n">
        <v>4</v>
      </c>
      <c r="EL223" s="9" t="n">
        <v>3</v>
      </c>
      <c r="EM223" s="9" t="n">
        <f aca="false">(EI223+EJ223+EK223+EL223)/4</f>
        <v>3.25</v>
      </c>
      <c r="EN223" s="9" t="n">
        <f aca="false">(EI223/DR223)</f>
        <v>0.5</v>
      </c>
      <c r="EO223" s="9" t="n">
        <f aca="false">(EJ223/DS223)</f>
        <v>0.666666666666667</v>
      </c>
      <c r="EP223" s="9" t="n">
        <f aca="false">(EK223/DT223)</f>
        <v>0.222222222222222</v>
      </c>
      <c r="EQ223" s="9" t="n">
        <f aca="false">(EL223/DU223)</f>
        <v>0.5</v>
      </c>
      <c r="ER223" s="9" t="n">
        <f aca="false">EM223/DV223</f>
        <v>0.382352941176471</v>
      </c>
      <c r="ES223" s="9" t="n">
        <f aca="false">(100*ER223)</f>
        <v>38.2352941176471</v>
      </c>
      <c r="ET223" s="9" t="n">
        <v>3</v>
      </c>
      <c r="EU223" s="18" t="n">
        <v>3</v>
      </c>
      <c r="EV223" s="9" t="n">
        <v>1</v>
      </c>
      <c r="EW223" s="9" t="n">
        <v>1</v>
      </c>
      <c r="EX223" s="9" t="n">
        <v>5</v>
      </c>
      <c r="EY223" s="11" t="n">
        <f aca="false">(EU223+EV223+EW223+EX223)/4</f>
        <v>2.5</v>
      </c>
      <c r="EZ223" s="11" t="n">
        <f aca="false">(EU223/DR223)</f>
        <v>0.75</v>
      </c>
      <c r="FA223" s="11" t="n">
        <f aca="false">(EV223/DS223)</f>
        <v>0.166666666666667</v>
      </c>
      <c r="FB223" s="11" t="n">
        <f aca="false">(EW223/DT223)</f>
        <v>0.0555555555555556</v>
      </c>
      <c r="FC223" s="11" t="n">
        <f aca="false">(EX223/DU223)</f>
        <v>0.833333333333333</v>
      </c>
      <c r="FD223" s="11" t="n">
        <f aca="false">(EY223/DV223)</f>
        <v>0.294117647058824</v>
      </c>
      <c r="FE223" s="11" t="n">
        <f aca="false">(100*FD223)</f>
        <v>29.4117647058824</v>
      </c>
      <c r="FF223" s="9" t="n">
        <v>2</v>
      </c>
      <c r="FG223" s="9" t="n">
        <v>2</v>
      </c>
      <c r="FH223" s="9" t="n">
        <v>4</v>
      </c>
      <c r="FI223" s="9" t="n">
        <v>2</v>
      </c>
      <c r="FJ223" s="9" t="n">
        <v>0</v>
      </c>
      <c r="FK223" s="11" t="n">
        <f aca="false">(FG223+FH223+FI223+FJ223)/4</f>
        <v>2</v>
      </c>
      <c r="FL223" s="11" t="n">
        <f aca="false">(FG223/DR223)</f>
        <v>0.5</v>
      </c>
      <c r="FM223" s="11" t="n">
        <f aca="false">(FH223/DS223)</f>
        <v>0.666666666666667</v>
      </c>
      <c r="FN223" s="11" t="n">
        <f aca="false">(FI223/DT223)</f>
        <v>0.111111111111111</v>
      </c>
      <c r="FO223" s="11" t="n">
        <f aca="false">(FJ223/DU223)</f>
        <v>0</v>
      </c>
      <c r="FP223" s="11" t="n">
        <f aca="false">(FK223/DV223)</f>
        <v>0.235294117647059</v>
      </c>
      <c r="FQ223" s="11" t="n">
        <f aca="false">(100*FP223)</f>
        <v>23.5294117647059</v>
      </c>
      <c r="FR223" s="9" t="n">
        <v>2</v>
      </c>
      <c r="FS223" s="9" t="n">
        <v>73</v>
      </c>
      <c r="FT223" s="9" t="n">
        <v>72.1</v>
      </c>
      <c r="FU223" s="9" t="n">
        <v>39.2</v>
      </c>
      <c r="FV223" s="9" t="n">
        <v>79.3</v>
      </c>
      <c r="FW223" s="11" t="n">
        <f aca="false">(FS223+FT223+FU223+FV223)/4</f>
        <v>65.9</v>
      </c>
      <c r="FX223" s="9" t="n">
        <v>0</v>
      </c>
      <c r="FY223" s="9" t="n">
        <v>0</v>
      </c>
      <c r="FZ223" s="9" t="n">
        <v>0</v>
      </c>
      <c r="GA223" s="9" t="n">
        <v>1</v>
      </c>
      <c r="GB223" s="11" t="n">
        <f aca="false">(FX223+FY223+FZ223+GA223)/4</f>
        <v>0.25</v>
      </c>
      <c r="GC223" s="9" t="n">
        <v>1</v>
      </c>
      <c r="GD223" s="9" t="n">
        <v>1</v>
      </c>
      <c r="GE223" s="9" t="n">
        <v>1</v>
      </c>
      <c r="GF223" s="9" t="n">
        <v>1</v>
      </c>
      <c r="GG223" s="11" t="n">
        <f aca="false">(GC223+GD223+GE223+GF223)/4</f>
        <v>1</v>
      </c>
      <c r="GH223" s="9" t="n">
        <v>1</v>
      </c>
      <c r="GI223" s="9" t="n">
        <v>0</v>
      </c>
      <c r="GJ223" s="9" t="n">
        <v>1</v>
      </c>
      <c r="GK223" s="9" t="n">
        <v>0</v>
      </c>
      <c r="GL223" s="11" t="n">
        <f aca="false">(GH223+GI223+GJ223+GK223)/4</f>
        <v>0.5</v>
      </c>
      <c r="GM223" s="9" t="n">
        <v>104</v>
      </c>
      <c r="GN223" s="9" t="n">
        <v>66</v>
      </c>
      <c r="GO223" s="9" t="n">
        <v>26</v>
      </c>
      <c r="GP223" s="9" t="n">
        <v>6</v>
      </c>
      <c r="GQ223" s="11" t="n">
        <f aca="false">(GM223+GN223+GO223+GP223)/4</f>
        <v>50.5</v>
      </c>
      <c r="GR223" s="9" t="n">
        <v>16</v>
      </c>
      <c r="GS223" s="9" t="n">
        <v>13</v>
      </c>
      <c r="GT223" s="9" t="n">
        <v>12</v>
      </c>
      <c r="GU223" s="9" t="n">
        <v>23</v>
      </c>
      <c r="GV223" s="11" t="n">
        <f aca="false">(GR223+GS223+GT223+GU223)/4</f>
        <v>16</v>
      </c>
      <c r="GW223" s="9" t="n">
        <v>0</v>
      </c>
      <c r="GX223" s="9" t="n">
        <v>0</v>
      </c>
      <c r="GY223" s="9" t="n">
        <v>0</v>
      </c>
      <c r="GZ223" s="9" t="n">
        <v>2</v>
      </c>
      <c r="HA223" s="11" t="n">
        <f aca="false">(GW223+GX223+GY223+GZ223)/4</f>
        <v>0.5</v>
      </c>
      <c r="HB223" s="9"/>
      <c r="HC223" s="9" t="n">
        <f aca="false">(GX223/GS223)</f>
        <v>0</v>
      </c>
      <c r="HD223" s="9" t="n">
        <f aca="false">(GY223/GT223)</f>
        <v>0</v>
      </c>
      <c r="HE223" s="9" t="n">
        <f aca="false">(GZ223/GU223)/4</f>
        <v>0.0217391304347826</v>
      </c>
      <c r="HF223" s="9" t="n">
        <f aca="false">(HB223+HC223+HD223+HE223)/4</f>
        <v>0.00543478260869565</v>
      </c>
      <c r="HG223" s="9" t="n">
        <f aca="false">(100*HF223)</f>
        <v>0.543478260869565</v>
      </c>
      <c r="HH223" s="18" t="n">
        <v>1</v>
      </c>
      <c r="HI223" s="9" t="n">
        <v>3</v>
      </c>
      <c r="HJ223" s="9" t="n">
        <v>2</v>
      </c>
      <c r="HK223" s="9" t="n">
        <v>1</v>
      </c>
      <c r="HL223" s="19" t="n">
        <v>3</v>
      </c>
      <c r="HM223" s="9" t="n">
        <f aca="false">(HI223+HJ223+HK223+HL223)/4</f>
        <v>2.25</v>
      </c>
      <c r="HN223" s="9" t="n">
        <f aca="false">(HI223/GR223)</f>
        <v>0.1875</v>
      </c>
      <c r="HO223" s="9" t="n">
        <f aca="false">(HJ223/GS223)</f>
        <v>0.153846153846154</v>
      </c>
      <c r="HP223" s="9" t="n">
        <f aca="false">(HK223/GT223)</f>
        <v>0.0833333333333333</v>
      </c>
      <c r="HQ223" s="9" t="n">
        <f aca="false">(HL223/GU223)</f>
        <v>0.130434782608696</v>
      </c>
      <c r="HR223" s="9" t="n">
        <f aca="false">(HM223/GV223)</f>
        <v>0.140625</v>
      </c>
      <c r="HS223" s="9" t="n">
        <f aca="false">(100*HR223)</f>
        <v>14.0625</v>
      </c>
      <c r="HT223" s="18" t="n">
        <v>2</v>
      </c>
      <c r="HU223" s="9" t="n">
        <v>3</v>
      </c>
      <c r="HV223" s="9" t="n">
        <v>0</v>
      </c>
      <c r="HW223" s="9" t="n">
        <v>1</v>
      </c>
      <c r="HX223" s="19" t="n">
        <v>0</v>
      </c>
      <c r="HY223" s="9" t="n">
        <f aca="false">(HU223+HV223+HW223+HX223)/4</f>
        <v>1</v>
      </c>
      <c r="HZ223" s="9" t="n">
        <f aca="false">(HU223/GR223)</f>
        <v>0.1875</v>
      </c>
      <c r="IA223" s="9" t="n">
        <f aca="false">HV223/GS223</f>
        <v>0</v>
      </c>
      <c r="IB223" s="9" t="n">
        <f aca="false">(HW223/GT223)</f>
        <v>0.0833333333333333</v>
      </c>
      <c r="IC223" s="9" t="n">
        <f aca="false">(HX223/GU223)</f>
        <v>0</v>
      </c>
      <c r="ID223" s="9" t="n">
        <f aca="false">(HY223/GV223)</f>
        <v>0.0625</v>
      </c>
      <c r="IE223" s="9" t="n">
        <f aca="false">(100*ID223)</f>
        <v>6.25</v>
      </c>
      <c r="IF223" s="18" t="n">
        <v>1</v>
      </c>
      <c r="IG223" s="9" t="n">
        <v>3</v>
      </c>
      <c r="IH223" s="9" t="n">
        <v>0</v>
      </c>
      <c r="II223" s="19" t="n">
        <v>2</v>
      </c>
      <c r="IJ223" s="9" t="n">
        <v>0</v>
      </c>
      <c r="IK223" s="9" t="n">
        <f aca="false">(IG223+IH223+II223+IJ223)/4</f>
        <v>1.25</v>
      </c>
      <c r="IL223" s="9" t="n">
        <f aca="false">(IG223/GM223)</f>
        <v>0.0288461538461538</v>
      </c>
      <c r="IM223" s="9" t="n">
        <f aca="false">(IH223/GN223)</f>
        <v>0</v>
      </c>
      <c r="IN223" s="9" t="n">
        <f aca="false">(II223/GO223)</f>
        <v>0.0769230769230769</v>
      </c>
      <c r="IO223" s="9" t="n">
        <f aca="false">(IJ223/GP223)</f>
        <v>0</v>
      </c>
      <c r="IP223" s="9" t="n">
        <f aca="false">(IK223/GQ223)</f>
        <v>0.0247524752475248</v>
      </c>
      <c r="IQ223" s="9" t="n">
        <f aca="false">(100*IP223)</f>
        <v>2.47524752475248</v>
      </c>
      <c r="IR223" s="18" t="n">
        <v>1</v>
      </c>
      <c r="IS223" s="9" t="n">
        <v>69.2</v>
      </c>
      <c r="IT223" s="9" t="n">
        <v>59.3</v>
      </c>
      <c r="IU223" s="19" t="n">
        <v>86.3</v>
      </c>
      <c r="IV223" s="9" t="n">
        <v>68.6</v>
      </c>
      <c r="IW223" s="9" t="n">
        <f aca="false">(IS223+IT223+IU223+IV223)/4</f>
        <v>70.85</v>
      </c>
      <c r="IX223" s="16" t="n">
        <v>45241</v>
      </c>
      <c r="IY223" s="10" t="s">
        <v>268</v>
      </c>
    </row>
    <row r="224" customFormat="false" ht="15.75" hidden="false" customHeight="true" outlineLevel="0" collapsed="false">
      <c r="A224" s="9" t="s">
        <v>299</v>
      </c>
      <c r="B224" s="10" t="s">
        <v>770</v>
      </c>
      <c r="C224" s="10" t="s">
        <v>727</v>
      </c>
      <c r="D224" s="9" t="n">
        <v>4</v>
      </c>
      <c r="E224" s="9" t="n">
        <v>75</v>
      </c>
      <c r="F224" s="10" t="s">
        <v>771</v>
      </c>
      <c r="G224" s="10" t="s">
        <v>394</v>
      </c>
      <c r="H224" s="9" t="n">
        <v>21</v>
      </c>
      <c r="I224" s="9" t="n">
        <v>3</v>
      </c>
      <c r="J224" s="12" t="s">
        <v>264</v>
      </c>
      <c r="K224" s="13" t="s">
        <v>772</v>
      </c>
      <c r="L224" s="13" t="s">
        <v>773</v>
      </c>
      <c r="M224" s="14" t="n">
        <v>1307</v>
      </c>
      <c r="N224" s="15" t="n">
        <v>45135</v>
      </c>
      <c r="O224" s="10" t="s">
        <v>267</v>
      </c>
      <c r="P224" s="9"/>
      <c r="Q224" s="9" t="n">
        <v>2.96</v>
      </c>
      <c r="R224" s="9" t="n">
        <v>14</v>
      </c>
      <c r="S224" s="9" t="n">
        <v>-10</v>
      </c>
      <c r="T224" s="9" t="n">
        <v>130</v>
      </c>
      <c r="U224" s="9"/>
      <c r="V224" s="9" t="n">
        <v>2.24</v>
      </c>
      <c r="W224" s="9"/>
      <c r="X224" s="9" t="n">
        <v>0</v>
      </c>
      <c r="Y224" s="9" t="n">
        <v>0</v>
      </c>
      <c r="Z224" s="9" t="n">
        <v>0</v>
      </c>
      <c r="AA224" s="9" t="n">
        <v>0</v>
      </c>
      <c r="AB224" s="11" t="n">
        <f aca="false">(X224+Y224+Z224+AA224)/4</f>
        <v>0</v>
      </c>
      <c r="AC224" s="9" t="n">
        <v>1</v>
      </c>
      <c r="AD224" s="9" t="n">
        <v>1</v>
      </c>
      <c r="AE224" s="9" t="n">
        <v>1</v>
      </c>
      <c r="AF224" s="9" t="n">
        <v>1</v>
      </c>
      <c r="AG224" s="11" t="n">
        <f aca="false">(AC224+AD224+AE224+AF224)/4</f>
        <v>1</v>
      </c>
      <c r="AH224" s="9" t="n">
        <v>1</v>
      </c>
      <c r="AI224" s="9" t="n">
        <v>1</v>
      </c>
      <c r="AJ224" s="9" t="n">
        <v>1</v>
      </c>
      <c r="AK224" s="9" t="n">
        <v>1</v>
      </c>
      <c r="AL224" s="11" t="n">
        <f aca="false">(AH224+AI224+AJ224+AK224)/4</f>
        <v>1</v>
      </c>
      <c r="AM224" s="9" t="n">
        <v>28</v>
      </c>
      <c r="AN224" s="9" t="n">
        <v>52</v>
      </c>
      <c r="AO224" s="9" t="n">
        <v>64</v>
      </c>
      <c r="AP224" s="9" t="n">
        <v>45</v>
      </c>
      <c r="AQ224" s="11" t="n">
        <f aca="false">(AM224+AN224+AO224+AP224)/4</f>
        <v>47.25</v>
      </c>
      <c r="AR224" s="9" t="n">
        <v>13</v>
      </c>
      <c r="AS224" s="9" t="n">
        <v>10</v>
      </c>
      <c r="AT224" s="9" t="n">
        <v>6</v>
      </c>
      <c r="AU224" s="9" t="n">
        <v>12</v>
      </c>
      <c r="AV224" s="11" t="n">
        <f aca="false">(AR224+AS224+AT224+AU224)/4</f>
        <v>10.25</v>
      </c>
      <c r="AW224" s="9" t="n">
        <v>0</v>
      </c>
      <c r="AX224" s="9" t="n">
        <v>0</v>
      </c>
      <c r="AY224" s="9" t="n">
        <v>0</v>
      </c>
      <c r="AZ224" s="9" t="n">
        <v>0</v>
      </c>
      <c r="BA224" s="11" t="n">
        <f aca="false">(AW224+AX224+AY224+AZ224)/4</f>
        <v>0</v>
      </c>
      <c r="BB224" s="11" t="n">
        <f aca="false">(AW224/AR224)</f>
        <v>0</v>
      </c>
      <c r="BC224" s="11" t="n">
        <f aca="false">(AX224/AS224)</f>
        <v>0</v>
      </c>
      <c r="BD224" s="11" t="n">
        <f aca="false">(AY224/AT224)</f>
        <v>0</v>
      </c>
      <c r="BE224" s="11" t="n">
        <f aca="false">(AZ224/AU224)</f>
        <v>0</v>
      </c>
      <c r="BF224" s="11" t="n">
        <f aca="false">(BA224/AV224)</f>
        <v>0</v>
      </c>
      <c r="BG224" s="11" t="n">
        <f aca="false">(BF224*100)</f>
        <v>0</v>
      </c>
      <c r="BH224" s="9" t="n">
        <v>0</v>
      </c>
      <c r="BI224" s="9" t="n">
        <v>5</v>
      </c>
      <c r="BJ224" s="9" t="n">
        <v>6</v>
      </c>
      <c r="BK224" s="9" t="n">
        <v>4</v>
      </c>
      <c r="BL224" s="9" t="n">
        <v>7</v>
      </c>
      <c r="BM224" s="11" t="n">
        <f aca="false">(BI224+BJ224+BK224+BL224)/4</f>
        <v>5.5</v>
      </c>
      <c r="BN224" s="11" t="n">
        <f aca="false">(BI224/AR224)</f>
        <v>0.384615384615385</v>
      </c>
      <c r="BO224" s="11" t="n">
        <f aca="false">(BJ224/AS224)</f>
        <v>0.6</v>
      </c>
      <c r="BP224" s="11" t="n">
        <f aca="false">(BK224/AT224)</f>
        <v>0.666666666666667</v>
      </c>
      <c r="BQ224" s="11" t="n">
        <f aca="false">(BL224/AU224)</f>
        <v>0.583333333333333</v>
      </c>
      <c r="BR224" s="11" t="n">
        <f aca="false">(BM224/AV224)</f>
        <v>0.536585365853659</v>
      </c>
      <c r="BS224" s="11" t="n">
        <f aca="false">(100*BR224)</f>
        <v>53.6585365853659</v>
      </c>
      <c r="BT224" s="9" t="n">
        <v>3</v>
      </c>
      <c r="BU224" s="9" t="n">
        <v>0</v>
      </c>
      <c r="BV224" s="9" t="n">
        <v>0</v>
      </c>
      <c r="BW224" s="9" t="n">
        <v>0</v>
      </c>
      <c r="BX224" s="9" t="n">
        <v>0</v>
      </c>
      <c r="BY224" s="11" t="n">
        <f aca="false">(BU224+BV224+BW224+BX224)/4</f>
        <v>0</v>
      </c>
      <c r="BZ224" s="11" t="n">
        <f aca="false">(BU224/AR224)</f>
        <v>0</v>
      </c>
      <c r="CA224" s="11" t="n">
        <f aca="false">(BV224/AS224)</f>
        <v>0</v>
      </c>
      <c r="CB224" s="11" t="n">
        <f aca="false">(BW224/AT224)</f>
        <v>0</v>
      </c>
      <c r="CC224" s="11" t="n">
        <f aca="false">(BX224/AU224)</f>
        <v>0</v>
      </c>
      <c r="CD224" s="11" t="n">
        <f aca="false">(BY224/AV224)</f>
        <v>0</v>
      </c>
      <c r="CE224" s="11" t="n">
        <f aca="false">(100*CD224)</f>
        <v>0</v>
      </c>
      <c r="CF224" s="9" t="n">
        <v>0</v>
      </c>
      <c r="CG224" s="9" t="n">
        <v>7</v>
      </c>
      <c r="CH224" s="9" t="n">
        <v>19</v>
      </c>
      <c r="CI224" s="9" t="n">
        <v>5</v>
      </c>
      <c r="CJ224" s="9" t="n">
        <v>7</v>
      </c>
      <c r="CK224" s="11" t="n">
        <f aca="false">(CG224+CH224+CI224+CJ224)/4</f>
        <v>9.5</v>
      </c>
      <c r="CL224" s="11" t="n">
        <f aca="false">(CG224/AM224)</f>
        <v>0.25</v>
      </c>
      <c r="CM224" s="11" t="n">
        <f aca="false">(CH224/AN224)</f>
        <v>0.365384615384615</v>
      </c>
      <c r="CN224" s="11" t="n">
        <f aca="false">(CI224/AO224)</f>
        <v>0.078125</v>
      </c>
      <c r="CO224" s="9" t="n">
        <f aca="false">(CJ224/AP224)</f>
        <v>0.155555555555556</v>
      </c>
      <c r="CP224" s="9" t="n">
        <f aca="false">(CK224/AQ224)</f>
        <v>0.201058201058201</v>
      </c>
      <c r="CQ224" s="9" t="n">
        <f aca="false">(100*CP224)</f>
        <v>20.1058201058201</v>
      </c>
      <c r="CR224" s="18" t="n">
        <v>2</v>
      </c>
      <c r="CS224" s="9" t="n">
        <v>63</v>
      </c>
      <c r="CT224" s="9" t="n">
        <v>64.3</v>
      </c>
      <c r="CU224" s="9" t="n">
        <v>66.2</v>
      </c>
      <c r="CV224" s="9" t="n">
        <v>62.3</v>
      </c>
      <c r="CW224" s="11" t="n">
        <f aca="false">(CS224+CT224+CU224+CV224)/4</f>
        <v>63.95</v>
      </c>
      <c r="CX224" s="9" t="n">
        <v>0</v>
      </c>
      <c r="CY224" s="9" t="n">
        <v>1</v>
      </c>
      <c r="CZ224" s="9" t="n">
        <v>0</v>
      </c>
      <c r="DA224" s="9" t="n">
        <v>1</v>
      </c>
      <c r="DB224" s="11" t="n">
        <f aca="false">(CX224+CY224+CZ224+DA224)/4</f>
        <v>0.5</v>
      </c>
      <c r="DC224" s="9" t="n">
        <v>1</v>
      </c>
      <c r="DD224" s="9" t="n">
        <v>1</v>
      </c>
      <c r="DE224" s="9" t="n">
        <v>1</v>
      </c>
      <c r="DF224" s="9" t="n">
        <v>1</v>
      </c>
      <c r="DG224" s="11" t="n">
        <f aca="false">(DC224+DD224+DE224+DF224)/4</f>
        <v>1</v>
      </c>
      <c r="DH224" s="9" t="n">
        <v>1</v>
      </c>
      <c r="DI224" s="9" t="n">
        <v>1</v>
      </c>
      <c r="DJ224" s="9" t="n">
        <v>1</v>
      </c>
      <c r="DK224" s="9" t="n">
        <v>1</v>
      </c>
      <c r="DL224" s="11" t="n">
        <f aca="false">(DH224+DI224+DJ224+DK224)/4</f>
        <v>1</v>
      </c>
      <c r="DM224" s="9" t="n">
        <v>122</v>
      </c>
      <c r="DN224" s="9" t="n">
        <v>56</v>
      </c>
      <c r="DO224" s="9" t="n">
        <v>102</v>
      </c>
      <c r="DP224" s="9" t="n">
        <v>40</v>
      </c>
      <c r="DQ224" s="11" t="n">
        <f aca="false">(DM224+DN224+DO224+DP224)/4</f>
        <v>80</v>
      </c>
      <c r="DR224" s="9" t="n">
        <v>23</v>
      </c>
      <c r="DS224" s="9" t="n">
        <v>18</v>
      </c>
      <c r="DT224" s="9" t="n">
        <v>34</v>
      </c>
      <c r="DU224" s="9" t="n">
        <v>30</v>
      </c>
      <c r="DV224" s="11" t="n">
        <f aca="false">(DR224+DS224+DT224+DU224)/4</f>
        <v>26.25</v>
      </c>
      <c r="DW224" s="9" t="n">
        <v>0</v>
      </c>
      <c r="DX224" s="9" t="n">
        <v>2</v>
      </c>
      <c r="DY224" s="9" t="n">
        <v>0</v>
      </c>
      <c r="DZ224" s="9" t="n">
        <v>1</v>
      </c>
      <c r="EA224" s="11" t="n">
        <f aca="false">(DW224+DX224+DY224+DZ224)/4</f>
        <v>0.75</v>
      </c>
      <c r="EB224" s="11" t="n">
        <f aca="false">(DW224/DR224)</f>
        <v>0</v>
      </c>
      <c r="EC224" s="11" t="n">
        <f aca="false">(DX224/DS224)</f>
        <v>0.111111111111111</v>
      </c>
      <c r="ED224" s="11" t="n">
        <f aca="false">(DY224/DT224)</f>
        <v>0</v>
      </c>
      <c r="EE224" s="11" t="n">
        <f aca="false">(DZ224/DU224)</f>
        <v>0.0333333333333333</v>
      </c>
      <c r="EF224" s="11" t="n">
        <f aca="false">(EA224/DV224)</f>
        <v>0.0285714285714286</v>
      </c>
      <c r="EG224" s="11" t="n">
        <f aca="false">(100*EF224)</f>
        <v>2.85714285714286</v>
      </c>
      <c r="EH224" s="9" t="n">
        <v>1</v>
      </c>
      <c r="EI224" s="9" t="n">
        <v>10</v>
      </c>
      <c r="EJ224" s="9" t="n">
        <v>7</v>
      </c>
      <c r="EK224" s="19" t="n">
        <v>15</v>
      </c>
      <c r="EL224" s="9" t="n">
        <v>10</v>
      </c>
      <c r="EM224" s="9" t="n">
        <f aca="false">(EI224+EJ224+EK224+EL224)/4</f>
        <v>10.5</v>
      </c>
      <c r="EN224" s="9" t="n">
        <f aca="false">(EI224/DR224)</f>
        <v>0.434782608695652</v>
      </c>
      <c r="EO224" s="9" t="n">
        <f aca="false">(EJ224/DS224)</f>
        <v>0.388888888888889</v>
      </c>
      <c r="EP224" s="9" t="n">
        <f aca="false">(EK224/DT224)</f>
        <v>0.441176470588235</v>
      </c>
      <c r="EQ224" s="9" t="n">
        <f aca="false">(EL224/DU224)</f>
        <v>0.333333333333333</v>
      </c>
      <c r="ER224" s="9" t="n">
        <f aca="false">EM224/DV224</f>
        <v>0.4</v>
      </c>
      <c r="ES224" s="9" t="n">
        <f aca="false">(100*ER224)</f>
        <v>40</v>
      </c>
      <c r="ET224" s="9" t="n">
        <v>3</v>
      </c>
      <c r="EU224" s="18" t="n">
        <v>0</v>
      </c>
      <c r="EV224" s="9" t="n">
        <v>0</v>
      </c>
      <c r="EW224" s="9" t="n">
        <v>0</v>
      </c>
      <c r="EX224" s="9" t="n">
        <v>0</v>
      </c>
      <c r="EY224" s="11" t="n">
        <f aca="false">(EU224+EV224+EW224+EX224)/4</f>
        <v>0</v>
      </c>
      <c r="EZ224" s="11" t="n">
        <f aca="false">(EU224/DR224)</f>
        <v>0</v>
      </c>
      <c r="FA224" s="11" t="n">
        <f aca="false">(EV224/DS224)</f>
        <v>0</v>
      </c>
      <c r="FB224" s="11" t="n">
        <f aca="false">(EW224/DT224)</f>
        <v>0</v>
      </c>
      <c r="FC224" s="11" t="n">
        <f aca="false">(EX224/DU224)</f>
        <v>0</v>
      </c>
      <c r="FD224" s="11" t="n">
        <f aca="false">(EY224/DV224)</f>
        <v>0</v>
      </c>
      <c r="FE224" s="11" t="n">
        <f aca="false">(100*FD224)</f>
        <v>0</v>
      </c>
      <c r="FF224" s="9" t="n">
        <v>0</v>
      </c>
      <c r="FG224" s="9" t="n">
        <v>14</v>
      </c>
      <c r="FH224" s="9" t="n">
        <v>22</v>
      </c>
      <c r="FI224" s="9" t="n">
        <v>29</v>
      </c>
      <c r="FJ224" s="9" t="n">
        <v>4</v>
      </c>
      <c r="FK224" s="11" t="n">
        <f aca="false">(FG224+FH224+FI224+FJ224)/4</f>
        <v>17.25</v>
      </c>
      <c r="FL224" s="11" t="n">
        <f aca="false">(FG224/DR224)</f>
        <v>0.608695652173913</v>
      </c>
      <c r="FM224" s="11" t="n">
        <f aca="false">(FH224/DS224)</f>
        <v>1.22222222222222</v>
      </c>
      <c r="FN224" s="11" t="n">
        <f aca="false">(FI224/DT224)</f>
        <v>0.852941176470588</v>
      </c>
      <c r="FO224" s="11" t="n">
        <f aca="false">(FJ224/DU224)</f>
        <v>0.133333333333333</v>
      </c>
      <c r="FP224" s="11" t="n">
        <f aca="false">(FK224/DV224)</f>
        <v>0.657142857142857</v>
      </c>
      <c r="FQ224" s="11" t="n">
        <f aca="false">(100*FP224)</f>
        <v>65.7142857142857</v>
      </c>
      <c r="FR224" s="9" t="n">
        <v>3</v>
      </c>
      <c r="FS224" s="9" t="n">
        <v>77.6</v>
      </c>
      <c r="FT224" s="9" t="n">
        <v>47.4</v>
      </c>
      <c r="FU224" s="9" t="n">
        <v>66.7</v>
      </c>
      <c r="FV224" s="9" t="n">
        <v>56.8</v>
      </c>
      <c r="FW224" s="11" t="n">
        <f aca="false">(FS224+FT224+FU224+FV224)/4</f>
        <v>62.125</v>
      </c>
      <c r="FX224" s="9" t="n">
        <v>0</v>
      </c>
      <c r="FY224" s="9" t="n">
        <v>0</v>
      </c>
      <c r="FZ224" s="9" t="n">
        <v>0</v>
      </c>
      <c r="GA224" s="9" t="n">
        <v>0</v>
      </c>
      <c r="GB224" s="11" t="n">
        <f aca="false">(FX224+FY224+FZ224+GA224)/4</f>
        <v>0</v>
      </c>
      <c r="GC224" s="9" t="n">
        <v>1</v>
      </c>
      <c r="GD224" s="9" t="n">
        <v>1</v>
      </c>
      <c r="GE224" s="9" t="n">
        <v>1</v>
      </c>
      <c r="GF224" s="9" t="n">
        <v>1</v>
      </c>
      <c r="GG224" s="11" t="n">
        <f aca="false">(GC224+GD224+GE224+GF224)/4</f>
        <v>1</v>
      </c>
      <c r="GH224" s="9" t="n">
        <v>1</v>
      </c>
      <c r="GI224" s="9" t="n">
        <v>1</v>
      </c>
      <c r="GJ224" s="9" t="n">
        <v>1</v>
      </c>
      <c r="GK224" s="9" t="n">
        <v>1</v>
      </c>
      <c r="GL224" s="11" t="n">
        <f aca="false">(GH224+GI224+GJ224+GK224)/4</f>
        <v>1</v>
      </c>
      <c r="GM224" s="9" t="n">
        <v>148</v>
      </c>
      <c r="GN224" s="9" t="n">
        <v>47</v>
      </c>
      <c r="GO224" s="9" t="n">
        <v>48</v>
      </c>
      <c r="GP224" s="9" t="n">
        <v>126</v>
      </c>
      <c r="GQ224" s="11" t="n">
        <f aca="false">(GM224+GN224+GO224+GP224)/4</f>
        <v>92.25</v>
      </c>
      <c r="GR224" s="9" t="n">
        <v>32</v>
      </c>
      <c r="GS224" s="9" t="n">
        <v>25</v>
      </c>
      <c r="GT224" s="9" t="n">
        <v>16</v>
      </c>
      <c r="GU224" s="9" t="n">
        <v>16</v>
      </c>
      <c r="GV224" s="11" t="n">
        <f aca="false">(GR224+GS224+GT224+GU224)/4</f>
        <v>22.25</v>
      </c>
      <c r="GW224" s="9" t="n">
        <v>0</v>
      </c>
      <c r="GX224" s="9" t="n">
        <v>0</v>
      </c>
      <c r="GY224" s="9" t="n">
        <v>0</v>
      </c>
      <c r="GZ224" s="9" t="n">
        <v>0</v>
      </c>
      <c r="HA224" s="11" t="n">
        <f aca="false">(GW224+GX224+GY224+GZ224)/4</f>
        <v>0</v>
      </c>
      <c r="HB224" s="9"/>
      <c r="HC224" s="9" t="n">
        <f aca="false">(GX224/GS224)</f>
        <v>0</v>
      </c>
      <c r="HD224" s="9" t="n">
        <f aca="false">(GY224/GT224)</f>
        <v>0</v>
      </c>
      <c r="HE224" s="9" t="n">
        <f aca="false">(GZ224/GU224)/4</f>
        <v>0</v>
      </c>
      <c r="HF224" s="9" t="n">
        <f aca="false">(HB224+HC224+HD224+HE224)/4</f>
        <v>0</v>
      </c>
      <c r="HG224" s="9" t="n">
        <f aca="false">(100*HF224)</f>
        <v>0</v>
      </c>
      <c r="HH224" s="18" t="n">
        <v>0</v>
      </c>
      <c r="HI224" s="9" t="n">
        <v>11</v>
      </c>
      <c r="HJ224" s="9" t="n">
        <v>9</v>
      </c>
      <c r="HK224" s="9" t="n">
        <v>6</v>
      </c>
      <c r="HL224" s="19" t="n">
        <v>7</v>
      </c>
      <c r="HM224" s="9" t="n">
        <f aca="false">(HI224+HJ224+HK224+HL224)/4</f>
        <v>8.25</v>
      </c>
      <c r="HN224" s="9" t="n">
        <f aca="false">(HI224/GR224)</f>
        <v>0.34375</v>
      </c>
      <c r="HO224" s="9" t="n">
        <f aca="false">(HJ224/GS224)</f>
        <v>0.36</v>
      </c>
      <c r="HP224" s="9" t="n">
        <f aca="false">(HK224/GT224)</f>
        <v>0.375</v>
      </c>
      <c r="HQ224" s="9" t="n">
        <f aca="false">(HL224/GU224)</f>
        <v>0.4375</v>
      </c>
      <c r="HR224" s="9" t="n">
        <f aca="false">(HM224/GV224)</f>
        <v>0.370786516853933</v>
      </c>
      <c r="HS224" s="9" t="n">
        <f aca="false">(100*HR224)</f>
        <v>37.0786516853933</v>
      </c>
      <c r="HT224" s="18" t="n">
        <v>3</v>
      </c>
      <c r="HU224" s="9" t="n">
        <v>0</v>
      </c>
      <c r="HV224" s="9" t="n">
        <v>0</v>
      </c>
      <c r="HW224" s="9" t="n">
        <v>0</v>
      </c>
      <c r="HX224" s="19" t="n">
        <v>0</v>
      </c>
      <c r="HY224" s="9" t="n">
        <f aca="false">(HU224+HV224+HW224+HX224)/4</f>
        <v>0</v>
      </c>
      <c r="HZ224" s="9" t="n">
        <f aca="false">(HU224/GR224)</f>
        <v>0</v>
      </c>
      <c r="IA224" s="9" t="n">
        <f aca="false">HV224/GS224</f>
        <v>0</v>
      </c>
      <c r="IB224" s="9" t="n">
        <f aca="false">(HW224/GT224)</f>
        <v>0</v>
      </c>
      <c r="IC224" s="9" t="n">
        <f aca="false">(HX224/GU224)</f>
        <v>0</v>
      </c>
      <c r="ID224" s="9" t="n">
        <f aca="false">(HY224/GV224)</f>
        <v>0</v>
      </c>
      <c r="IE224" s="9" t="n">
        <f aca="false">(100*ID224)</f>
        <v>0</v>
      </c>
      <c r="IF224" s="18" t="n">
        <v>0</v>
      </c>
      <c r="IG224" s="9" t="n">
        <v>11</v>
      </c>
      <c r="IH224" s="9" t="n">
        <v>7</v>
      </c>
      <c r="II224" s="19" t="n">
        <v>5</v>
      </c>
      <c r="IJ224" s="9" t="n">
        <v>12</v>
      </c>
      <c r="IK224" s="9" t="n">
        <f aca="false">(IG224+IH224+II224+IJ224)/4</f>
        <v>8.75</v>
      </c>
      <c r="IL224" s="9" t="n">
        <f aca="false">(IG224/GM224)</f>
        <v>0.0743243243243243</v>
      </c>
      <c r="IM224" s="9" t="n">
        <f aca="false">(IH224/GN224)</f>
        <v>0.148936170212766</v>
      </c>
      <c r="IN224" s="9" t="n">
        <f aca="false">(II224/GO224)</f>
        <v>0.104166666666667</v>
      </c>
      <c r="IO224" s="9" t="n">
        <f aca="false">(IJ224/GP224)</f>
        <v>0.0952380952380952</v>
      </c>
      <c r="IP224" s="9" t="n">
        <f aca="false">(IK224/GQ224)</f>
        <v>0.0948509485094851</v>
      </c>
      <c r="IQ224" s="9" t="n">
        <f aca="false">(100*IP224)</f>
        <v>9.48509485094851</v>
      </c>
      <c r="IR224" s="18" t="n">
        <v>1</v>
      </c>
      <c r="IS224" s="9" t="n">
        <v>65.4</v>
      </c>
      <c r="IT224" s="9" t="n">
        <v>56.4</v>
      </c>
      <c r="IU224" s="19" t="n">
        <v>69.7</v>
      </c>
      <c r="IV224" s="9" t="n">
        <v>61.4</v>
      </c>
      <c r="IW224" s="9" t="n">
        <f aca="false">(IS224+IT224+IU224+IV224)/4</f>
        <v>63.225</v>
      </c>
      <c r="IX224" s="16" t="n">
        <v>45211</v>
      </c>
      <c r="IY224" s="10" t="s">
        <v>268</v>
      </c>
    </row>
    <row r="225" customFormat="false" ht="15.75" hidden="false" customHeight="true" outlineLevel="0" collapsed="false">
      <c r="A225" s="9" t="s">
        <v>299</v>
      </c>
      <c r="B225" s="10" t="s">
        <v>770</v>
      </c>
      <c r="C225" s="10" t="s">
        <v>727</v>
      </c>
      <c r="D225" s="9" t="n">
        <v>4</v>
      </c>
      <c r="E225" s="9" t="n">
        <v>75</v>
      </c>
      <c r="F225" s="10" t="s">
        <v>774</v>
      </c>
      <c r="G225" s="10" t="s">
        <v>275</v>
      </c>
      <c r="H225" s="9" t="n">
        <v>21</v>
      </c>
      <c r="I225" s="9" t="n">
        <v>10</v>
      </c>
      <c r="J225" s="12" t="s">
        <v>270</v>
      </c>
      <c r="K225" s="20"/>
      <c r="L225" s="20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 t="n">
        <v>1</v>
      </c>
      <c r="Y225" s="9" t="n">
        <v>0</v>
      </c>
      <c r="Z225" s="9" t="n">
        <v>1</v>
      </c>
      <c r="AA225" s="9" t="n">
        <v>0</v>
      </c>
      <c r="AB225" s="11" t="n">
        <f aca="false">(X225+Y225+Z225+AA225)/4</f>
        <v>0.5</v>
      </c>
      <c r="AC225" s="9" t="n">
        <v>1</v>
      </c>
      <c r="AD225" s="9" t="n">
        <v>1</v>
      </c>
      <c r="AE225" s="9" t="n">
        <v>1</v>
      </c>
      <c r="AF225" s="9" t="n">
        <v>1</v>
      </c>
      <c r="AG225" s="11" t="n">
        <f aca="false">(AC225+AD225+AE225+AF225)/4</f>
        <v>1</v>
      </c>
      <c r="AH225" s="9" t="n">
        <v>1</v>
      </c>
      <c r="AI225" s="9" t="n">
        <v>1</v>
      </c>
      <c r="AJ225" s="9" t="n">
        <v>1</v>
      </c>
      <c r="AK225" s="9" t="n">
        <v>1</v>
      </c>
      <c r="AL225" s="11" t="n">
        <f aca="false">(AH225+AI225+AJ225+AK225)/4</f>
        <v>1</v>
      </c>
      <c r="AM225" s="9" t="n">
        <v>54</v>
      </c>
      <c r="AN225" s="9" t="n">
        <v>54</v>
      </c>
      <c r="AO225" s="9" t="n">
        <v>108</v>
      </c>
      <c r="AP225" s="9" t="n">
        <v>57</v>
      </c>
      <c r="AQ225" s="11" t="n">
        <f aca="false">(AM225+AN225+AO225+AP225)/4</f>
        <v>68.25</v>
      </c>
      <c r="AR225" s="9" t="n">
        <v>27</v>
      </c>
      <c r="AS225" s="9" t="n">
        <v>10</v>
      </c>
      <c r="AT225" s="9" t="n">
        <v>6</v>
      </c>
      <c r="AU225" s="9" t="n">
        <v>8</v>
      </c>
      <c r="AV225" s="11" t="n">
        <f aca="false">(AR225+AS225+AT225+AU225)/4</f>
        <v>12.75</v>
      </c>
      <c r="AW225" s="9" t="n">
        <v>1</v>
      </c>
      <c r="AX225" s="9" t="n">
        <v>0</v>
      </c>
      <c r="AY225" s="9" t="n">
        <v>1</v>
      </c>
      <c r="AZ225" s="9" t="n">
        <v>0</v>
      </c>
      <c r="BA225" s="11" t="n">
        <f aca="false">(AW225+AX225+AY225+AZ225)/4</f>
        <v>0.5</v>
      </c>
      <c r="BB225" s="11" t="n">
        <f aca="false">(AW225/AR225)</f>
        <v>0.037037037037037</v>
      </c>
      <c r="BC225" s="11" t="n">
        <f aca="false">(AX225/AS225)</f>
        <v>0</v>
      </c>
      <c r="BD225" s="11" t="n">
        <f aca="false">(AY225/AT225)</f>
        <v>0.166666666666667</v>
      </c>
      <c r="BE225" s="11" t="n">
        <f aca="false">(AZ225/AU225)</f>
        <v>0</v>
      </c>
      <c r="BF225" s="11" t="n">
        <f aca="false">(BA225/AV225)</f>
        <v>0.0392156862745098</v>
      </c>
      <c r="BG225" s="11" t="n">
        <f aca="false">(BF225*100)</f>
        <v>3.92156862745098</v>
      </c>
      <c r="BH225" s="9" t="n">
        <v>1</v>
      </c>
      <c r="BI225" s="9" t="n">
        <v>4</v>
      </c>
      <c r="BJ225" s="9" t="n">
        <v>0</v>
      </c>
      <c r="BK225" s="9" t="n">
        <v>5</v>
      </c>
      <c r="BL225" s="9" t="n">
        <v>6</v>
      </c>
      <c r="BM225" s="11" t="n">
        <f aca="false">(BI225+BJ225+BK225+BL225)/4</f>
        <v>3.75</v>
      </c>
      <c r="BN225" s="11" t="n">
        <f aca="false">(BI225/AR225)</f>
        <v>0.148148148148148</v>
      </c>
      <c r="BO225" s="11" t="n">
        <f aca="false">(BJ225/AS225)</f>
        <v>0</v>
      </c>
      <c r="BP225" s="11" t="n">
        <f aca="false">(BK225/AT225)</f>
        <v>0.833333333333333</v>
      </c>
      <c r="BQ225" s="11" t="n">
        <f aca="false">(BL225/AU225)</f>
        <v>0.75</v>
      </c>
      <c r="BR225" s="11" t="n">
        <f aca="false">(BM225/AV225)</f>
        <v>0.294117647058824</v>
      </c>
      <c r="BS225" s="11" t="n">
        <f aca="false">(100*BR225)</f>
        <v>29.4117647058824</v>
      </c>
      <c r="BT225" s="9" t="n">
        <v>3</v>
      </c>
      <c r="BU225" s="9" t="n">
        <v>4</v>
      </c>
      <c r="BV225" s="9" t="n">
        <v>0</v>
      </c>
      <c r="BW225" s="9" t="n">
        <v>0</v>
      </c>
      <c r="BX225" s="9" t="n">
        <v>0</v>
      </c>
      <c r="BY225" s="11" t="n">
        <f aca="false">(BU225+BV225+BW225+BX225)/4</f>
        <v>1</v>
      </c>
      <c r="BZ225" s="11" t="n">
        <f aca="false">(BU225/AR225)</f>
        <v>0.148148148148148</v>
      </c>
      <c r="CA225" s="11" t="n">
        <f aca="false">(BV225/AS225)</f>
        <v>0</v>
      </c>
      <c r="CB225" s="11" t="n">
        <f aca="false">(BW225/AT225)</f>
        <v>0</v>
      </c>
      <c r="CC225" s="11" t="n">
        <f aca="false">(BX225/AU225)</f>
        <v>0</v>
      </c>
      <c r="CD225" s="11" t="n">
        <f aca="false">(BY225/AV225)</f>
        <v>0.0784313725490196</v>
      </c>
      <c r="CE225" s="11" t="n">
        <f aca="false">(100*CD225)</f>
        <v>7.84313725490196</v>
      </c>
      <c r="CF225" s="9" t="n">
        <v>1</v>
      </c>
      <c r="CG225" s="9" t="n">
        <v>0</v>
      </c>
      <c r="CH225" s="9" t="n">
        <v>2</v>
      </c>
      <c r="CI225" s="9" t="n">
        <v>4</v>
      </c>
      <c r="CJ225" s="9" t="n">
        <v>3</v>
      </c>
      <c r="CK225" s="11" t="n">
        <f aca="false">(CG225+CH225+CI225+CJ225)/4</f>
        <v>2.25</v>
      </c>
      <c r="CL225" s="11" t="n">
        <f aca="false">(CG225/AM225)</f>
        <v>0</v>
      </c>
      <c r="CM225" s="11" t="n">
        <f aca="false">(CH225/AN225)</f>
        <v>0.037037037037037</v>
      </c>
      <c r="CN225" s="11" t="n">
        <f aca="false">(CI225/AO225)</f>
        <v>0.037037037037037</v>
      </c>
      <c r="CO225" s="9" t="n">
        <f aca="false">(CJ225/AP225)</f>
        <v>0.0526315789473684</v>
      </c>
      <c r="CP225" s="9" t="n">
        <f aca="false">(CK225/AQ225)</f>
        <v>0.032967032967033</v>
      </c>
      <c r="CQ225" s="9" t="n">
        <f aca="false">(100*CP225)</f>
        <v>3.2967032967033</v>
      </c>
      <c r="CR225" s="18" t="n">
        <v>1</v>
      </c>
      <c r="CS225" s="9" t="n">
        <v>55.9</v>
      </c>
      <c r="CT225" s="9" t="n">
        <v>53.5</v>
      </c>
      <c r="CU225" s="9" t="n">
        <v>56.9</v>
      </c>
      <c r="CV225" s="9" t="n">
        <v>68.4</v>
      </c>
      <c r="CW225" s="11" t="n">
        <f aca="false">(CS225+CT225+CU225+CV225)/4</f>
        <v>58.675</v>
      </c>
      <c r="CX225" s="9" t="n">
        <v>0</v>
      </c>
      <c r="CY225" s="9" t="n">
        <v>0</v>
      </c>
      <c r="CZ225" s="9" t="n">
        <v>0</v>
      </c>
      <c r="DA225" s="9" t="n">
        <v>0</v>
      </c>
      <c r="DB225" s="11" t="n">
        <f aca="false">(CX225+CY225+CZ225+DA225)/4</f>
        <v>0</v>
      </c>
      <c r="DC225" s="9" t="n">
        <v>1</v>
      </c>
      <c r="DD225" s="9" t="n">
        <v>1</v>
      </c>
      <c r="DE225" s="9" t="n">
        <v>1</v>
      </c>
      <c r="DF225" s="9" t="n">
        <v>1</v>
      </c>
      <c r="DG225" s="11" t="n">
        <f aca="false">(DC225+DD225+DE225+DF225)/4</f>
        <v>1</v>
      </c>
      <c r="DH225" s="9" t="n">
        <v>1</v>
      </c>
      <c r="DI225" s="9" t="n">
        <v>1</v>
      </c>
      <c r="DJ225" s="9" t="n">
        <v>1</v>
      </c>
      <c r="DK225" s="9" t="n">
        <v>1</v>
      </c>
      <c r="DL225" s="11" t="n">
        <f aca="false">(DH225+DI225+DJ225+DK225)/4</f>
        <v>1</v>
      </c>
      <c r="DM225" s="9" t="n">
        <v>54</v>
      </c>
      <c r="DN225" s="9" t="n">
        <v>77</v>
      </c>
      <c r="DO225" s="9" t="n">
        <v>231</v>
      </c>
      <c r="DP225" s="9" t="n">
        <v>235</v>
      </c>
      <c r="DQ225" s="11" t="n">
        <f aca="false">(DM225+DN225+DO225+DP225)/4</f>
        <v>149.25</v>
      </c>
      <c r="DR225" s="9" t="n">
        <v>13</v>
      </c>
      <c r="DS225" s="9" t="n">
        <v>11</v>
      </c>
      <c r="DT225" s="9" t="n">
        <v>12</v>
      </c>
      <c r="DU225" s="9" t="n">
        <v>8</v>
      </c>
      <c r="DV225" s="11" t="n">
        <f aca="false">(DR225+DS225+DT225+DU225)/4</f>
        <v>11</v>
      </c>
      <c r="DW225" s="9" t="n">
        <v>0</v>
      </c>
      <c r="DX225" s="9" t="n">
        <v>0</v>
      </c>
      <c r="DY225" s="9" t="n">
        <v>0</v>
      </c>
      <c r="DZ225" s="9" t="n">
        <v>0</v>
      </c>
      <c r="EA225" s="11" t="n">
        <f aca="false">(DW225+DX225+DY225+DZ225)/4</f>
        <v>0</v>
      </c>
      <c r="EB225" s="11" t="n">
        <f aca="false">(DW225/DR225)</f>
        <v>0</v>
      </c>
      <c r="EC225" s="11" t="n">
        <f aca="false">(DX225/DS225)</f>
        <v>0</v>
      </c>
      <c r="ED225" s="11" t="n">
        <f aca="false">(DY225/DT225)</f>
        <v>0</v>
      </c>
      <c r="EE225" s="11" t="n">
        <f aca="false">(DZ225/DU225)</f>
        <v>0</v>
      </c>
      <c r="EF225" s="11" t="n">
        <f aca="false">(EA225/DV225)</f>
        <v>0</v>
      </c>
      <c r="EG225" s="11" t="n">
        <f aca="false">(100*EF225)</f>
        <v>0</v>
      </c>
      <c r="EH225" s="9" t="n">
        <v>0</v>
      </c>
      <c r="EI225" s="9" t="n">
        <v>5</v>
      </c>
      <c r="EJ225" s="9" t="n">
        <v>6</v>
      </c>
      <c r="EK225" s="19" t="n">
        <v>5</v>
      </c>
      <c r="EL225" s="9" t="n">
        <v>6</v>
      </c>
      <c r="EM225" s="9" t="n">
        <f aca="false">(EI225+EJ225+EK225+EL225)/4</f>
        <v>5.5</v>
      </c>
      <c r="EN225" s="9" t="n">
        <f aca="false">(EI225/DR225)</f>
        <v>0.384615384615385</v>
      </c>
      <c r="EO225" s="9" t="n">
        <f aca="false">(EJ225/DS225)</f>
        <v>0.545454545454545</v>
      </c>
      <c r="EP225" s="9" t="n">
        <f aca="false">(EK225/DT225)</f>
        <v>0.416666666666667</v>
      </c>
      <c r="EQ225" s="9" t="n">
        <f aca="false">(EL225/DU225)</f>
        <v>0.75</v>
      </c>
      <c r="ER225" s="9" t="n">
        <f aca="false">EM225/DV225</f>
        <v>0.5</v>
      </c>
      <c r="ES225" s="9" t="n">
        <f aca="false">(100*ER225)</f>
        <v>50</v>
      </c>
      <c r="ET225" s="9" t="n">
        <v>3</v>
      </c>
      <c r="EU225" s="18" t="n">
        <v>0</v>
      </c>
      <c r="EV225" s="9" t="n">
        <v>0</v>
      </c>
      <c r="EW225" s="9" t="n">
        <v>0</v>
      </c>
      <c r="EX225" s="9" t="n">
        <v>0</v>
      </c>
      <c r="EY225" s="11" t="n">
        <f aca="false">(EU225+EV225+EW225+EX225)/4</f>
        <v>0</v>
      </c>
      <c r="EZ225" s="11" t="n">
        <f aca="false">(EU225/DR225)</f>
        <v>0</v>
      </c>
      <c r="FA225" s="11" t="n">
        <f aca="false">(EV225/DS225)</f>
        <v>0</v>
      </c>
      <c r="FB225" s="11" t="n">
        <f aca="false">(EW225/DT225)</f>
        <v>0</v>
      </c>
      <c r="FC225" s="11" t="n">
        <f aca="false">(EX225/DU225)</f>
        <v>0</v>
      </c>
      <c r="FD225" s="11" t="n">
        <f aca="false">(EY225/DV225)</f>
        <v>0</v>
      </c>
      <c r="FE225" s="11" t="n">
        <f aca="false">(100*FD225)</f>
        <v>0</v>
      </c>
      <c r="FF225" s="9" t="n">
        <v>0</v>
      </c>
      <c r="FG225" s="9" t="n">
        <v>6</v>
      </c>
      <c r="FH225" s="9" t="n">
        <v>6</v>
      </c>
      <c r="FI225" s="9" t="n">
        <v>12</v>
      </c>
      <c r="FJ225" s="9" t="n">
        <v>5</v>
      </c>
      <c r="FK225" s="11" t="n">
        <f aca="false">(FG225+FH225+FI225+FJ225)/4</f>
        <v>7.25</v>
      </c>
      <c r="FL225" s="11" t="n">
        <f aca="false">(FG225/DR225)</f>
        <v>0.461538461538462</v>
      </c>
      <c r="FM225" s="11" t="n">
        <f aca="false">(FH225/DS225)</f>
        <v>0.545454545454545</v>
      </c>
      <c r="FN225" s="11" t="n">
        <f aca="false">(FI225/DT225)</f>
        <v>1</v>
      </c>
      <c r="FO225" s="11" t="n">
        <f aca="false">(FJ225/DU225)</f>
        <v>0.625</v>
      </c>
      <c r="FP225" s="11" t="n">
        <f aca="false">(FK225/DV225)</f>
        <v>0.659090909090909</v>
      </c>
      <c r="FQ225" s="11" t="n">
        <f aca="false">(100*FP225)</f>
        <v>65.9090909090909</v>
      </c>
      <c r="FR225" s="9" t="n">
        <v>3</v>
      </c>
      <c r="FS225" s="9" t="n">
        <v>49.7</v>
      </c>
      <c r="FT225" s="9" t="n">
        <v>60.6</v>
      </c>
      <c r="FU225" s="9" t="n">
        <v>63.5</v>
      </c>
      <c r="FV225" s="9" t="n">
        <v>64</v>
      </c>
      <c r="FW225" s="11" t="n">
        <f aca="false">(FS225+FT225+FU225+FV225)/4</f>
        <v>59.45</v>
      </c>
      <c r="FX225" s="9" t="n">
        <v>0</v>
      </c>
      <c r="FY225" s="9" t="n">
        <v>0</v>
      </c>
      <c r="FZ225" s="9" t="n">
        <v>0</v>
      </c>
      <c r="GA225" s="9" t="n">
        <v>0</v>
      </c>
      <c r="GB225" s="11" t="n">
        <f aca="false">(FX225+FY225+FZ225+GA225)/4</f>
        <v>0</v>
      </c>
      <c r="GC225" s="9" t="n">
        <v>1</v>
      </c>
      <c r="GD225" s="9" t="n">
        <v>1</v>
      </c>
      <c r="GE225" s="9" t="n">
        <v>1</v>
      </c>
      <c r="GF225" s="9" t="n">
        <v>1</v>
      </c>
      <c r="GG225" s="11" t="n">
        <f aca="false">(GC225+GD225+GE225+GF225)/4</f>
        <v>1</v>
      </c>
      <c r="GH225" s="9" t="n">
        <v>1</v>
      </c>
      <c r="GI225" s="9" t="n">
        <v>1</v>
      </c>
      <c r="GJ225" s="9" t="n">
        <v>1</v>
      </c>
      <c r="GK225" s="9" t="n">
        <v>1</v>
      </c>
      <c r="GL225" s="11" t="n">
        <f aca="false">(GH225+GI225+GJ225+GK225)/4</f>
        <v>1</v>
      </c>
      <c r="GM225" s="9" t="n">
        <v>132</v>
      </c>
      <c r="GN225" s="9" t="n">
        <v>142</v>
      </c>
      <c r="GO225" s="9" t="n">
        <v>162</v>
      </c>
      <c r="GP225" s="9" t="n">
        <v>258</v>
      </c>
      <c r="GQ225" s="11" t="n">
        <f aca="false">(GM225+GN225+GO225+GP225)/4</f>
        <v>173.5</v>
      </c>
      <c r="GR225" s="9" t="n">
        <v>2</v>
      </c>
      <c r="GS225" s="9" t="n">
        <v>9</v>
      </c>
      <c r="GT225" s="9" t="n">
        <v>4</v>
      </c>
      <c r="GU225" s="9" t="n">
        <v>10</v>
      </c>
      <c r="GV225" s="11" t="n">
        <f aca="false">(GR225+GS225+GT225+GU225)/4</f>
        <v>6.25</v>
      </c>
      <c r="GW225" s="9" t="n">
        <v>0</v>
      </c>
      <c r="GX225" s="9" t="n">
        <v>0</v>
      </c>
      <c r="GY225" s="9" t="n">
        <v>0</v>
      </c>
      <c r="GZ225" s="9" t="n">
        <v>0</v>
      </c>
      <c r="HA225" s="11" t="n">
        <f aca="false">(GW225+GX225+GY225+GZ225)/4</f>
        <v>0</v>
      </c>
      <c r="HB225" s="9"/>
      <c r="HC225" s="9" t="n">
        <f aca="false">(GX225/GS225)</f>
        <v>0</v>
      </c>
      <c r="HD225" s="9" t="n">
        <f aca="false">(GY225/GT225)</f>
        <v>0</v>
      </c>
      <c r="HE225" s="9" t="n">
        <f aca="false">(GZ225/GU225)/4</f>
        <v>0</v>
      </c>
      <c r="HF225" s="9" t="n">
        <f aca="false">(HB225+HC225+HD225+HE225)/4</f>
        <v>0</v>
      </c>
      <c r="HG225" s="9" t="n">
        <f aca="false">(100*HF225)</f>
        <v>0</v>
      </c>
      <c r="HH225" s="18" t="n">
        <v>0</v>
      </c>
      <c r="HI225" s="9" t="n">
        <v>2</v>
      </c>
      <c r="HJ225" s="9" t="n">
        <v>3</v>
      </c>
      <c r="HK225" s="9" t="n">
        <v>4</v>
      </c>
      <c r="HL225" s="19" t="n">
        <v>7</v>
      </c>
      <c r="HM225" s="9" t="n">
        <f aca="false">(HI225+HJ225+HK225+HL225)/4</f>
        <v>4</v>
      </c>
      <c r="HN225" s="9" t="n">
        <f aca="false">(HI225/GR225)</f>
        <v>1</v>
      </c>
      <c r="HO225" s="9" t="n">
        <f aca="false">(HJ225/GS225)</f>
        <v>0.333333333333333</v>
      </c>
      <c r="HP225" s="9" t="n">
        <f aca="false">(HK225/GT225)</f>
        <v>1</v>
      </c>
      <c r="HQ225" s="9" t="n">
        <f aca="false">(HL225/GU225)</f>
        <v>0.7</v>
      </c>
      <c r="HR225" s="9" t="n">
        <f aca="false">(HM225/GV225)</f>
        <v>0.64</v>
      </c>
      <c r="HS225" s="9" t="n">
        <f aca="false">(100*HR225)</f>
        <v>64</v>
      </c>
      <c r="HT225" s="18" t="n">
        <v>3</v>
      </c>
      <c r="HU225" s="9" t="n">
        <v>0</v>
      </c>
      <c r="HV225" s="9" t="n">
        <v>0</v>
      </c>
      <c r="HW225" s="9" t="n">
        <v>0</v>
      </c>
      <c r="HX225" s="19" t="n">
        <v>0</v>
      </c>
      <c r="HY225" s="9" t="n">
        <f aca="false">(HU225+HV225+HW225+HX225)/4</f>
        <v>0</v>
      </c>
      <c r="HZ225" s="9" t="n">
        <f aca="false">(HU225/GR225)</f>
        <v>0</v>
      </c>
      <c r="IA225" s="9" t="n">
        <f aca="false">HV225/GS225</f>
        <v>0</v>
      </c>
      <c r="IB225" s="9" t="n">
        <f aca="false">(HW225/GT225)</f>
        <v>0</v>
      </c>
      <c r="IC225" s="9" t="n">
        <f aca="false">(HX225/GU225)</f>
        <v>0</v>
      </c>
      <c r="ID225" s="9" t="n">
        <f aca="false">(HY225/GV225)</f>
        <v>0</v>
      </c>
      <c r="IE225" s="9" t="n">
        <f aca="false">(100*ID225)</f>
        <v>0</v>
      </c>
      <c r="IF225" s="18" t="n">
        <v>0</v>
      </c>
      <c r="IG225" s="9" t="n">
        <v>8</v>
      </c>
      <c r="IH225" s="9" t="n">
        <v>18</v>
      </c>
      <c r="II225" s="19" t="n">
        <v>3</v>
      </c>
      <c r="IJ225" s="9" t="n">
        <v>17</v>
      </c>
      <c r="IK225" s="9" t="n">
        <f aca="false">(IG225+IH225+II225+IJ225)/4</f>
        <v>11.5</v>
      </c>
      <c r="IL225" s="9" t="n">
        <f aca="false">(IG225/GM225)</f>
        <v>0.0606060606060606</v>
      </c>
      <c r="IM225" s="9" t="n">
        <f aca="false">(IH225/GN225)</f>
        <v>0.126760563380282</v>
      </c>
      <c r="IN225" s="9" t="n">
        <f aca="false">(II225/GO225)</f>
        <v>0.0185185185185185</v>
      </c>
      <c r="IO225" s="9" t="n">
        <f aca="false">(IJ225/GP225)</f>
        <v>0.0658914728682171</v>
      </c>
      <c r="IP225" s="9" t="n">
        <f aca="false">(IK225/GQ225)</f>
        <v>0.0662824207492795</v>
      </c>
      <c r="IQ225" s="9" t="n">
        <f aca="false">(100*IP225)</f>
        <v>6.62824207492795</v>
      </c>
      <c r="IR225" s="18" t="n">
        <v>1</v>
      </c>
      <c r="IS225" s="9" t="n">
        <v>62.5</v>
      </c>
      <c r="IT225" s="9" t="n">
        <v>63.2</v>
      </c>
      <c r="IU225" s="19" t="n">
        <v>58.5</v>
      </c>
      <c r="IV225" s="9" t="n">
        <v>73.5</v>
      </c>
      <c r="IW225" s="9" t="n">
        <f aca="false">(IS225+IT225+IU225+IV225)/4</f>
        <v>64.425</v>
      </c>
      <c r="IX225" s="16" t="n">
        <v>45211</v>
      </c>
      <c r="IY225" s="10" t="s">
        <v>268</v>
      </c>
    </row>
    <row r="226" customFormat="false" ht="15.75" hidden="false" customHeight="true" outlineLevel="0" collapsed="false">
      <c r="A226" s="9" t="s">
        <v>299</v>
      </c>
      <c r="B226" s="10" t="s">
        <v>770</v>
      </c>
      <c r="C226" s="10" t="s">
        <v>727</v>
      </c>
      <c r="D226" s="9" t="n">
        <v>4</v>
      </c>
      <c r="E226" s="9" t="n">
        <v>75</v>
      </c>
      <c r="F226" s="10" t="s">
        <v>775</v>
      </c>
      <c r="G226" s="10" t="s">
        <v>275</v>
      </c>
      <c r="H226" s="9" t="n">
        <v>21</v>
      </c>
      <c r="I226" s="9" t="n">
        <v>20</v>
      </c>
      <c r="J226" s="10" t="s">
        <v>272</v>
      </c>
      <c r="K226" s="20"/>
      <c r="L226" s="20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 t="n">
        <v>0</v>
      </c>
      <c r="Y226" s="9" t="n">
        <v>0</v>
      </c>
      <c r="Z226" s="9" t="n">
        <v>0</v>
      </c>
      <c r="AA226" s="9" t="n">
        <v>1</v>
      </c>
      <c r="AB226" s="11" t="n">
        <f aca="false">(X226+Y226+Z226+AA226)/4</f>
        <v>0.25</v>
      </c>
      <c r="AC226" s="9" t="n">
        <v>1</v>
      </c>
      <c r="AD226" s="9" t="n">
        <v>1</v>
      </c>
      <c r="AE226" s="9" t="n">
        <v>1</v>
      </c>
      <c r="AF226" s="9" t="n">
        <v>1</v>
      </c>
      <c r="AG226" s="11" t="n">
        <f aca="false">(AC226+AD226+AE226+AF226)/4</f>
        <v>1</v>
      </c>
      <c r="AH226" s="9" t="n">
        <v>1</v>
      </c>
      <c r="AI226" s="9" t="n">
        <v>1</v>
      </c>
      <c r="AJ226" s="9" t="n">
        <v>1</v>
      </c>
      <c r="AK226" s="9" t="n">
        <v>1</v>
      </c>
      <c r="AL226" s="11" t="n">
        <f aca="false">(AH226+AI226+AJ226+AK226)/4</f>
        <v>1</v>
      </c>
      <c r="AM226" s="9" t="n">
        <v>41</v>
      </c>
      <c r="AN226" s="9" t="n">
        <v>94</v>
      </c>
      <c r="AO226" s="9" t="n">
        <v>27</v>
      </c>
      <c r="AP226" s="9" t="n">
        <v>31</v>
      </c>
      <c r="AQ226" s="11" t="n">
        <f aca="false">(AM226+AN226+AO226+AP226)/4</f>
        <v>48.25</v>
      </c>
      <c r="AR226" s="9" t="n">
        <v>5</v>
      </c>
      <c r="AS226" s="9" t="n">
        <v>3</v>
      </c>
      <c r="AT226" s="9" t="n">
        <v>6</v>
      </c>
      <c r="AU226" s="9" t="n">
        <v>9</v>
      </c>
      <c r="AV226" s="11" t="n">
        <f aca="false">(AR226+AS226+AT226+AU226)/4</f>
        <v>5.75</v>
      </c>
      <c r="AW226" s="9" t="n">
        <v>0</v>
      </c>
      <c r="AX226" s="9" t="n">
        <v>0</v>
      </c>
      <c r="AY226" s="9" t="n">
        <v>0</v>
      </c>
      <c r="AZ226" s="9" t="n">
        <v>2</v>
      </c>
      <c r="BA226" s="11" t="n">
        <f aca="false">(AW226+AX226+AY226+AZ226)/4</f>
        <v>0.5</v>
      </c>
      <c r="BB226" s="11" t="n">
        <f aca="false">(AW226/AR226)</f>
        <v>0</v>
      </c>
      <c r="BC226" s="11" t="n">
        <f aca="false">(AX226/AS226)</f>
        <v>0</v>
      </c>
      <c r="BD226" s="11" t="n">
        <f aca="false">(AY226/AT226)</f>
        <v>0</v>
      </c>
      <c r="BE226" s="11" t="n">
        <f aca="false">(AZ226/AU226)</f>
        <v>0.222222222222222</v>
      </c>
      <c r="BF226" s="11" t="n">
        <f aca="false">(BA226/AV226)</f>
        <v>0.0869565217391304</v>
      </c>
      <c r="BG226" s="11" t="n">
        <f aca="false">(BF226*100)</f>
        <v>8.69565217391304</v>
      </c>
      <c r="BH226" s="9" t="n">
        <v>1</v>
      </c>
      <c r="BI226" s="9" t="n">
        <v>1</v>
      </c>
      <c r="BJ226" s="9" t="n">
        <v>3</v>
      </c>
      <c r="BK226" s="9" t="n">
        <v>5</v>
      </c>
      <c r="BL226" s="9" t="n">
        <v>5</v>
      </c>
      <c r="BM226" s="11" t="n">
        <f aca="false">(BI226+BJ226+BK226+BL226)/4</f>
        <v>3.5</v>
      </c>
      <c r="BN226" s="11" t="n">
        <f aca="false">(BI226/AR226)</f>
        <v>0.2</v>
      </c>
      <c r="BO226" s="11" t="n">
        <f aca="false">(BJ226/AS226)</f>
        <v>1</v>
      </c>
      <c r="BP226" s="11" t="n">
        <f aca="false">(BK226/AT226)</f>
        <v>0.833333333333333</v>
      </c>
      <c r="BQ226" s="11" t="n">
        <f aca="false">(BL226/AU226)</f>
        <v>0.555555555555556</v>
      </c>
      <c r="BR226" s="11" t="n">
        <f aca="false">(BM226/AV226)</f>
        <v>0.608695652173913</v>
      </c>
      <c r="BS226" s="11" t="n">
        <f aca="false">(100*BR226)</f>
        <v>60.8695652173913</v>
      </c>
      <c r="BT226" s="9" t="n">
        <v>3</v>
      </c>
      <c r="BU226" s="9" t="n">
        <v>0</v>
      </c>
      <c r="BV226" s="9" t="n">
        <v>0</v>
      </c>
      <c r="BW226" s="9" t="n">
        <v>0</v>
      </c>
      <c r="BX226" s="9" t="n">
        <v>0</v>
      </c>
      <c r="BY226" s="11" t="n">
        <f aca="false">(BU226+BV226+BW226+BX226)/4</f>
        <v>0</v>
      </c>
      <c r="BZ226" s="11" t="n">
        <f aca="false">(BU226/AR226)</f>
        <v>0</v>
      </c>
      <c r="CA226" s="11" t="n">
        <f aca="false">(BV226/AS226)</f>
        <v>0</v>
      </c>
      <c r="CB226" s="11" t="n">
        <f aca="false">(BW226/AT226)</f>
        <v>0</v>
      </c>
      <c r="CC226" s="11" t="n">
        <f aca="false">(BX226/AU226)</f>
        <v>0</v>
      </c>
      <c r="CD226" s="11" t="n">
        <f aca="false">(BY226/AV226)</f>
        <v>0</v>
      </c>
      <c r="CE226" s="11" t="n">
        <f aca="false">(100*CD226)</f>
        <v>0</v>
      </c>
      <c r="CF226" s="9" t="n">
        <v>0</v>
      </c>
      <c r="CG226" s="9" t="n">
        <v>19</v>
      </c>
      <c r="CH226" s="9" t="n">
        <v>33</v>
      </c>
      <c r="CI226" s="9" t="n">
        <v>10</v>
      </c>
      <c r="CJ226" s="9" t="n">
        <v>3</v>
      </c>
      <c r="CK226" s="11" t="n">
        <f aca="false">(CG226+CH226+CI226+CJ226)/4</f>
        <v>16.25</v>
      </c>
      <c r="CL226" s="11" t="n">
        <f aca="false">(CG226/AM226)</f>
        <v>0.463414634146342</v>
      </c>
      <c r="CM226" s="11" t="n">
        <f aca="false">(CH226/AN226)</f>
        <v>0.351063829787234</v>
      </c>
      <c r="CN226" s="11" t="n">
        <f aca="false">(CI226/AO226)</f>
        <v>0.37037037037037</v>
      </c>
      <c r="CO226" s="9" t="n">
        <f aca="false">(CJ226/AP226)</f>
        <v>0.0967741935483871</v>
      </c>
      <c r="CP226" s="9" t="n">
        <f aca="false">(CK226/AQ226)</f>
        <v>0.336787564766839</v>
      </c>
      <c r="CQ226" s="9" t="n">
        <f aca="false">(100*CP226)</f>
        <v>33.6787564766839</v>
      </c>
      <c r="CR226" s="18" t="n">
        <v>3</v>
      </c>
      <c r="CS226" s="9" t="n">
        <v>45</v>
      </c>
      <c r="CT226" s="9" t="n">
        <v>50.5</v>
      </c>
      <c r="CU226" s="9" t="n">
        <v>62</v>
      </c>
      <c r="CV226" s="9" t="n">
        <v>49.5</v>
      </c>
      <c r="CW226" s="11" t="n">
        <f aca="false">(CS226+CT226+CU226+CV226)/4</f>
        <v>51.75</v>
      </c>
      <c r="CX226" s="9" t="n">
        <v>0</v>
      </c>
      <c r="CY226" s="9" t="n">
        <v>0</v>
      </c>
      <c r="CZ226" s="9" t="n">
        <v>0</v>
      </c>
      <c r="DA226" s="9" t="n">
        <v>0</v>
      </c>
      <c r="DB226" s="11" t="n">
        <f aca="false">(CX226+CY226+CZ226+DA226)/4</f>
        <v>0</v>
      </c>
      <c r="DC226" s="9" t="n">
        <v>1</v>
      </c>
      <c r="DD226" s="9" t="n">
        <v>1</v>
      </c>
      <c r="DE226" s="9" t="n">
        <v>1</v>
      </c>
      <c r="DF226" s="9" t="n">
        <v>1</v>
      </c>
      <c r="DG226" s="11" t="n">
        <f aca="false">(DC226+DD226+DE226+DF226)/4</f>
        <v>1</v>
      </c>
      <c r="DH226" s="9" t="n">
        <v>1</v>
      </c>
      <c r="DI226" s="9" t="n">
        <v>1</v>
      </c>
      <c r="DJ226" s="9" t="n">
        <v>1</v>
      </c>
      <c r="DK226" s="9" t="n">
        <v>1</v>
      </c>
      <c r="DL226" s="11" t="n">
        <f aca="false">(DH226+DI226+DJ226+DK226)/4</f>
        <v>1</v>
      </c>
      <c r="DM226" s="9" t="n">
        <v>28</v>
      </c>
      <c r="DN226" s="9" t="n">
        <v>30</v>
      </c>
      <c r="DO226" s="9" t="n">
        <v>68</v>
      </c>
      <c r="DP226" s="9" t="n">
        <v>35</v>
      </c>
      <c r="DQ226" s="11" t="n">
        <f aca="false">(DM226+DN226+DO226+DP226)/4</f>
        <v>40.25</v>
      </c>
      <c r="DR226" s="9" t="n">
        <v>3</v>
      </c>
      <c r="DS226" s="9" t="n">
        <v>5</v>
      </c>
      <c r="DT226" s="9" t="n">
        <v>5</v>
      </c>
      <c r="DU226" s="9" t="n">
        <v>6</v>
      </c>
      <c r="DV226" s="11" t="n">
        <f aca="false">(DR226+DS226+DT226+DU226)/4</f>
        <v>4.75</v>
      </c>
      <c r="DW226" s="9" t="n">
        <v>0</v>
      </c>
      <c r="DX226" s="9" t="n">
        <v>0</v>
      </c>
      <c r="DY226" s="9" t="n">
        <v>0</v>
      </c>
      <c r="DZ226" s="9" t="n">
        <v>0</v>
      </c>
      <c r="EA226" s="11" t="n">
        <f aca="false">(DW226+DX226+DY226+DZ226)/4</f>
        <v>0</v>
      </c>
      <c r="EB226" s="11" t="n">
        <f aca="false">(DW226/DR226)</f>
        <v>0</v>
      </c>
      <c r="EC226" s="11" t="n">
        <f aca="false">(DX226/DS226)</f>
        <v>0</v>
      </c>
      <c r="ED226" s="11" t="n">
        <f aca="false">(DY226/DT226)</f>
        <v>0</v>
      </c>
      <c r="EE226" s="11" t="n">
        <f aca="false">(DZ226/DU226)</f>
        <v>0</v>
      </c>
      <c r="EF226" s="11" t="n">
        <f aca="false">(EA226/DV226)</f>
        <v>0</v>
      </c>
      <c r="EG226" s="11" t="n">
        <f aca="false">(100*EF226)</f>
        <v>0</v>
      </c>
      <c r="EH226" s="9" t="n">
        <v>0</v>
      </c>
      <c r="EI226" s="9" t="n">
        <v>3</v>
      </c>
      <c r="EJ226" s="9" t="n">
        <v>5</v>
      </c>
      <c r="EK226" s="19" t="n">
        <v>3</v>
      </c>
      <c r="EL226" s="9" t="n">
        <v>4</v>
      </c>
      <c r="EM226" s="9" t="n">
        <f aca="false">(EI226+EJ226+EK226+EL226)/4</f>
        <v>3.75</v>
      </c>
      <c r="EN226" s="9" t="n">
        <f aca="false">(EI226/DR226)</f>
        <v>1</v>
      </c>
      <c r="EO226" s="9" t="n">
        <f aca="false">(EJ226/DS226)</f>
        <v>1</v>
      </c>
      <c r="EP226" s="9" t="n">
        <f aca="false">(EK226/DT226)</f>
        <v>0.6</v>
      </c>
      <c r="EQ226" s="9" t="n">
        <f aca="false">(EL226/DU226)</f>
        <v>0.666666666666667</v>
      </c>
      <c r="ER226" s="9" t="n">
        <f aca="false">EM226/DV226</f>
        <v>0.789473684210526</v>
      </c>
      <c r="ES226" s="9" t="n">
        <f aca="false">(100*ER226)</f>
        <v>78.9473684210526</v>
      </c>
      <c r="ET226" s="9" t="n">
        <v>3</v>
      </c>
      <c r="EU226" s="18" t="n">
        <v>0</v>
      </c>
      <c r="EV226" s="9" t="n">
        <v>0</v>
      </c>
      <c r="EW226" s="9" t="n">
        <v>0</v>
      </c>
      <c r="EX226" s="9" t="n">
        <v>0</v>
      </c>
      <c r="EY226" s="11" t="n">
        <f aca="false">(EU226+EV226+EW226+EX226)/4</f>
        <v>0</v>
      </c>
      <c r="EZ226" s="11" t="n">
        <f aca="false">(EU226/DR226)</f>
        <v>0</v>
      </c>
      <c r="FA226" s="11" t="n">
        <f aca="false">(EV226/DS226)</f>
        <v>0</v>
      </c>
      <c r="FB226" s="11" t="n">
        <f aca="false">(EW226/DT226)</f>
        <v>0</v>
      </c>
      <c r="FC226" s="11" t="n">
        <f aca="false">(EX226/DU226)</f>
        <v>0</v>
      </c>
      <c r="FD226" s="11" t="n">
        <f aca="false">(EY226/DV226)</f>
        <v>0</v>
      </c>
      <c r="FE226" s="11" t="n">
        <f aca="false">(100*FD226)</f>
        <v>0</v>
      </c>
      <c r="FF226" s="9" t="n">
        <v>0</v>
      </c>
      <c r="FG226" s="9" t="n">
        <v>3</v>
      </c>
      <c r="FH226" s="9" t="n">
        <v>3</v>
      </c>
      <c r="FI226" s="9" t="n">
        <v>8</v>
      </c>
      <c r="FJ226" s="9" t="n">
        <v>8</v>
      </c>
      <c r="FK226" s="11" t="n">
        <f aca="false">(FG226+FH226+FI226+FJ226)/4</f>
        <v>5.5</v>
      </c>
      <c r="FL226" s="11" t="n">
        <f aca="false">(FG226/DR226)</f>
        <v>1</v>
      </c>
      <c r="FM226" s="11" t="n">
        <f aca="false">(FH226/DS226)</f>
        <v>0.6</v>
      </c>
      <c r="FN226" s="11" t="n">
        <f aca="false">(FI226/DT226)</f>
        <v>1.6</v>
      </c>
      <c r="FO226" s="11" t="n">
        <f aca="false">(FJ226/DU226)</f>
        <v>1.33333333333333</v>
      </c>
      <c r="FP226" s="11" t="n">
        <f aca="false">(FK226/DV226)</f>
        <v>1.15789473684211</v>
      </c>
      <c r="FQ226" s="11" t="n">
        <f aca="false">(100*FP226)</f>
        <v>115.789473684211</v>
      </c>
      <c r="FR226" s="9" t="n">
        <v>3</v>
      </c>
      <c r="FS226" s="9" t="n">
        <v>48.2</v>
      </c>
      <c r="FT226" s="9" t="n">
        <v>41</v>
      </c>
      <c r="FU226" s="9" t="n">
        <v>56.8</v>
      </c>
      <c r="FV226" s="9" t="n">
        <v>58.4</v>
      </c>
      <c r="FW226" s="11" t="n">
        <f aca="false">(FS226+FT226+FU226+FV226)/4</f>
        <v>51.1</v>
      </c>
      <c r="FX226" s="9" t="n">
        <v>0</v>
      </c>
      <c r="FY226" s="9" t="n">
        <v>0</v>
      </c>
      <c r="FZ226" s="9" t="n">
        <v>0</v>
      </c>
      <c r="GA226" s="9" t="n">
        <v>0</v>
      </c>
      <c r="GB226" s="11" t="n">
        <f aca="false">(FX226+FY226+FZ226+GA226)/4</f>
        <v>0</v>
      </c>
      <c r="GC226" s="9" t="n">
        <v>1</v>
      </c>
      <c r="GD226" s="9" t="n">
        <v>1</v>
      </c>
      <c r="GE226" s="9" t="n">
        <v>1</v>
      </c>
      <c r="GF226" s="9" t="n">
        <v>1</v>
      </c>
      <c r="GG226" s="11" t="n">
        <f aca="false">(GC226+GD226+GE226+GF226)/4</f>
        <v>1</v>
      </c>
      <c r="GH226" s="9" t="n">
        <v>1</v>
      </c>
      <c r="GI226" s="9" t="n">
        <v>1</v>
      </c>
      <c r="GJ226" s="9" t="n">
        <v>1</v>
      </c>
      <c r="GK226" s="9" t="n">
        <v>1</v>
      </c>
      <c r="GL226" s="11" t="n">
        <f aca="false">(GH226+GI226+GJ226+GK226)/4</f>
        <v>1</v>
      </c>
      <c r="GM226" s="9" t="n">
        <v>25</v>
      </c>
      <c r="GN226" s="9" t="n">
        <v>20</v>
      </c>
      <c r="GO226" s="9" t="n">
        <v>12</v>
      </c>
      <c r="GP226" s="9" t="n">
        <v>4</v>
      </c>
      <c r="GQ226" s="11" t="n">
        <f aca="false">(GM226+GN226+GO226+GP226)/4</f>
        <v>15.25</v>
      </c>
      <c r="GR226" s="9" t="n">
        <v>10</v>
      </c>
      <c r="GS226" s="9" t="n">
        <v>11</v>
      </c>
      <c r="GT226" s="9" t="n">
        <v>5</v>
      </c>
      <c r="GU226" s="9" t="n">
        <v>9</v>
      </c>
      <c r="GV226" s="11" t="n">
        <f aca="false">(GR226+GS226+GT226+GU226)/4</f>
        <v>8.75</v>
      </c>
      <c r="GW226" s="9" t="n">
        <v>0</v>
      </c>
      <c r="GX226" s="9" t="n">
        <v>0</v>
      </c>
      <c r="GY226" s="9" t="n">
        <v>0</v>
      </c>
      <c r="GZ226" s="9" t="n">
        <v>0</v>
      </c>
      <c r="HA226" s="11" t="n">
        <f aca="false">(GW226+GX226+GY226+GZ226)/4</f>
        <v>0</v>
      </c>
      <c r="HB226" s="9"/>
      <c r="HC226" s="9" t="n">
        <f aca="false">(GX226/GS226)</f>
        <v>0</v>
      </c>
      <c r="HD226" s="9" t="n">
        <f aca="false">(GY226/GT226)</f>
        <v>0</v>
      </c>
      <c r="HE226" s="9" t="n">
        <f aca="false">(GZ226/GU226)/4</f>
        <v>0</v>
      </c>
      <c r="HF226" s="9" t="n">
        <f aca="false">(HB226+HC226+HD226+HE226)/4</f>
        <v>0</v>
      </c>
      <c r="HG226" s="9" t="n">
        <f aca="false">(100*HF226)</f>
        <v>0</v>
      </c>
      <c r="HH226" s="18" t="n">
        <v>0</v>
      </c>
      <c r="HI226" s="9" t="n">
        <v>4</v>
      </c>
      <c r="HJ226" s="9" t="n">
        <v>5</v>
      </c>
      <c r="HK226" s="9" t="n">
        <v>3</v>
      </c>
      <c r="HL226" s="19" t="n">
        <v>2</v>
      </c>
      <c r="HM226" s="9" t="n">
        <f aca="false">(HI226+HJ226+HK226+HL226)/4</f>
        <v>3.5</v>
      </c>
      <c r="HN226" s="9" t="n">
        <f aca="false">(HI226/GR226)</f>
        <v>0.4</v>
      </c>
      <c r="HO226" s="9" t="n">
        <f aca="false">(HJ226/GS226)</f>
        <v>0.454545454545455</v>
      </c>
      <c r="HP226" s="9" t="n">
        <f aca="false">(HK226/GT226)</f>
        <v>0.6</v>
      </c>
      <c r="HQ226" s="9" t="n">
        <f aca="false">(HL226/GU226)</f>
        <v>0.222222222222222</v>
      </c>
      <c r="HR226" s="9" t="n">
        <f aca="false">(HM226/GV226)</f>
        <v>0.4</v>
      </c>
      <c r="HS226" s="9" t="n">
        <f aca="false">(100*HR226)</f>
        <v>40</v>
      </c>
      <c r="HT226" s="18" t="n">
        <v>3</v>
      </c>
      <c r="HU226" s="9" t="n">
        <v>3</v>
      </c>
      <c r="HV226" s="9" t="n">
        <v>0</v>
      </c>
      <c r="HW226" s="9" t="n">
        <v>0</v>
      </c>
      <c r="HX226" s="19" t="n">
        <v>0</v>
      </c>
      <c r="HY226" s="9" t="n">
        <f aca="false">(HU226+HV226+HW226+HX226)/4</f>
        <v>0.75</v>
      </c>
      <c r="HZ226" s="9" t="n">
        <f aca="false">(HU226/GR226)</f>
        <v>0.3</v>
      </c>
      <c r="IA226" s="9" t="n">
        <f aca="false">HV226/GS226</f>
        <v>0</v>
      </c>
      <c r="IB226" s="9" t="n">
        <f aca="false">(HW226/GT226)</f>
        <v>0</v>
      </c>
      <c r="IC226" s="9" t="n">
        <f aca="false">(HX226/GU226)</f>
        <v>0</v>
      </c>
      <c r="ID226" s="9" t="n">
        <f aca="false">(HY226/GV226)</f>
        <v>0.0857142857142857</v>
      </c>
      <c r="IE226" s="9" t="n">
        <f aca="false">(100*ID226)</f>
        <v>8.57142857142857</v>
      </c>
      <c r="IF226" s="18" t="n">
        <v>1</v>
      </c>
      <c r="IG226" s="9" t="n">
        <v>0</v>
      </c>
      <c r="IH226" s="9" t="n">
        <v>8</v>
      </c>
      <c r="II226" s="19" t="n">
        <v>5</v>
      </c>
      <c r="IJ226" s="9" t="n">
        <v>2</v>
      </c>
      <c r="IK226" s="9" t="n">
        <f aca="false">(IG226+IH226+II226+IJ226)/4</f>
        <v>3.75</v>
      </c>
      <c r="IL226" s="9" t="n">
        <f aca="false">(IG226/GM226)</f>
        <v>0</v>
      </c>
      <c r="IM226" s="9" t="n">
        <f aca="false">(IH226/GN226)</f>
        <v>0.4</v>
      </c>
      <c r="IN226" s="9" t="n">
        <f aca="false">(II226/GO226)</f>
        <v>0.416666666666667</v>
      </c>
      <c r="IO226" s="9" t="n">
        <f aca="false">(IJ226/GP226)</f>
        <v>0.5</v>
      </c>
      <c r="IP226" s="9" t="n">
        <f aca="false">(IK226/GQ226)</f>
        <v>0.245901639344262</v>
      </c>
      <c r="IQ226" s="9" t="n">
        <f aca="false">(100*IP226)</f>
        <v>24.5901639344262</v>
      </c>
      <c r="IR226" s="18" t="n">
        <v>2</v>
      </c>
      <c r="IS226" s="9" t="n">
        <v>40.7</v>
      </c>
      <c r="IT226" s="9" t="n">
        <v>52.4</v>
      </c>
      <c r="IU226" s="19" t="n">
        <v>52.2</v>
      </c>
      <c r="IV226" s="9" t="n">
        <v>43.1</v>
      </c>
      <c r="IW226" s="9" t="n">
        <f aca="false">(IS226+IT226+IU226+IV226)/4</f>
        <v>47.1</v>
      </c>
      <c r="IX226" s="16" t="n">
        <v>45211</v>
      </c>
      <c r="IY226" s="10" t="s">
        <v>268</v>
      </c>
    </row>
    <row r="227" customFormat="false" ht="15.75" hidden="false" customHeight="true" outlineLevel="0" collapsed="false">
      <c r="A227" s="9" t="s">
        <v>299</v>
      </c>
      <c r="B227" s="10" t="s">
        <v>776</v>
      </c>
      <c r="C227" s="44" t="s">
        <v>727</v>
      </c>
      <c r="D227" s="44" t="n">
        <v>5</v>
      </c>
      <c r="E227" s="44" t="n">
        <v>76</v>
      </c>
      <c r="F227" s="44" t="s">
        <v>777</v>
      </c>
      <c r="G227" s="44" t="s">
        <v>394</v>
      </c>
      <c r="H227" s="44" t="n">
        <v>21</v>
      </c>
      <c r="I227" s="44" t="n">
        <v>5</v>
      </c>
      <c r="J227" s="45" t="s">
        <v>264</v>
      </c>
      <c r="K227" s="13" t="s">
        <v>778</v>
      </c>
      <c r="L227" s="13" t="s">
        <v>779</v>
      </c>
      <c r="M227" s="14" t="n">
        <v>1310</v>
      </c>
      <c r="N227" s="15" t="n">
        <v>45135</v>
      </c>
      <c r="O227" s="10" t="s">
        <v>267</v>
      </c>
      <c r="P227" s="9"/>
      <c r="Q227" s="9" t="n">
        <v>0.5</v>
      </c>
      <c r="R227" s="9" t="n">
        <v>8</v>
      </c>
      <c r="S227" s="9" t="n">
        <v>-15</v>
      </c>
      <c r="T227" s="9" t="n">
        <v>90</v>
      </c>
      <c r="U227" s="9"/>
      <c r="V227" s="9" t="n">
        <f aca="false">(19.5/100)</f>
        <v>0.195</v>
      </c>
      <c r="W227" s="9"/>
      <c r="X227" s="9" t="n">
        <v>0</v>
      </c>
      <c r="Y227" s="9" t="n">
        <v>0</v>
      </c>
      <c r="Z227" s="9" t="n">
        <v>0</v>
      </c>
      <c r="AA227" s="9" t="n">
        <v>0</v>
      </c>
      <c r="AB227" s="11" t="n">
        <f aca="false">(X227+Y227+Z227+AA227)/4</f>
        <v>0</v>
      </c>
      <c r="AC227" s="9" t="n">
        <v>1</v>
      </c>
      <c r="AD227" s="9" t="n">
        <v>1</v>
      </c>
      <c r="AE227" s="9" t="n">
        <v>1</v>
      </c>
      <c r="AF227" s="9" t="n">
        <v>1</v>
      </c>
      <c r="AG227" s="11" t="n">
        <f aca="false">(AC227+AD227+AE227+AF227)/4</f>
        <v>1</v>
      </c>
      <c r="AH227" s="9" t="n">
        <v>1</v>
      </c>
      <c r="AI227" s="9" t="n">
        <v>1</v>
      </c>
      <c r="AJ227" s="9" t="n">
        <v>1</v>
      </c>
      <c r="AK227" s="9" t="n">
        <v>1</v>
      </c>
      <c r="AL227" s="11" t="n">
        <f aca="false">(AH227+AI227+AJ227+AK227)/4</f>
        <v>1</v>
      </c>
      <c r="AM227" s="9" t="n">
        <v>35</v>
      </c>
      <c r="AN227" s="9" t="n">
        <v>49</v>
      </c>
      <c r="AO227" s="9" t="n">
        <v>50</v>
      </c>
      <c r="AP227" s="9" t="n">
        <v>104</v>
      </c>
      <c r="AQ227" s="11" t="n">
        <f aca="false">(AM227+AN227+AO227+AP227)/4</f>
        <v>59.5</v>
      </c>
      <c r="AR227" s="9" t="n">
        <v>30</v>
      </c>
      <c r="AS227" s="9" t="n">
        <v>45</v>
      </c>
      <c r="AT227" s="9" t="n">
        <v>17</v>
      </c>
      <c r="AU227" s="9" t="n">
        <v>67</v>
      </c>
      <c r="AV227" s="11" t="n">
        <f aca="false">(AR227+AS227+AT227+AU227)/4</f>
        <v>39.75</v>
      </c>
      <c r="AW227" s="9" t="n">
        <v>0</v>
      </c>
      <c r="AX227" s="9" t="n">
        <v>0</v>
      </c>
      <c r="AY227" s="9" t="n">
        <v>0</v>
      </c>
      <c r="AZ227" s="9" t="n">
        <v>0</v>
      </c>
      <c r="BA227" s="11" t="n">
        <f aca="false">(AW227+AX227+AY227+AZ227)/4</f>
        <v>0</v>
      </c>
      <c r="BB227" s="11" t="n">
        <f aca="false">(AW227/AR227)</f>
        <v>0</v>
      </c>
      <c r="BC227" s="11" t="n">
        <f aca="false">(AX227/AS227)</f>
        <v>0</v>
      </c>
      <c r="BD227" s="11" t="n">
        <f aca="false">(AY227/AT227)</f>
        <v>0</v>
      </c>
      <c r="BE227" s="11" t="n">
        <f aca="false">(AZ227/AU227)</f>
        <v>0</v>
      </c>
      <c r="BF227" s="11" t="n">
        <f aca="false">(BA227/AV227)</f>
        <v>0</v>
      </c>
      <c r="BG227" s="11" t="n">
        <f aca="false">(BF227*100)</f>
        <v>0</v>
      </c>
      <c r="BH227" s="9" t="n">
        <v>0</v>
      </c>
      <c r="BI227" s="9" t="n">
        <v>8</v>
      </c>
      <c r="BJ227" s="9" t="n">
        <v>10</v>
      </c>
      <c r="BK227" s="9" t="n">
        <v>9</v>
      </c>
      <c r="BL227" s="9" t="n">
        <v>20</v>
      </c>
      <c r="BM227" s="11" t="n">
        <f aca="false">(BI227+BJ227+BK227+BL227)/4</f>
        <v>11.75</v>
      </c>
      <c r="BN227" s="11" t="n">
        <f aca="false">(BI227/AR227)</f>
        <v>0.266666666666667</v>
      </c>
      <c r="BO227" s="11" t="n">
        <f aca="false">(BJ227/AS227)</f>
        <v>0.222222222222222</v>
      </c>
      <c r="BP227" s="11" t="n">
        <f aca="false">(BK227/AT227)</f>
        <v>0.529411764705882</v>
      </c>
      <c r="BQ227" s="11" t="n">
        <f aca="false">(BL227/AU227)</f>
        <v>0.298507462686567</v>
      </c>
      <c r="BR227" s="11" t="n">
        <f aca="false">(BM227/AV227)</f>
        <v>0.29559748427673</v>
      </c>
      <c r="BS227" s="11" t="n">
        <f aca="false">(100*BR227)</f>
        <v>29.559748427673</v>
      </c>
      <c r="BT227" s="9" t="n">
        <v>2</v>
      </c>
      <c r="BU227" s="9" t="n">
        <v>0</v>
      </c>
      <c r="BV227" s="9" t="n">
        <v>0</v>
      </c>
      <c r="BW227" s="9" t="n">
        <v>0</v>
      </c>
      <c r="BX227" s="9" t="n">
        <v>0</v>
      </c>
      <c r="BY227" s="11" t="n">
        <f aca="false">(BU227+BV227+BW227+BX227)/4</f>
        <v>0</v>
      </c>
      <c r="BZ227" s="11" t="n">
        <f aca="false">(BU227/AR227)</f>
        <v>0</v>
      </c>
      <c r="CA227" s="11" t="n">
        <f aca="false">(BV227/AS227)</f>
        <v>0</v>
      </c>
      <c r="CB227" s="11" t="n">
        <f aca="false">(BW227/AT227)</f>
        <v>0</v>
      </c>
      <c r="CC227" s="11" t="n">
        <f aca="false">(BX227/AU227)</f>
        <v>0</v>
      </c>
      <c r="CD227" s="11" t="n">
        <f aca="false">(BY227/AV227)</f>
        <v>0</v>
      </c>
      <c r="CE227" s="11" t="n">
        <f aca="false">(100*CD227)</f>
        <v>0</v>
      </c>
      <c r="CF227" s="9" t="n">
        <v>0</v>
      </c>
      <c r="CG227" s="9" t="n">
        <v>3</v>
      </c>
      <c r="CH227" s="9" t="n">
        <v>5</v>
      </c>
      <c r="CI227" s="9" t="n">
        <v>20</v>
      </c>
      <c r="CJ227" s="9" t="n">
        <v>28</v>
      </c>
      <c r="CK227" s="11" t="n">
        <f aca="false">(CG227+CH227+CI227+CJ227)/4</f>
        <v>14</v>
      </c>
      <c r="CL227" s="11" t="n">
        <f aca="false">(CG227/AM227)</f>
        <v>0.0857142857142857</v>
      </c>
      <c r="CM227" s="11" t="n">
        <f aca="false">(CH227/AN227)</f>
        <v>0.102040816326531</v>
      </c>
      <c r="CN227" s="11" t="n">
        <f aca="false">(CI227/AO227)</f>
        <v>0.4</v>
      </c>
      <c r="CO227" s="9" t="n">
        <f aca="false">(CJ227/AP227)</f>
        <v>0.269230769230769</v>
      </c>
      <c r="CP227" s="9" t="n">
        <f aca="false">(CK227/AQ227)</f>
        <v>0.235294117647059</v>
      </c>
      <c r="CQ227" s="9" t="n">
        <f aca="false">(100*CP227)</f>
        <v>23.5294117647059</v>
      </c>
      <c r="CR227" s="18" t="n">
        <v>2</v>
      </c>
      <c r="CS227" s="9" t="n">
        <v>62.3</v>
      </c>
      <c r="CT227" s="9" t="n">
        <v>43.5</v>
      </c>
      <c r="CU227" s="9" t="n">
        <v>49.2</v>
      </c>
      <c r="CV227" s="9" t="n">
        <v>58.6</v>
      </c>
      <c r="CW227" s="11" t="n">
        <f aca="false">(CS227+CT227+CU227+CV227)/4</f>
        <v>53.4</v>
      </c>
      <c r="CX227" s="9" t="n">
        <v>1</v>
      </c>
      <c r="CY227" s="9" t="n">
        <v>0</v>
      </c>
      <c r="CZ227" s="9" t="n">
        <v>0</v>
      </c>
      <c r="DA227" s="9" t="n">
        <v>0</v>
      </c>
      <c r="DB227" s="11" t="n">
        <f aca="false">(CX227+CY227+CZ227+DA227)/4</f>
        <v>0.25</v>
      </c>
      <c r="DC227" s="9" t="n">
        <v>1</v>
      </c>
      <c r="DD227" s="9" t="n">
        <v>1</v>
      </c>
      <c r="DE227" s="9" t="n">
        <v>1</v>
      </c>
      <c r="DF227" s="9" t="n">
        <v>1</v>
      </c>
      <c r="DG227" s="11" t="n">
        <f aca="false">(DC227+DD227+DE227+DF227)/4</f>
        <v>1</v>
      </c>
      <c r="DH227" s="9" t="n">
        <v>1</v>
      </c>
      <c r="DI227" s="9" t="n">
        <v>1</v>
      </c>
      <c r="DJ227" s="9" t="n">
        <v>1</v>
      </c>
      <c r="DK227" s="9" t="n">
        <v>1</v>
      </c>
      <c r="DL227" s="11" t="n">
        <f aca="false">(DH227+DI227+DJ227+DK227)/4</f>
        <v>1</v>
      </c>
      <c r="DM227" s="9" t="n">
        <v>97</v>
      </c>
      <c r="DN227" s="9" t="n">
        <v>42</v>
      </c>
      <c r="DO227" s="9" t="n">
        <v>60</v>
      </c>
      <c r="DP227" s="9" t="n">
        <v>50</v>
      </c>
      <c r="DQ227" s="11" t="n">
        <f aca="false">(DM227+DN227+DO227+DP227)/4</f>
        <v>62.25</v>
      </c>
      <c r="DR227" s="9" t="n">
        <v>38</v>
      </c>
      <c r="DS227" s="9" t="n">
        <v>20</v>
      </c>
      <c r="DT227" s="9" t="n">
        <v>48</v>
      </c>
      <c r="DU227" s="9" t="n">
        <v>24</v>
      </c>
      <c r="DV227" s="11" t="n">
        <f aca="false">(DR227+DS227+DT227+DU227)/4</f>
        <v>32.5</v>
      </c>
      <c r="DW227" s="9" t="n">
        <v>1</v>
      </c>
      <c r="DX227" s="9" t="n">
        <v>0</v>
      </c>
      <c r="DY227" s="9" t="n">
        <v>0</v>
      </c>
      <c r="DZ227" s="9" t="n">
        <v>0</v>
      </c>
      <c r="EA227" s="11" t="n">
        <f aca="false">(DW227+DX227+DY227+DZ227)/4</f>
        <v>0.25</v>
      </c>
      <c r="EB227" s="11" t="n">
        <f aca="false">(DW227/DR227)</f>
        <v>0.0263157894736842</v>
      </c>
      <c r="EC227" s="11" t="n">
        <f aca="false">(DX227/DS227)</f>
        <v>0</v>
      </c>
      <c r="ED227" s="11" t="n">
        <f aca="false">(DY227/DT227)</f>
        <v>0</v>
      </c>
      <c r="EE227" s="11" t="n">
        <f aca="false">(DZ227/DU227)</f>
        <v>0</v>
      </c>
      <c r="EF227" s="11" t="n">
        <f aca="false">(EA227/DV227)</f>
        <v>0.00769230769230769</v>
      </c>
      <c r="EG227" s="11" t="n">
        <f aca="false">(100*EF227)</f>
        <v>0.769230769230769</v>
      </c>
      <c r="EH227" s="9" t="n">
        <v>1</v>
      </c>
      <c r="EI227" s="9" t="n">
        <v>18</v>
      </c>
      <c r="EJ227" s="9" t="n">
        <v>9</v>
      </c>
      <c r="EK227" s="19" t="n">
        <v>9</v>
      </c>
      <c r="EL227" s="9" t="n">
        <v>8</v>
      </c>
      <c r="EM227" s="9" t="n">
        <f aca="false">(EI227+EJ227+EK227+EL227)/4</f>
        <v>11</v>
      </c>
      <c r="EN227" s="9" t="n">
        <f aca="false">(EI227/DR227)</f>
        <v>0.473684210526316</v>
      </c>
      <c r="EO227" s="9" t="n">
        <f aca="false">(EJ227/DS227)</f>
        <v>0.45</v>
      </c>
      <c r="EP227" s="9" t="n">
        <f aca="false">(EK227/DT227)</f>
        <v>0.1875</v>
      </c>
      <c r="EQ227" s="9" t="n">
        <f aca="false">(EL227/DU227)</f>
        <v>0.333333333333333</v>
      </c>
      <c r="ER227" s="9" t="n">
        <f aca="false">EM227/DV227</f>
        <v>0.338461538461539</v>
      </c>
      <c r="ES227" s="9" t="n">
        <f aca="false">(100*ER227)</f>
        <v>33.8461538461539</v>
      </c>
      <c r="ET227" s="9" t="n">
        <v>3</v>
      </c>
      <c r="EU227" s="18" t="n">
        <v>0</v>
      </c>
      <c r="EV227" s="9" t="n">
        <v>0</v>
      </c>
      <c r="EW227" s="9" t="n">
        <v>0</v>
      </c>
      <c r="EX227" s="9" t="n">
        <v>0</v>
      </c>
      <c r="EY227" s="11" t="n">
        <f aca="false">(EU227+EV227+EW227+EX227)/4</f>
        <v>0</v>
      </c>
      <c r="EZ227" s="11" t="n">
        <f aca="false">(EU227/DR227)</f>
        <v>0</v>
      </c>
      <c r="FA227" s="11" t="n">
        <f aca="false">(EV227/DS227)</f>
        <v>0</v>
      </c>
      <c r="FB227" s="11" t="n">
        <f aca="false">(EW227/DT227)</f>
        <v>0</v>
      </c>
      <c r="FC227" s="11" t="n">
        <f aca="false">(EX227/DU227)</f>
        <v>0</v>
      </c>
      <c r="FD227" s="11" t="n">
        <f aca="false">(EY227/DV227)</f>
        <v>0</v>
      </c>
      <c r="FE227" s="11" t="n">
        <f aca="false">(100*FD227)</f>
        <v>0</v>
      </c>
      <c r="FF227" s="9" t="n">
        <v>0</v>
      </c>
      <c r="FG227" s="9" t="n">
        <v>30</v>
      </c>
      <c r="FH227" s="9" t="n">
        <v>20</v>
      </c>
      <c r="FI227" s="9" t="n">
        <v>5</v>
      </c>
      <c r="FJ227" s="9" t="n">
        <v>25</v>
      </c>
      <c r="FK227" s="11" t="n">
        <f aca="false">(FG227+FH227+FI227+FJ227)/4</f>
        <v>20</v>
      </c>
      <c r="FL227" s="11" t="n">
        <f aca="false">(FG227/DR227)</f>
        <v>0.789473684210526</v>
      </c>
      <c r="FM227" s="11" t="n">
        <f aca="false">(FH227/DS227)</f>
        <v>1</v>
      </c>
      <c r="FN227" s="11" t="n">
        <f aca="false">(FI227/DT227)</f>
        <v>0.104166666666667</v>
      </c>
      <c r="FO227" s="11" t="n">
        <f aca="false">(FJ227/DU227)</f>
        <v>1.04166666666667</v>
      </c>
      <c r="FP227" s="11" t="n">
        <f aca="false">(FK227/DV227)</f>
        <v>0.615384615384615</v>
      </c>
      <c r="FQ227" s="11" t="n">
        <f aca="false">(100*FP227)</f>
        <v>61.5384615384615</v>
      </c>
      <c r="FR227" s="9" t="n">
        <v>3</v>
      </c>
      <c r="FS227" s="9" t="n">
        <v>60.5</v>
      </c>
      <c r="FT227" s="9" t="n">
        <v>59.3</v>
      </c>
      <c r="FU227" s="9" t="n">
        <v>73.5</v>
      </c>
      <c r="FV227" s="9" t="n">
        <v>71.1</v>
      </c>
      <c r="FW227" s="11" t="n">
        <f aca="false">(FS227+FT227+FU227+FV227)/4</f>
        <v>66.1</v>
      </c>
      <c r="FX227" s="9" t="n">
        <v>0</v>
      </c>
      <c r="FY227" s="9" t="n">
        <v>0</v>
      </c>
      <c r="FZ227" s="9" t="n">
        <v>0</v>
      </c>
      <c r="GA227" s="9" t="n">
        <v>0</v>
      </c>
      <c r="GB227" s="11" t="n">
        <f aca="false">(FX227+FY227+FZ227+GA227)/4</f>
        <v>0</v>
      </c>
      <c r="GC227" s="9" t="n">
        <v>1</v>
      </c>
      <c r="GD227" s="9" t="n">
        <v>1</v>
      </c>
      <c r="GE227" s="9" t="n">
        <v>1</v>
      </c>
      <c r="GF227" s="9" t="n">
        <v>1</v>
      </c>
      <c r="GG227" s="11" t="n">
        <f aca="false">(GC227+GD227+GE227+GF227)/4</f>
        <v>1</v>
      </c>
      <c r="GH227" s="9" t="n">
        <v>1</v>
      </c>
      <c r="GI227" s="9" t="n">
        <v>1</v>
      </c>
      <c r="GJ227" s="9" t="n">
        <v>1</v>
      </c>
      <c r="GK227" s="9" t="n">
        <v>1</v>
      </c>
      <c r="GL227" s="11" t="n">
        <f aca="false">(GH227+GI227+GJ227+GK227)/4</f>
        <v>1</v>
      </c>
      <c r="GM227" s="9" t="n">
        <v>65</v>
      </c>
      <c r="GN227" s="9" t="n">
        <v>62</v>
      </c>
      <c r="GO227" s="9" t="n">
        <v>70</v>
      </c>
      <c r="GP227" s="9" t="n">
        <v>39</v>
      </c>
      <c r="GQ227" s="11" t="n">
        <f aca="false">(GM227+GN227+GO227+GP227)/4</f>
        <v>59</v>
      </c>
      <c r="GR227" s="9" t="n">
        <v>33</v>
      </c>
      <c r="GS227" s="9" t="n">
        <v>47</v>
      </c>
      <c r="GT227" s="9" t="n">
        <v>13</v>
      </c>
      <c r="GU227" s="9" t="n">
        <v>26</v>
      </c>
      <c r="GV227" s="11" t="n">
        <f aca="false">(GR227+GS227+GT227+GU227)/4</f>
        <v>29.75</v>
      </c>
      <c r="GW227" s="9" t="n">
        <v>0</v>
      </c>
      <c r="GX227" s="9" t="n">
        <v>0</v>
      </c>
      <c r="GY227" s="9" t="n">
        <v>0</v>
      </c>
      <c r="GZ227" s="9" t="n">
        <v>0</v>
      </c>
      <c r="HA227" s="11" t="n">
        <f aca="false">(GW227+GX227+GY227+GZ227)/4</f>
        <v>0</v>
      </c>
      <c r="HB227" s="9"/>
      <c r="HC227" s="9" t="n">
        <f aca="false">(GX227/GS227)</f>
        <v>0</v>
      </c>
      <c r="HD227" s="9" t="n">
        <f aca="false">(GY227/GT227)</f>
        <v>0</v>
      </c>
      <c r="HE227" s="9" t="n">
        <f aca="false">(GZ227/GU227)/4</f>
        <v>0</v>
      </c>
      <c r="HF227" s="9" t="n">
        <f aca="false">(HB227+HC227+HD227+HE227)/4</f>
        <v>0</v>
      </c>
      <c r="HG227" s="9" t="n">
        <f aca="false">(100*HF227)</f>
        <v>0</v>
      </c>
      <c r="HH227" s="18" t="n">
        <v>0</v>
      </c>
      <c r="HI227" s="9" t="n">
        <v>11</v>
      </c>
      <c r="HJ227" s="9" t="n">
        <v>10</v>
      </c>
      <c r="HK227" s="9" t="n">
        <v>6</v>
      </c>
      <c r="HL227" s="19" t="n">
        <v>3</v>
      </c>
      <c r="HM227" s="9" t="n">
        <f aca="false">(HI227+HJ227+HK227+HL227)/4</f>
        <v>7.5</v>
      </c>
      <c r="HN227" s="9" t="n">
        <f aca="false">(HI227/GR227)</f>
        <v>0.333333333333333</v>
      </c>
      <c r="HO227" s="9" t="n">
        <f aca="false">(HJ227/GS227)</f>
        <v>0.212765957446809</v>
      </c>
      <c r="HP227" s="9" t="n">
        <f aca="false">(HK227/GT227)</f>
        <v>0.461538461538462</v>
      </c>
      <c r="HQ227" s="9" t="n">
        <f aca="false">(HL227/GU227)</f>
        <v>0.115384615384615</v>
      </c>
      <c r="HR227" s="9" t="n">
        <f aca="false">(HM227/GV227)</f>
        <v>0.252100840336134</v>
      </c>
      <c r="HS227" s="9" t="n">
        <f aca="false">(100*HR227)</f>
        <v>25.2100840336134</v>
      </c>
      <c r="HT227" s="18" t="n">
        <v>2</v>
      </c>
      <c r="HU227" s="9" t="n">
        <v>0</v>
      </c>
      <c r="HV227" s="9" t="n">
        <v>0</v>
      </c>
      <c r="HW227" s="9" t="n">
        <v>0</v>
      </c>
      <c r="HX227" s="19" t="n">
        <v>0</v>
      </c>
      <c r="HY227" s="9" t="n">
        <f aca="false">(HU227+HV227+HW227+HX227)/4</f>
        <v>0</v>
      </c>
      <c r="HZ227" s="9" t="n">
        <f aca="false">(HU227/GR227)</f>
        <v>0</v>
      </c>
      <c r="IA227" s="9" t="n">
        <f aca="false">HV227/GS227</f>
        <v>0</v>
      </c>
      <c r="IB227" s="9" t="n">
        <f aca="false">(HW227/GT227)</f>
        <v>0</v>
      </c>
      <c r="IC227" s="9" t="n">
        <f aca="false">(HX227/GU227)</f>
        <v>0</v>
      </c>
      <c r="ID227" s="9" t="n">
        <f aca="false">(HY227/GV227)</f>
        <v>0</v>
      </c>
      <c r="IE227" s="9" t="n">
        <f aca="false">(100*ID227)</f>
        <v>0</v>
      </c>
      <c r="IF227" s="18" t="n">
        <v>0</v>
      </c>
      <c r="IG227" s="9" t="n">
        <v>9</v>
      </c>
      <c r="IH227" s="9" t="n">
        <v>7</v>
      </c>
      <c r="II227" s="19" t="n">
        <v>6</v>
      </c>
      <c r="IJ227" s="9" t="n">
        <v>5</v>
      </c>
      <c r="IK227" s="9" t="n">
        <f aca="false">(IG227+IH227+II227+IJ227)/4</f>
        <v>6.75</v>
      </c>
      <c r="IL227" s="9" t="n">
        <f aca="false">(IG227/GM227)</f>
        <v>0.138461538461538</v>
      </c>
      <c r="IM227" s="9" t="n">
        <f aca="false">(IH227/GN227)</f>
        <v>0.112903225806452</v>
      </c>
      <c r="IN227" s="9" t="n">
        <f aca="false">(II227/GO227)</f>
        <v>0.0857142857142857</v>
      </c>
      <c r="IO227" s="9" t="n">
        <f aca="false">(IJ227/GP227)</f>
        <v>0.128205128205128</v>
      </c>
      <c r="IP227" s="9" t="n">
        <f aca="false">(IK227/GQ227)</f>
        <v>0.114406779661017</v>
      </c>
      <c r="IQ227" s="9" t="n">
        <f aca="false">(100*IP227)</f>
        <v>11.4406779661017</v>
      </c>
      <c r="IR227" s="18" t="n">
        <v>2</v>
      </c>
      <c r="IS227" s="9" t="n">
        <v>66.6</v>
      </c>
      <c r="IT227" s="9" t="n">
        <v>70.5</v>
      </c>
      <c r="IU227" s="19" t="n">
        <v>68.7</v>
      </c>
      <c r="IV227" s="9" t="n">
        <v>67.7</v>
      </c>
      <c r="IW227" s="9" t="n">
        <f aca="false">(IS227+IT227+IU227+IV227)/4</f>
        <v>68.375</v>
      </c>
      <c r="IX227" s="16" t="n">
        <v>45211</v>
      </c>
      <c r="IY227" s="10" t="s">
        <v>268</v>
      </c>
    </row>
    <row r="228" customFormat="false" ht="15.75" hidden="false" customHeight="true" outlineLevel="0" collapsed="false">
      <c r="A228" s="9" t="s">
        <v>299</v>
      </c>
      <c r="B228" s="10" t="s">
        <v>776</v>
      </c>
      <c r="C228" s="10" t="s">
        <v>727</v>
      </c>
      <c r="D228" s="9" t="n">
        <v>5</v>
      </c>
      <c r="E228" s="9" t="n">
        <v>76</v>
      </c>
      <c r="F228" s="10" t="s">
        <v>780</v>
      </c>
      <c r="G228" s="10" t="s">
        <v>275</v>
      </c>
      <c r="H228" s="9" t="n">
        <v>21</v>
      </c>
      <c r="I228" s="9" t="n">
        <v>10</v>
      </c>
      <c r="J228" s="12" t="s">
        <v>270</v>
      </c>
      <c r="K228" s="20"/>
      <c r="L228" s="20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 t="n">
        <v>0</v>
      </c>
      <c r="Y228" s="9" t="n">
        <v>0</v>
      </c>
      <c r="Z228" s="9" t="n">
        <v>0</v>
      </c>
      <c r="AA228" s="9" t="n">
        <v>0</v>
      </c>
      <c r="AB228" s="11" t="n">
        <f aca="false">(X228+Y228+Z228+AA228)/4</f>
        <v>0</v>
      </c>
      <c r="AC228" s="9" t="n">
        <v>1</v>
      </c>
      <c r="AD228" s="9" t="n">
        <v>1</v>
      </c>
      <c r="AE228" s="9" t="n">
        <v>0</v>
      </c>
      <c r="AF228" s="9" t="n">
        <v>1</v>
      </c>
      <c r="AG228" s="11" t="n">
        <f aca="false">(AC228+AD228+AE228+AF228)/4</f>
        <v>0.75</v>
      </c>
      <c r="AH228" s="9" t="n">
        <v>1</v>
      </c>
      <c r="AI228" s="9" t="n">
        <v>1</v>
      </c>
      <c r="AJ228" s="9" t="n">
        <v>0</v>
      </c>
      <c r="AK228" s="9" t="n">
        <v>1</v>
      </c>
      <c r="AL228" s="11" t="n">
        <f aca="false">(AH228+AI228+AJ228+AK228)/4</f>
        <v>0.75</v>
      </c>
      <c r="AM228" s="9" t="n">
        <v>72</v>
      </c>
      <c r="AN228" s="9" t="n">
        <v>121</v>
      </c>
      <c r="AO228" s="9" t="n">
        <v>25</v>
      </c>
      <c r="AP228" s="9" t="n">
        <v>73</v>
      </c>
      <c r="AQ228" s="11" t="n">
        <f aca="false">(AM228+AN228+AO228+AP228)/4</f>
        <v>72.75</v>
      </c>
      <c r="AR228" s="9" t="n">
        <v>8</v>
      </c>
      <c r="AS228" s="9" t="n">
        <v>18</v>
      </c>
      <c r="AT228" s="9" t="n">
        <v>6</v>
      </c>
      <c r="AU228" s="9" t="n">
        <v>18</v>
      </c>
      <c r="AV228" s="11" t="n">
        <f aca="false">(AR228+AS228+AT228+AU228)/4</f>
        <v>12.5</v>
      </c>
      <c r="AW228" s="9" t="n">
        <v>0</v>
      </c>
      <c r="AX228" s="9" t="n">
        <v>0</v>
      </c>
      <c r="AY228" s="9" t="n">
        <v>0</v>
      </c>
      <c r="AZ228" s="9" t="n">
        <v>0</v>
      </c>
      <c r="BA228" s="11" t="n">
        <f aca="false">(AW228+AX228+AY228+AZ228)/4</f>
        <v>0</v>
      </c>
      <c r="BB228" s="11" t="n">
        <f aca="false">(AW228/AR228)</f>
        <v>0</v>
      </c>
      <c r="BC228" s="11" t="n">
        <f aca="false">(AX228/AS228)</f>
        <v>0</v>
      </c>
      <c r="BD228" s="11" t="n">
        <f aca="false">(AY228/AT228)</f>
        <v>0</v>
      </c>
      <c r="BE228" s="11" t="n">
        <f aca="false">(AZ228/AU228)</f>
        <v>0</v>
      </c>
      <c r="BF228" s="11" t="n">
        <f aca="false">(BA228/AV228)</f>
        <v>0</v>
      </c>
      <c r="BG228" s="11" t="n">
        <f aca="false">(BF228*100)</f>
        <v>0</v>
      </c>
      <c r="BH228" s="9" t="n">
        <v>0</v>
      </c>
      <c r="BI228" s="9" t="n">
        <v>4</v>
      </c>
      <c r="BJ228" s="9" t="n">
        <v>7</v>
      </c>
      <c r="BK228" s="9" t="n">
        <v>0</v>
      </c>
      <c r="BL228" s="9" t="n">
        <v>4</v>
      </c>
      <c r="BM228" s="11" t="n">
        <f aca="false">(BI228+BJ228+BK228+BL228)/4</f>
        <v>3.75</v>
      </c>
      <c r="BN228" s="11" t="n">
        <f aca="false">(BI228/AR228)</f>
        <v>0.5</v>
      </c>
      <c r="BO228" s="11" t="n">
        <f aca="false">(BJ228/AS228)</f>
        <v>0.388888888888889</v>
      </c>
      <c r="BP228" s="11" t="n">
        <f aca="false">(BK228/AT228)</f>
        <v>0</v>
      </c>
      <c r="BQ228" s="11" t="n">
        <f aca="false">(BL228/AU228)</f>
        <v>0.222222222222222</v>
      </c>
      <c r="BR228" s="11" t="n">
        <f aca="false">(BM228/AV228)</f>
        <v>0.3</v>
      </c>
      <c r="BS228" s="11" t="n">
        <f aca="false">(100*BR228)</f>
        <v>30</v>
      </c>
      <c r="BT228" s="9" t="n">
        <v>3</v>
      </c>
      <c r="BU228" s="9" t="n">
        <v>0</v>
      </c>
      <c r="BV228" s="9" t="n">
        <v>0</v>
      </c>
      <c r="BW228" s="9" t="n">
        <v>0</v>
      </c>
      <c r="BX228" s="9" t="n">
        <v>0</v>
      </c>
      <c r="BY228" s="11" t="n">
        <f aca="false">(BU228+BV228+BW228+BX228)/4</f>
        <v>0</v>
      </c>
      <c r="BZ228" s="11" t="n">
        <f aca="false">(BU228/AR228)</f>
        <v>0</v>
      </c>
      <c r="CA228" s="11" t="n">
        <f aca="false">(BV228/AS228)</f>
        <v>0</v>
      </c>
      <c r="CB228" s="11" t="n">
        <f aca="false">(BW228/AT228)</f>
        <v>0</v>
      </c>
      <c r="CC228" s="11" t="n">
        <f aca="false">(BX228/AU228)</f>
        <v>0</v>
      </c>
      <c r="CD228" s="11" t="n">
        <f aca="false">(BY228/AV228)</f>
        <v>0</v>
      </c>
      <c r="CE228" s="11" t="n">
        <f aca="false">(100*CD228)</f>
        <v>0</v>
      </c>
      <c r="CF228" s="9" t="n">
        <v>0</v>
      </c>
      <c r="CG228" s="9" t="n">
        <v>22</v>
      </c>
      <c r="CH228" s="9" t="n">
        <v>53</v>
      </c>
      <c r="CI228" s="9" t="n">
        <v>0</v>
      </c>
      <c r="CJ228" s="9" t="n">
        <v>11</v>
      </c>
      <c r="CK228" s="11" t="n">
        <f aca="false">(CG228+CH228+CI228+CJ228)/4</f>
        <v>21.5</v>
      </c>
      <c r="CL228" s="11" t="n">
        <f aca="false">(CG228/AM228)</f>
        <v>0.305555555555556</v>
      </c>
      <c r="CM228" s="11" t="n">
        <f aca="false">(CH228/AN228)</f>
        <v>0.43801652892562</v>
      </c>
      <c r="CN228" s="11" t="n">
        <f aca="false">(CI228/AO228)</f>
        <v>0</v>
      </c>
      <c r="CO228" s="9" t="n">
        <f aca="false">(CJ228/AP228)</f>
        <v>0.150684931506849</v>
      </c>
      <c r="CP228" s="9" t="n">
        <f aca="false">(CK228/AQ228)</f>
        <v>0.29553264604811</v>
      </c>
      <c r="CQ228" s="9" t="n">
        <f aca="false">(100*CP228)</f>
        <v>29.553264604811</v>
      </c>
      <c r="CR228" s="18" t="n">
        <v>0</v>
      </c>
      <c r="CS228" s="9" t="n">
        <v>36.8</v>
      </c>
      <c r="CT228" s="9" t="n">
        <v>45.9</v>
      </c>
      <c r="CU228" s="9" t="n">
        <v>53.7</v>
      </c>
      <c r="CV228" s="9" t="n">
        <v>44.3</v>
      </c>
      <c r="CW228" s="11" t="n">
        <f aca="false">(CS228+CT228+CU228+CV228)/4</f>
        <v>45.175</v>
      </c>
      <c r="CX228" s="9" t="n">
        <v>0</v>
      </c>
      <c r="CY228" s="9" t="n">
        <v>0</v>
      </c>
      <c r="CZ228" s="9" t="n">
        <v>0</v>
      </c>
      <c r="DA228" s="9" t="n">
        <v>0</v>
      </c>
      <c r="DB228" s="11" t="n">
        <f aca="false">(CX228+CY228+CZ228+DA228)/4</f>
        <v>0</v>
      </c>
      <c r="DC228" s="9" t="n">
        <v>1</v>
      </c>
      <c r="DD228" s="9" t="n">
        <v>1</v>
      </c>
      <c r="DE228" s="9" t="n">
        <v>1</v>
      </c>
      <c r="DF228" s="9" t="n">
        <v>1</v>
      </c>
      <c r="DG228" s="11" t="n">
        <f aca="false">(DC228+DD228+DE228+DF228)/4</f>
        <v>1</v>
      </c>
      <c r="DH228" s="9" t="n">
        <v>1</v>
      </c>
      <c r="DI228" s="9" t="n">
        <v>1</v>
      </c>
      <c r="DJ228" s="9" t="n">
        <v>1</v>
      </c>
      <c r="DK228" s="9" t="n">
        <v>1</v>
      </c>
      <c r="DL228" s="11" t="n">
        <f aca="false">(DH228+DI228+DJ228+DK228)/4</f>
        <v>1</v>
      </c>
      <c r="DM228" s="9" t="n">
        <v>119</v>
      </c>
      <c r="DN228" s="9" t="n">
        <v>32</v>
      </c>
      <c r="DO228" s="9" t="n">
        <v>138</v>
      </c>
      <c r="DP228" s="9" t="n">
        <v>218</v>
      </c>
      <c r="DQ228" s="11" t="n">
        <f aca="false">(DM228+DN228+DO228+DP228)/4</f>
        <v>126.75</v>
      </c>
      <c r="DR228" s="9" t="n">
        <v>10</v>
      </c>
      <c r="DS228" s="9" t="n">
        <v>8</v>
      </c>
      <c r="DT228" s="9" t="n">
        <v>829</v>
      </c>
      <c r="DU228" s="9" t="n">
        <v>25</v>
      </c>
      <c r="DV228" s="11" t="n">
        <f aca="false">(DR228+DS228+DT228+DU228)/4</f>
        <v>218</v>
      </c>
      <c r="DW228" s="9" t="n">
        <v>0</v>
      </c>
      <c r="DX228" s="9" t="n">
        <v>0</v>
      </c>
      <c r="DY228" s="9" t="n">
        <v>0</v>
      </c>
      <c r="DZ228" s="9" t="n">
        <v>0</v>
      </c>
      <c r="EA228" s="11" t="n">
        <f aca="false">(DW228+DX228+DY228+DZ228)/4</f>
        <v>0</v>
      </c>
      <c r="EB228" s="11" t="n">
        <f aca="false">(DW228/DR228)</f>
        <v>0</v>
      </c>
      <c r="EC228" s="11" t="n">
        <f aca="false">(DX228/DS228)</f>
        <v>0</v>
      </c>
      <c r="ED228" s="11" t="n">
        <f aca="false">(DY228/DT228)</f>
        <v>0</v>
      </c>
      <c r="EE228" s="11" t="n">
        <f aca="false">(DZ228/DU228)</f>
        <v>0</v>
      </c>
      <c r="EF228" s="11" t="n">
        <f aca="false">(EA228/DV228)</f>
        <v>0</v>
      </c>
      <c r="EG228" s="11" t="n">
        <f aca="false">(100*EF228)</f>
        <v>0</v>
      </c>
      <c r="EH228" s="9" t="n">
        <v>0</v>
      </c>
      <c r="EI228" s="9" t="n">
        <v>0</v>
      </c>
      <c r="EJ228" s="9" t="n">
        <v>5</v>
      </c>
      <c r="EK228" s="19" t="n">
        <v>10</v>
      </c>
      <c r="EL228" s="9" t="n">
        <v>14</v>
      </c>
      <c r="EM228" s="9" t="n">
        <f aca="false">(EI228+EJ228+EK228+EL228)/4</f>
        <v>7.25</v>
      </c>
      <c r="EN228" s="9" t="n">
        <f aca="false">(EI228/DR228)</f>
        <v>0</v>
      </c>
      <c r="EO228" s="9" t="n">
        <f aca="false">(EJ228/DS228)</f>
        <v>0.625</v>
      </c>
      <c r="EP228" s="9" t="n">
        <f aca="false">(EK228/DT228)</f>
        <v>0.0120627261761158</v>
      </c>
      <c r="EQ228" s="9" t="n">
        <f aca="false">(EL228/DU228)</f>
        <v>0.56</v>
      </c>
      <c r="ER228" s="9" t="n">
        <f aca="false">EM228/DV228</f>
        <v>0.033256880733945</v>
      </c>
      <c r="ES228" s="9" t="n">
        <f aca="false">(100*ER228)</f>
        <v>3.3256880733945</v>
      </c>
      <c r="ET228" s="9" t="n">
        <v>1</v>
      </c>
      <c r="EU228" s="18" t="n">
        <v>0</v>
      </c>
      <c r="EV228" s="9" t="n">
        <v>5</v>
      </c>
      <c r="EW228" s="9" t="n">
        <v>0</v>
      </c>
      <c r="EX228" s="9" t="n">
        <v>0</v>
      </c>
      <c r="EY228" s="11" t="n">
        <f aca="false">(EU228+EV228+EW228+EX228)/4</f>
        <v>1.25</v>
      </c>
      <c r="EZ228" s="11" t="n">
        <f aca="false">(EU228/DR228)</f>
        <v>0</v>
      </c>
      <c r="FA228" s="11" t="n">
        <f aca="false">(EV228/DS228)</f>
        <v>0.625</v>
      </c>
      <c r="FB228" s="11" t="n">
        <f aca="false">(EW228/DT228)</f>
        <v>0</v>
      </c>
      <c r="FC228" s="11" t="n">
        <f aca="false">(EX228/DU228)</f>
        <v>0</v>
      </c>
      <c r="FD228" s="11" t="n">
        <f aca="false">(EY228/DV228)</f>
        <v>0.00573394495412844</v>
      </c>
      <c r="FE228" s="11" t="n">
        <f aca="false">(100*FD228)</f>
        <v>0.573394495412844</v>
      </c>
      <c r="FF228" s="9" t="n">
        <v>1</v>
      </c>
      <c r="FG228" s="9" t="n">
        <v>12</v>
      </c>
      <c r="FH228" s="9" t="n">
        <v>0</v>
      </c>
      <c r="FI228" s="9" t="n">
        <v>10</v>
      </c>
      <c r="FJ228" s="9" t="n">
        <v>16</v>
      </c>
      <c r="FK228" s="11" t="n">
        <f aca="false">(FG228+FH228+FI228+FJ228)/4</f>
        <v>9.5</v>
      </c>
      <c r="FL228" s="11" t="n">
        <f aca="false">(FG228/DR228)</f>
        <v>1.2</v>
      </c>
      <c r="FM228" s="11" t="n">
        <f aca="false">(FH228/DS228)</f>
        <v>0</v>
      </c>
      <c r="FN228" s="11" t="n">
        <f aca="false">(FI228/DT228)</f>
        <v>0.0120627261761158</v>
      </c>
      <c r="FO228" s="11" t="n">
        <f aca="false">(FJ228/DU228)</f>
        <v>0.64</v>
      </c>
      <c r="FP228" s="11" t="n">
        <f aca="false">(FK228/DV228)</f>
        <v>0.0435779816513762</v>
      </c>
      <c r="FQ228" s="11" t="n">
        <f aca="false">(100*FP228)</f>
        <v>4.35779816513761</v>
      </c>
      <c r="FR228" s="9" t="n">
        <v>1</v>
      </c>
      <c r="FS228" s="9" t="n">
        <v>46.9</v>
      </c>
      <c r="FT228" s="9" t="n">
        <v>39.6</v>
      </c>
      <c r="FU228" s="9" t="n">
        <v>44</v>
      </c>
      <c r="FV228" s="9"/>
      <c r="FW228" s="11" t="n">
        <f aca="false">(FS228+FT228+FU228+FV228)/4</f>
        <v>32.625</v>
      </c>
      <c r="FX228" s="9" t="n">
        <v>0</v>
      </c>
      <c r="FY228" s="9" t="n">
        <v>0</v>
      </c>
      <c r="FZ228" s="9" t="n">
        <v>0</v>
      </c>
      <c r="GA228" s="9" t="n">
        <v>0</v>
      </c>
      <c r="GB228" s="11" t="n">
        <f aca="false">(FX228+FY228+FZ228+GA228)/4</f>
        <v>0</v>
      </c>
      <c r="GC228" s="9" t="n">
        <v>1</v>
      </c>
      <c r="GD228" s="9" t="n">
        <v>1</v>
      </c>
      <c r="GE228" s="9" t="n">
        <v>1</v>
      </c>
      <c r="GF228" s="9" t="n">
        <v>1</v>
      </c>
      <c r="GG228" s="11" t="n">
        <f aca="false">(GC228+GD228+GE228+GF228)/4</f>
        <v>1</v>
      </c>
      <c r="GH228" s="9" t="n">
        <v>1</v>
      </c>
      <c r="GI228" s="9" t="n">
        <v>1</v>
      </c>
      <c r="GJ228" s="9" t="n">
        <v>1</v>
      </c>
      <c r="GK228" s="9" t="n">
        <v>0</v>
      </c>
      <c r="GL228" s="11" t="n">
        <f aca="false">(GH228+GI228+GJ228+GK228)/4</f>
        <v>0.75</v>
      </c>
      <c r="GM228" s="9" t="n">
        <v>78</v>
      </c>
      <c r="GN228" s="9" t="n">
        <v>79</v>
      </c>
      <c r="GO228" s="9" t="n">
        <v>56</v>
      </c>
      <c r="GP228" s="9" t="n">
        <v>20</v>
      </c>
      <c r="GQ228" s="11" t="n">
        <f aca="false">(GM228+GN228+GO228+GP228)/4</f>
        <v>58.25</v>
      </c>
      <c r="GR228" s="9" t="n">
        <v>7</v>
      </c>
      <c r="GS228" s="9" t="n">
        <v>17</v>
      </c>
      <c r="GT228" s="9" t="n">
        <v>16</v>
      </c>
      <c r="GU228" s="9" t="n">
        <v>16</v>
      </c>
      <c r="GV228" s="11" t="n">
        <f aca="false">(GR228+GS228+GT228+GU228)/4</f>
        <v>14</v>
      </c>
      <c r="GW228" s="9" t="n">
        <v>0</v>
      </c>
      <c r="GX228" s="9" t="n">
        <v>0</v>
      </c>
      <c r="GY228" s="9" t="n">
        <v>0</v>
      </c>
      <c r="GZ228" s="9" t="n">
        <v>0</v>
      </c>
      <c r="HA228" s="11" t="n">
        <f aca="false">(GW228+GX228+GY228+GZ228)/4</f>
        <v>0</v>
      </c>
      <c r="HB228" s="9"/>
      <c r="HC228" s="9" t="n">
        <f aca="false">(GX228/GS228)</f>
        <v>0</v>
      </c>
      <c r="HD228" s="9" t="n">
        <f aca="false">(GY228/GT228)</f>
        <v>0</v>
      </c>
      <c r="HE228" s="9" t="n">
        <f aca="false">(GZ228/GU228)/4</f>
        <v>0</v>
      </c>
      <c r="HF228" s="9" t="n">
        <f aca="false">(HB228+HC228+HD228+HE228)/4</f>
        <v>0</v>
      </c>
      <c r="HG228" s="9" t="n">
        <f aca="false">(100*HF228)</f>
        <v>0</v>
      </c>
      <c r="HH228" s="18" t="n">
        <v>0</v>
      </c>
      <c r="HI228" s="9" t="n">
        <v>2</v>
      </c>
      <c r="HJ228" s="9" t="n">
        <v>7</v>
      </c>
      <c r="HK228" s="9" t="n">
        <v>4</v>
      </c>
      <c r="HL228" s="19" t="n">
        <v>7</v>
      </c>
      <c r="HM228" s="9" t="n">
        <f aca="false">(HI228+HJ228+HK228+HL228)/4</f>
        <v>5</v>
      </c>
      <c r="HN228" s="9" t="n">
        <f aca="false">(HI228/GR228)</f>
        <v>0.285714285714286</v>
      </c>
      <c r="HO228" s="9" t="n">
        <f aca="false">(HJ228/GS228)</f>
        <v>0.411764705882353</v>
      </c>
      <c r="HP228" s="9" t="n">
        <f aca="false">(HK228/GT228)</f>
        <v>0.25</v>
      </c>
      <c r="HQ228" s="9" t="n">
        <f aca="false">(HL228/GU228)</f>
        <v>0.4375</v>
      </c>
      <c r="HR228" s="9" t="n">
        <f aca="false">(HM228/GV228)</f>
        <v>0.357142857142857</v>
      </c>
      <c r="HS228" s="9" t="n">
        <f aca="false">(100*HR228)</f>
        <v>35.7142857142857</v>
      </c>
      <c r="HT228" s="18" t="n">
        <v>3</v>
      </c>
      <c r="HU228" s="9" t="n">
        <v>0</v>
      </c>
      <c r="HV228" s="9" t="n">
        <v>0</v>
      </c>
      <c r="HW228" s="9" t="n">
        <v>0</v>
      </c>
      <c r="HX228" s="19" t="n">
        <v>0</v>
      </c>
      <c r="HY228" s="9" t="n">
        <f aca="false">(HU228+HV228+HW228+HX228)/4</f>
        <v>0</v>
      </c>
      <c r="HZ228" s="9" t="n">
        <f aca="false">(HU228/GR228)</f>
        <v>0</v>
      </c>
      <c r="IA228" s="9" t="n">
        <f aca="false">HV228/GS228</f>
        <v>0</v>
      </c>
      <c r="IB228" s="9" t="n">
        <f aca="false">(HW228/GT228)</f>
        <v>0</v>
      </c>
      <c r="IC228" s="9" t="n">
        <f aca="false">(HX228/GU228)</f>
        <v>0</v>
      </c>
      <c r="ID228" s="9" t="n">
        <f aca="false">(HY228/GV228)</f>
        <v>0</v>
      </c>
      <c r="IE228" s="9" t="n">
        <f aca="false">(100*ID228)</f>
        <v>0</v>
      </c>
      <c r="IF228" s="18" t="n">
        <v>0</v>
      </c>
      <c r="IG228" s="9" t="n">
        <v>13</v>
      </c>
      <c r="IH228" s="9" t="n">
        <v>1</v>
      </c>
      <c r="II228" s="19" t="n">
        <v>14</v>
      </c>
      <c r="IJ228" s="9" t="n">
        <v>0</v>
      </c>
      <c r="IK228" s="9" t="n">
        <f aca="false">(IG228+IH228+II228+IJ228)/4</f>
        <v>7</v>
      </c>
      <c r="IL228" s="9" t="n">
        <f aca="false">(IG228/GM228)</f>
        <v>0.166666666666667</v>
      </c>
      <c r="IM228" s="9" t="n">
        <f aca="false">(IH228/GN228)</f>
        <v>0.0126582278481013</v>
      </c>
      <c r="IN228" s="9" t="n">
        <f aca="false">(II228/GO228)</f>
        <v>0.25</v>
      </c>
      <c r="IO228" s="9" t="n">
        <f aca="false">(IJ228/GP228)</f>
        <v>0</v>
      </c>
      <c r="IP228" s="9" t="n">
        <f aca="false">(IK228/GQ228)</f>
        <v>0.120171673819742</v>
      </c>
      <c r="IQ228" s="9" t="n">
        <f aca="false">(100*IP228)</f>
        <v>12.0171673819742</v>
      </c>
      <c r="IR228" s="18" t="n">
        <v>2</v>
      </c>
      <c r="IS228" s="9" t="n">
        <v>39.4</v>
      </c>
      <c r="IT228" s="9" t="n">
        <v>55.1</v>
      </c>
      <c r="IU228" s="19" t="n">
        <v>51.7</v>
      </c>
      <c r="IV228" s="9" t="n">
        <v>42.9</v>
      </c>
      <c r="IW228" s="9" t="n">
        <f aca="false">(IS228+IT228+IU228+IV228)/4</f>
        <v>47.275</v>
      </c>
      <c r="IX228" s="16" t="n">
        <v>45211</v>
      </c>
      <c r="IY228" s="10" t="s">
        <v>268</v>
      </c>
    </row>
    <row r="229" customFormat="false" ht="15.75" hidden="false" customHeight="true" outlineLevel="0" collapsed="false">
      <c r="A229" s="9" t="s">
        <v>299</v>
      </c>
      <c r="B229" s="10" t="s">
        <v>776</v>
      </c>
      <c r="C229" s="10" t="s">
        <v>727</v>
      </c>
      <c r="D229" s="9" t="n">
        <v>5</v>
      </c>
      <c r="E229" s="9" t="n">
        <v>76</v>
      </c>
      <c r="F229" s="10" t="s">
        <v>781</v>
      </c>
      <c r="G229" s="10" t="s">
        <v>320</v>
      </c>
      <c r="H229" s="9" t="n">
        <v>21</v>
      </c>
      <c r="I229" s="9" t="n">
        <v>20</v>
      </c>
      <c r="J229" s="10" t="s">
        <v>272</v>
      </c>
      <c r="K229" s="20"/>
      <c r="L229" s="20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 t="n">
        <v>1</v>
      </c>
      <c r="Y229" s="9" t="n">
        <v>0</v>
      </c>
      <c r="Z229" s="9" t="n">
        <v>0</v>
      </c>
      <c r="AA229" s="9" t="n">
        <v>1</v>
      </c>
      <c r="AB229" s="11" t="n">
        <f aca="false">(X229+Y229+Z229+AA229)/4</f>
        <v>0.5</v>
      </c>
      <c r="AC229" s="9" t="n">
        <v>1</v>
      </c>
      <c r="AD229" s="9" t="n">
        <v>1</v>
      </c>
      <c r="AE229" s="9" t="n">
        <v>1</v>
      </c>
      <c r="AF229" s="9" t="n">
        <v>1</v>
      </c>
      <c r="AG229" s="11" t="n">
        <f aca="false">(AC229+AD229+AE229+AF229)/4</f>
        <v>1</v>
      </c>
      <c r="AH229" s="9" t="n">
        <v>1</v>
      </c>
      <c r="AI229" s="9" t="n">
        <v>1</v>
      </c>
      <c r="AJ229" s="9" t="n">
        <v>1</v>
      </c>
      <c r="AK229" s="9" t="n">
        <v>1</v>
      </c>
      <c r="AL229" s="11" t="n">
        <f aca="false">(AH229+AI229+AJ229+AK229)/4</f>
        <v>1</v>
      </c>
      <c r="AM229" s="9" t="n">
        <v>83</v>
      </c>
      <c r="AN229" s="9" t="n">
        <v>121</v>
      </c>
      <c r="AO229" s="9" t="n">
        <v>120</v>
      </c>
      <c r="AP229" s="9" t="n">
        <v>96</v>
      </c>
      <c r="AQ229" s="11" t="n">
        <f aca="false">(AM229+AN229+AO229+AP229)/4</f>
        <v>105</v>
      </c>
      <c r="AR229" s="9" t="n">
        <v>76</v>
      </c>
      <c r="AS229" s="9" t="n">
        <v>45</v>
      </c>
      <c r="AT229" s="9" t="n">
        <v>76</v>
      </c>
      <c r="AU229" s="9" t="n">
        <v>43</v>
      </c>
      <c r="AV229" s="11" t="n">
        <f aca="false">(AR229+AS229+AT229+AU229)/4</f>
        <v>60</v>
      </c>
      <c r="AW229" s="9" t="n">
        <v>1</v>
      </c>
      <c r="AX229" s="9" t="n">
        <v>0</v>
      </c>
      <c r="AY229" s="9" t="n">
        <v>0</v>
      </c>
      <c r="AZ229" s="9" t="n">
        <v>1</v>
      </c>
      <c r="BA229" s="11" t="n">
        <f aca="false">(AW229+AX229+AY229+AZ229)/4</f>
        <v>0.5</v>
      </c>
      <c r="BB229" s="11" t="n">
        <f aca="false">(AW229/AR229)</f>
        <v>0.0131578947368421</v>
      </c>
      <c r="BC229" s="11" t="n">
        <f aca="false">(AX229/AS229)</f>
        <v>0</v>
      </c>
      <c r="BD229" s="11" t="n">
        <f aca="false">(AY229/AT229)</f>
        <v>0</v>
      </c>
      <c r="BE229" s="11" t="n">
        <f aca="false">(AZ229/AU229)</f>
        <v>0.0232558139534884</v>
      </c>
      <c r="BF229" s="11" t="n">
        <f aca="false">(BA229/AV229)</f>
        <v>0.00833333333333333</v>
      </c>
      <c r="BG229" s="11" t="n">
        <f aca="false">(BF229*100)</f>
        <v>0.833333333333333</v>
      </c>
      <c r="BH229" s="9" t="n">
        <v>1</v>
      </c>
      <c r="BI229" s="9" t="n">
        <v>3</v>
      </c>
      <c r="BJ229" s="9" t="n">
        <v>4</v>
      </c>
      <c r="BK229" s="9" t="n">
        <v>5</v>
      </c>
      <c r="BL229" s="9" t="n">
        <v>2</v>
      </c>
      <c r="BM229" s="11" t="n">
        <f aca="false">(BI229+BJ229+BK229+BL229)/4</f>
        <v>3.5</v>
      </c>
      <c r="BN229" s="11" t="n">
        <f aca="false">(BI229/AR229)</f>
        <v>0.0394736842105263</v>
      </c>
      <c r="BO229" s="11" t="n">
        <f aca="false">(BJ229/AS229)</f>
        <v>0.0888888888888889</v>
      </c>
      <c r="BP229" s="11" t="n">
        <f aca="false">(BK229/AT229)</f>
        <v>0.0657894736842105</v>
      </c>
      <c r="BQ229" s="11" t="n">
        <f aca="false">(BL229/AU229)</f>
        <v>0.0465116279069767</v>
      </c>
      <c r="BR229" s="11" t="n">
        <f aca="false">(BM229/AV229)</f>
        <v>0.0583333333333333</v>
      </c>
      <c r="BS229" s="11" t="n">
        <f aca="false">(100*BR229)</f>
        <v>5.83333333333333</v>
      </c>
      <c r="BT229" s="9" t="n">
        <v>1</v>
      </c>
      <c r="BU229" s="9" t="n">
        <v>0</v>
      </c>
      <c r="BV229" s="9" t="n">
        <v>0</v>
      </c>
      <c r="BW229" s="9" t="n">
        <v>0</v>
      </c>
      <c r="BX229" s="9" t="n">
        <v>0</v>
      </c>
      <c r="BY229" s="11" t="n">
        <f aca="false">(BU229+BV229+BW229+BX229)/4</f>
        <v>0</v>
      </c>
      <c r="BZ229" s="11" t="n">
        <f aca="false">(BU229/AR229)</f>
        <v>0</v>
      </c>
      <c r="CA229" s="11" t="n">
        <f aca="false">(BV229/AS229)</f>
        <v>0</v>
      </c>
      <c r="CB229" s="11" t="n">
        <f aca="false">(BW229/AT229)</f>
        <v>0</v>
      </c>
      <c r="CC229" s="11" t="n">
        <f aca="false">(BX229/AU229)</f>
        <v>0</v>
      </c>
      <c r="CD229" s="11" t="n">
        <f aca="false">(BY229/AV229)</f>
        <v>0</v>
      </c>
      <c r="CE229" s="11" t="n">
        <f aca="false">(100*CD229)</f>
        <v>0</v>
      </c>
      <c r="CF229" s="9" t="n">
        <v>0</v>
      </c>
      <c r="CG229" s="9" t="n">
        <v>8</v>
      </c>
      <c r="CH229" s="9" t="n">
        <v>18</v>
      </c>
      <c r="CI229" s="9" t="n">
        <v>2</v>
      </c>
      <c r="CJ229" s="9" t="n">
        <v>8</v>
      </c>
      <c r="CK229" s="11" t="n">
        <f aca="false">(CG229+CH229+CI229+CJ229)/4</f>
        <v>9</v>
      </c>
      <c r="CL229" s="11" t="n">
        <f aca="false">(CG229/AM229)</f>
        <v>0.0963855421686747</v>
      </c>
      <c r="CM229" s="11" t="n">
        <f aca="false">(CH229/AN229)</f>
        <v>0.148760330578512</v>
      </c>
      <c r="CN229" s="11" t="n">
        <f aca="false">(CI229/AO229)</f>
        <v>0.0166666666666667</v>
      </c>
      <c r="CO229" s="9" t="n">
        <f aca="false">(CJ229/AP229)</f>
        <v>0.0833333333333333</v>
      </c>
      <c r="CP229" s="9" t="n">
        <f aca="false">(CK229/AQ229)</f>
        <v>0.0857142857142857</v>
      </c>
      <c r="CQ229" s="9" t="n">
        <f aca="false">(100*CP229)</f>
        <v>8.57142857142857</v>
      </c>
      <c r="CR229" s="18" t="n">
        <v>1</v>
      </c>
      <c r="CS229" s="9" t="n">
        <v>46.9</v>
      </c>
      <c r="CT229" s="9" t="n">
        <v>41.9</v>
      </c>
      <c r="CU229" s="9" t="n">
        <v>49.5</v>
      </c>
      <c r="CV229" s="9" t="n">
        <v>55.8</v>
      </c>
      <c r="CW229" s="11" t="n">
        <f aca="false">(CS229+CT229+CU229+CV229)/4</f>
        <v>48.525</v>
      </c>
      <c r="CX229" s="11" t="n">
        <v>0</v>
      </c>
      <c r="CY229" s="11" t="n">
        <v>0</v>
      </c>
      <c r="CZ229" s="11" t="n">
        <v>0</v>
      </c>
      <c r="DA229" s="11" t="n">
        <v>0</v>
      </c>
      <c r="DB229" s="11" t="n">
        <f aca="false">(CX229+CY229+CZ229+DA229)/4</f>
        <v>0</v>
      </c>
      <c r="DC229" s="11" t="n">
        <v>1</v>
      </c>
      <c r="DD229" s="11" t="n">
        <v>1</v>
      </c>
      <c r="DE229" s="11" t="n">
        <v>1</v>
      </c>
      <c r="DF229" s="11" t="n">
        <v>1</v>
      </c>
      <c r="DG229" s="11" t="n">
        <f aca="false">(DC229+DD229+DE229+DF229)/4</f>
        <v>1</v>
      </c>
      <c r="DH229" s="11" t="n">
        <v>1</v>
      </c>
      <c r="DI229" s="11" t="n">
        <v>1</v>
      </c>
      <c r="DJ229" s="11" t="n">
        <v>1</v>
      </c>
      <c r="DK229" s="11" t="n">
        <v>1</v>
      </c>
      <c r="DL229" s="11" t="n">
        <f aca="false">(DH229+DI229+DJ229+DK229)/4</f>
        <v>1</v>
      </c>
      <c r="DM229" s="11" t="n">
        <v>142</v>
      </c>
      <c r="DN229" s="11" t="n">
        <v>156</v>
      </c>
      <c r="DO229" s="11" t="n">
        <v>153</v>
      </c>
      <c r="DP229" s="11" t="n">
        <v>173</v>
      </c>
      <c r="DQ229" s="11" t="n">
        <f aca="false">(DM229+DN229+DO229+DP229)/4</f>
        <v>156</v>
      </c>
      <c r="DR229" s="11" t="n">
        <v>42</v>
      </c>
      <c r="DS229" s="11" t="n">
        <v>65</v>
      </c>
      <c r="DT229" s="11" t="n">
        <v>27</v>
      </c>
      <c r="DU229" s="11" t="n">
        <v>34</v>
      </c>
      <c r="DV229" s="11" t="n">
        <f aca="false">(DR229+DS229+DT229+DU229)/4</f>
        <v>42</v>
      </c>
      <c r="DW229" s="11" t="n">
        <v>0</v>
      </c>
      <c r="DX229" s="11" t="n">
        <v>0</v>
      </c>
      <c r="DY229" s="11" t="n">
        <v>0</v>
      </c>
      <c r="DZ229" s="11" t="n">
        <v>0</v>
      </c>
      <c r="EA229" s="11" t="n">
        <f aca="false">(DW229+DX229+DY229+DZ229)/4</f>
        <v>0</v>
      </c>
      <c r="EB229" s="11" t="n">
        <f aca="false">(DW229/DR229)</f>
        <v>0</v>
      </c>
      <c r="EC229" s="11" t="n">
        <f aca="false">(DX229/DS229)</f>
        <v>0</v>
      </c>
      <c r="ED229" s="11" t="n">
        <f aca="false">(DY229/DT229)</f>
        <v>0</v>
      </c>
      <c r="EE229" s="11" t="n">
        <f aca="false">(DZ229/DU229)</f>
        <v>0</v>
      </c>
      <c r="EF229" s="11" t="n">
        <f aca="false">(EA229/DV229)</f>
        <v>0</v>
      </c>
      <c r="EG229" s="11" t="n">
        <f aca="false">(100*EF229)</f>
        <v>0</v>
      </c>
      <c r="EH229" s="11" t="n">
        <v>0</v>
      </c>
      <c r="EI229" s="11" t="n">
        <v>3</v>
      </c>
      <c r="EJ229" s="11" t="n">
        <v>5</v>
      </c>
      <c r="EK229" s="11" t="n">
        <v>3</v>
      </c>
      <c r="EL229" s="9" t="n">
        <v>4</v>
      </c>
      <c r="EM229" s="9" t="n">
        <f aca="false">(EI229+EJ229+EK229+EL229)/4</f>
        <v>3.75</v>
      </c>
      <c r="EN229" s="9" t="n">
        <f aca="false">(EI229/DR229)</f>
        <v>0.0714285714285714</v>
      </c>
      <c r="EO229" s="9" t="n">
        <f aca="false">(EJ229/DS229)</f>
        <v>0.0769230769230769</v>
      </c>
      <c r="EP229" s="9" t="n">
        <f aca="false">(EK229/DT229)</f>
        <v>0.111111111111111</v>
      </c>
      <c r="EQ229" s="9" t="n">
        <f aca="false">(EL229/DU229)</f>
        <v>0.117647058823529</v>
      </c>
      <c r="ER229" s="9" t="n">
        <f aca="false">EM229/DV229</f>
        <v>0.0892857142857143</v>
      </c>
      <c r="ES229" s="9" t="n">
        <f aca="false">(100*ER229)</f>
        <v>8.92857142857143</v>
      </c>
      <c r="ET229" s="9" t="n">
        <v>1</v>
      </c>
      <c r="EU229" s="11" t="n">
        <v>0</v>
      </c>
      <c r="EV229" s="11" t="n">
        <v>3</v>
      </c>
      <c r="EW229" s="11" t="n">
        <v>0</v>
      </c>
      <c r="EX229" s="11" t="n">
        <v>0</v>
      </c>
      <c r="EY229" s="11" t="n">
        <f aca="false">(EU229+EV229+EW229+EX229)/4</f>
        <v>0.75</v>
      </c>
      <c r="EZ229" s="11" t="n">
        <f aca="false">(EU229/DR229)</f>
        <v>0</v>
      </c>
      <c r="FA229" s="11" t="n">
        <f aca="false">(EV229/DS229)</f>
        <v>0.0461538461538462</v>
      </c>
      <c r="FB229" s="11" t="n">
        <f aca="false">(EW229/DT229)</f>
        <v>0</v>
      </c>
      <c r="FC229" s="11" t="n">
        <f aca="false">(EX229/DU229)</f>
        <v>0</v>
      </c>
      <c r="FD229" s="11" t="n">
        <f aca="false">(EY229/DV229)</f>
        <v>0.0178571428571429</v>
      </c>
      <c r="FE229" s="11" t="n">
        <f aca="false">(100*FD229)</f>
        <v>1.78571428571429</v>
      </c>
      <c r="FF229" s="11" t="n">
        <v>1</v>
      </c>
      <c r="FG229" s="11" t="n">
        <v>21</v>
      </c>
      <c r="FH229" s="11" t="n">
        <v>0</v>
      </c>
      <c r="FI229" s="11" t="n">
        <v>25</v>
      </c>
      <c r="FJ229" s="11" t="n">
        <v>7</v>
      </c>
      <c r="FK229" s="11" t="n">
        <f aca="false">(FG229+FH229+FI229+FJ229)/4</f>
        <v>13.25</v>
      </c>
      <c r="FL229" s="11" t="n">
        <f aca="false">(FG229/DR229)</f>
        <v>0.5</v>
      </c>
      <c r="FM229" s="11" t="n">
        <f aca="false">(FH229/DS229)</f>
        <v>0</v>
      </c>
      <c r="FN229" s="11" t="n">
        <f aca="false">(FI229/DT229)</f>
        <v>0.925925925925926</v>
      </c>
      <c r="FO229" s="11" t="n">
        <f aca="false">(FJ229/DU229)</f>
        <v>0.205882352941176</v>
      </c>
      <c r="FP229" s="11" t="n">
        <f aca="false">(FK229/DV229)</f>
        <v>0.31547619047619</v>
      </c>
      <c r="FQ229" s="11" t="n">
        <f aca="false">(100*FP229)</f>
        <v>31.547619047619</v>
      </c>
      <c r="FR229" s="11" t="n">
        <v>3</v>
      </c>
      <c r="FS229" s="11" t="n">
        <v>63.1</v>
      </c>
      <c r="FT229" s="11" t="n">
        <v>65.3</v>
      </c>
      <c r="FU229" s="11" t="n">
        <v>56.6</v>
      </c>
      <c r="FV229" s="11" t="n">
        <v>60.6</v>
      </c>
      <c r="FW229" s="11" t="n">
        <f aca="false">(FS229+FT229+FU229+FV229)/4</f>
        <v>61.4</v>
      </c>
      <c r="FX229" s="9" t="n">
        <v>0</v>
      </c>
      <c r="FY229" s="9" t="n">
        <v>0</v>
      </c>
      <c r="FZ229" s="9" t="n">
        <v>1</v>
      </c>
      <c r="GA229" s="9" t="n">
        <v>1</v>
      </c>
      <c r="GB229" s="11" t="n">
        <f aca="false">(FX229+FY229+FZ229+GA229)/4</f>
        <v>0.5</v>
      </c>
      <c r="GC229" s="9" t="n">
        <v>1</v>
      </c>
      <c r="GD229" s="9" t="n">
        <v>1</v>
      </c>
      <c r="GE229" s="9" t="n">
        <v>0</v>
      </c>
      <c r="GF229" s="9" t="n">
        <v>0</v>
      </c>
      <c r="GG229" s="11" t="n">
        <f aca="false">(GC229+GD229+GE229+GF229)/4</f>
        <v>0.5</v>
      </c>
      <c r="GH229" s="9" t="n">
        <v>1</v>
      </c>
      <c r="GI229" s="9" t="n">
        <v>1</v>
      </c>
      <c r="GJ229" s="9" t="n">
        <v>1</v>
      </c>
      <c r="GK229" s="9" t="n">
        <v>1</v>
      </c>
      <c r="GL229" s="11" t="n">
        <f aca="false">(GH229+GI229+GJ229+GK229)/4</f>
        <v>1</v>
      </c>
      <c r="GM229" s="9" t="n">
        <v>124</v>
      </c>
      <c r="GN229" s="9" t="n">
        <v>115</v>
      </c>
      <c r="GO229" s="9" t="n">
        <v>73</v>
      </c>
      <c r="GP229" s="9" t="n">
        <v>63</v>
      </c>
      <c r="GQ229" s="11" t="n">
        <f aca="false">(GM229+GN229+GO229+GP229)/4</f>
        <v>93.75</v>
      </c>
      <c r="GR229" s="9" t="n">
        <v>14</v>
      </c>
      <c r="GS229" s="9" t="n">
        <v>20</v>
      </c>
      <c r="GT229" s="9" t="n">
        <v>9</v>
      </c>
      <c r="GU229" s="9" t="n">
        <v>14</v>
      </c>
      <c r="GV229" s="11" t="n">
        <f aca="false">(GR229+GS229+GT229+GU229)/4</f>
        <v>14.25</v>
      </c>
      <c r="GW229" s="9" t="n">
        <v>0</v>
      </c>
      <c r="GX229" s="9" t="n">
        <v>0</v>
      </c>
      <c r="GY229" s="9" t="n">
        <v>2</v>
      </c>
      <c r="GZ229" s="9" t="n">
        <v>3</v>
      </c>
      <c r="HA229" s="11" t="n">
        <f aca="false">(GW229+GX229+GY229+GZ229)/4</f>
        <v>1.25</v>
      </c>
      <c r="HB229" s="9"/>
      <c r="HC229" s="9" t="n">
        <f aca="false">(GX229/GS229)</f>
        <v>0</v>
      </c>
      <c r="HD229" s="9" t="n">
        <f aca="false">(GY229/GT229)</f>
        <v>0.222222222222222</v>
      </c>
      <c r="HE229" s="9" t="n">
        <f aca="false">(GZ229/GU229)/4</f>
        <v>0.0535714285714286</v>
      </c>
      <c r="HF229" s="9" t="n">
        <f aca="false">(HB229+HC229+HD229+HE229)/4</f>
        <v>0.0689484126984127</v>
      </c>
      <c r="HG229" s="9" t="n">
        <f aca="false">(100*HF229)</f>
        <v>6.89484126984127</v>
      </c>
      <c r="HH229" s="18" t="n">
        <v>1</v>
      </c>
      <c r="HI229" s="9" t="n">
        <v>3</v>
      </c>
      <c r="HJ229" s="9" t="n">
        <v>3</v>
      </c>
      <c r="HK229" s="9" t="n">
        <v>0</v>
      </c>
      <c r="HL229" s="19" t="n">
        <v>0</v>
      </c>
      <c r="HM229" s="9" t="n">
        <f aca="false">(HI229+HJ229+HK229+HL229)/4</f>
        <v>1.5</v>
      </c>
      <c r="HN229" s="9" t="n">
        <f aca="false">(HI229/GR229)</f>
        <v>0.214285714285714</v>
      </c>
      <c r="HO229" s="9" t="n">
        <f aca="false">(HJ229/GS229)</f>
        <v>0.15</v>
      </c>
      <c r="HP229" s="9" t="n">
        <f aca="false">(HK229/GT229)</f>
        <v>0</v>
      </c>
      <c r="HQ229" s="9" t="n">
        <f aca="false">(HL229/GU229)</f>
        <v>0</v>
      </c>
      <c r="HR229" s="9" t="n">
        <f aca="false">(HM229/GV229)</f>
        <v>0.105263157894737</v>
      </c>
      <c r="HS229" s="9" t="n">
        <f aca="false">(100*HR229)</f>
        <v>10.5263157894737</v>
      </c>
      <c r="HT229" s="18" t="n">
        <v>2</v>
      </c>
      <c r="HU229" s="9" t="n">
        <v>0</v>
      </c>
      <c r="HV229" s="9" t="n">
        <v>0</v>
      </c>
      <c r="HW229" s="9" t="n">
        <v>0</v>
      </c>
      <c r="HX229" s="19" t="n">
        <v>1</v>
      </c>
      <c r="HY229" s="9" t="n">
        <f aca="false">(HU229+HV229+HW229+HX229)/4</f>
        <v>0.25</v>
      </c>
      <c r="HZ229" s="9" t="n">
        <f aca="false">(HU229/GR229)</f>
        <v>0</v>
      </c>
      <c r="IA229" s="9" t="n">
        <f aca="false">HV229/GS229</f>
        <v>0</v>
      </c>
      <c r="IB229" s="9" t="n">
        <f aca="false">(HW229/GT229)</f>
        <v>0</v>
      </c>
      <c r="IC229" s="9" t="n">
        <f aca="false">(HX229/GU229)</f>
        <v>0.0714285714285714</v>
      </c>
      <c r="ID229" s="9" t="n">
        <f aca="false">(HY229/GV229)</f>
        <v>0.0175438596491228</v>
      </c>
      <c r="IE229" s="9" t="n">
        <f aca="false">(100*ID229)</f>
        <v>1.75438596491228</v>
      </c>
      <c r="IF229" s="18" t="n">
        <v>1</v>
      </c>
      <c r="IG229" s="9" t="n">
        <v>4</v>
      </c>
      <c r="IH229" s="9" t="n">
        <v>8</v>
      </c>
      <c r="II229" s="19" t="n">
        <v>8</v>
      </c>
      <c r="IJ229" s="9" t="n">
        <v>8</v>
      </c>
      <c r="IK229" s="9" t="n">
        <f aca="false">(IG229+IH229+II229+IJ229)/4</f>
        <v>7</v>
      </c>
      <c r="IL229" s="9" t="n">
        <f aca="false">(IG229/GM229)</f>
        <v>0.032258064516129</v>
      </c>
      <c r="IM229" s="9" t="n">
        <f aca="false">(IH229/GN229)</f>
        <v>0.0695652173913044</v>
      </c>
      <c r="IN229" s="9" t="n">
        <f aca="false">(II229/GO229)</f>
        <v>0.10958904109589</v>
      </c>
      <c r="IO229" s="9" t="n">
        <f aca="false">(IJ229/GP229)</f>
        <v>0.126984126984127</v>
      </c>
      <c r="IP229" s="9" t="n">
        <f aca="false">(IK229/GQ229)</f>
        <v>0.0746666666666667</v>
      </c>
      <c r="IQ229" s="9" t="n">
        <f aca="false">(100*IP229)</f>
        <v>7.46666666666667</v>
      </c>
      <c r="IR229" s="18" t="n">
        <v>1</v>
      </c>
      <c r="IS229" s="9" t="n">
        <v>38.5</v>
      </c>
      <c r="IT229" s="9" t="n">
        <v>57</v>
      </c>
      <c r="IU229" s="9" t="n">
        <v>59.9</v>
      </c>
      <c r="IV229" s="9" t="n">
        <v>55.5</v>
      </c>
      <c r="IW229" s="9" t="n">
        <f aca="false">(IS229+IT229+IU229+IV229)/4</f>
        <v>52.725</v>
      </c>
      <c r="IX229" s="9"/>
      <c r="IY229" s="9"/>
    </row>
    <row r="230" customFormat="false" ht="15.75" hidden="false" customHeight="true" outlineLevel="0" collapsed="false">
      <c r="A230" s="9" t="s">
        <v>343</v>
      </c>
      <c r="B230" s="10" t="s">
        <v>782</v>
      </c>
      <c r="C230" s="10" t="s">
        <v>727</v>
      </c>
      <c r="D230" s="9" t="n">
        <v>1</v>
      </c>
      <c r="E230" s="9" t="n">
        <v>77</v>
      </c>
      <c r="F230" s="10" t="s">
        <v>783</v>
      </c>
      <c r="G230" s="10" t="s">
        <v>275</v>
      </c>
      <c r="H230" s="9" t="n">
        <v>21</v>
      </c>
      <c r="I230" s="9" t="n">
        <v>5</v>
      </c>
      <c r="J230" s="12" t="s">
        <v>264</v>
      </c>
      <c r="K230" s="23" t="s">
        <v>784</v>
      </c>
      <c r="L230" s="13" t="s">
        <v>785</v>
      </c>
      <c r="M230" s="14" t="n">
        <v>1221</v>
      </c>
      <c r="N230" s="15" t="n">
        <v>45135</v>
      </c>
      <c r="O230" s="10" t="s">
        <v>267</v>
      </c>
      <c r="P230" s="9"/>
      <c r="Q230" s="9" t="n">
        <v>48.16</v>
      </c>
      <c r="R230" s="9" t="n">
        <v>14</v>
      </c>
      <c r="S230" s="9" t="n">
        <v>-10</v>
      </c>
      <c r="T230" s="9" t="n">
        <v>100</v>
      </c>
      <c r="U230" s="9"/>
      <c r="V230" s="9" t="n">
        <f aca="false">(26.65/100)</f>
        <v>0.2665</v>
      </c>
      <c r="W230" s="9"/>
      <c r="X230" s="9" t="n">
        <v>0</v>
      </c>
      <c r="Y230" s="9" t="n">
        <v>0</v>
      </c>
      <c r="Z230" s="9" t="n">
        <v>0</v>
      </c>
      <c r="AA230" s="9" t="n">
        <v>0</v>
      </c>
      <c r="AB230" s="11" t="n">
        <f aca="false">(X230+Y230+Z230+AA230)/4</f>
        <v>0</v>
      </c>
      <c r="AC230" s="9" t="n">
        <v>1</v>
      </c>
      <c r="AD230" s="9" t="n">
        <v>1</v>
      </c>
      <c r="AE230" s="9" t="n">
        <v>1</v>
      </c>
      <c r="AF230" s="9" t="n">
        <v>1</v>
      </c>
      <c r="AG230" s="11" t="n">
        <f aca="false">(AC230+AD230+AE230+AF230)/4</f>
        <v>1</v>
      </c>
      <c r="AH230" s="9" t="n">
        <v>1</v>
      </c>
      <c r="AI230" s="9" t="n">
        <v>1</v>
      </c>
      <c r="AJ230" s="9" t="n">
        <v>1</v>
      </c>
      <c r="AK230" s="9" t="n">
        <v>1</v>
      </c>
      <c r="AL230" s="11" t="n">
        <f aca="false">(AH230+AI230+AJ230+AK230)/4</f>
        <v>1</v>
      </c>
      <c r="AM230" s="9" t="n">
        <v>18</v>
      </c>
      <c r="AN230" s="9" t="n">
        <v>12</v>
      </c>
      <c r="AO230" s="9" t="n">
        <v>33</v>
      </c>
      <c r="AP230" s="9" t="n">
        <v>8</v>
      </c>
      <c r="AQ230" s="11" t="n">
        <f aca="false">(AM230+AN230+AO230+AP230)/4</f>
        <v>17.75</v>
      </c>
      <c r="AR230" s="9" t="n">
        <v>4</v>
      </c>
      <c r="AS230" s="9" t="n">
        <v>5</v>
      </c>
      <c r="AT230" s="9" t="n">
        <v>4</v>
      </c>
      <c r="AU230" s="9" t="n">
        <v>11</v>
      </c>
      <c r="AV230" s="11" t="n">
        <f aca="false">(AR230+AS230+AT230+AU230)/4</f>
        <v>6</v>
      </c>
      <c r="AW230" s="9" t="n">
        <v>0</v>
      </c>
      <c r="AX230" s="9" t="n">
        <v>0</v>
      </c>
      <c r="AY230" s="9" t="n">
        <v>0</v>
      </c>
      <c r="AZ230" s="9" t="n">
        <v>0</v>
      </c>
      <c r="BA230" s="11" t="n">
        <f aca="false">(AW230+AX230+AY230+AZ230)/4</f>
        <v>0</v>
      </c>
      <c r="BB230" s="11" t="n">
        <f aca="false">(AW230/AR230)</f>
        <v>0</v>
      </c>
      <c r="BC230" s="11" t="n">
        <f aca="false">(AX230/AS230)</f>
        <v>0</v>
      </c>
      <c r="BD230" s="11" t="n">
        <f aca="false">(AY230/AT230)</f>
        <v>0</v>
      </c>
      <c r="BE230" s="11" t="n">
        <f aca="false">(AZ230/AU230)</f>
        <v>0</v>
      </c>
      <c r="BF230" s="11" t="n">
        <f aca="false">(BA230/AV230)</f>
        <v>0</v>
      </c>
      <c r="BG230" s="11" t="n">
        <f aca="false">(BF230*100)</f>
        <v>0</v>
      </c>
      <c r="BH230" s="9" t="n">
        <v>0</v>
      </c>
      <c r="BI230" s="9" t="n">
        <v>2</v>
      </c>
      <c r="BJ230" s="9" t="n">
        <v>2</v>
      </c>
      <c r="BK230" s="9" t="n">
        <v>2</v>
      </c>
      <c r="BL230" s="9" t="n">
        <v>2</v>
      </c>
      <c r="BM230" s="11" t="n">
        <f aca="false">(BI230+BJ230+BK230+BL230)/4</f>
        <v>2</v>
      </c>
      <c r="BN230" s="11" t="n">
        <f aca="false">(BI230/AR230)</f>
        <v>0.5</v>
      </c>
      <c r="BO230" s="11" t="n">
        <f aca="false">(BJ230/AS230)</f>
        <v>0.4</v>
      </c>
      <c r="BP230" s="11" t="n">
        <f aca="false">(BK230/AT230)</f>
        <v>0.5</v>
      </c>
      <c r="BQ230" s="11" t="n">
        <f aca="false">(BL230/AU230)</f>
        <v>0.181818181818182</v>
      </c>
      <c r="BR230" s="11" t="n">
        <f aca="false">(BM230/AV230)</f>
        <v>0.333333333333333</v>
      </c>
      <c r="BS230" s="11" t="n">
        <f aca="false">(100*BR230)</f>
        <v>33.3333333333333</v>
      </c>
      <c r="BT230" s="9" t="n">
        <v>3</v>
      </c>
      <c r="BU230" s="9" t="n">
        <v>0</v>
      </c>
      <c r="BV230" s="9" t="n">
        <v>0</v>
      </c>
      <c r="BW230" s="9" t="n">
        <v>0</v>
      </c>
      <c r="BX230" s="9" t="n">
        <v>4</v>
      </c>
      <c r="BY230" s="11" t="n">
        <f aca="false">(BU230+BV230+BW230+BX230)/4</f>
        <v>1</v>
      </c>
      <c r="BZ230" s="11" t="n">
        <f aca="false">(BU230/AR230)</f>
        <v>0</v>
      </c>
      <c r="CA230" s="11" t="n">
        <f aca="false">(BV230/AS230)</f>
        <v>0</v>
      </c>
      <c r="CB230" s="11" t="n">
        <f aca="false">(BW230/AT230)</f>
        <v>0</v>
      </c>
      <c r="CC230" s="11" t="n">
        <f aca="false">(BX230/AU230)</f>
        <v>0.363636363636364</v>
      </c>
      <c r="CD230" s="11" t="n">
        <f aca="false">(BY230/AV230)</f>
        <v>0.166666666666667</v>
      </c>
      <c r="CE230" s="11" t="n">
        <f aca="false">(100*CD230)</f>
        <v>16.6666666666667</v>
      </c>
      <c r="CF230" s="9" t="n">
        <v>2</v>
      </c>
      <c r="CG230" s="9" t="n">
        <v>2</v>
      </c>
      <c r="CH230" s="9" t="n">
        <v>3</v>
      </c>
      <c r="CI230" s="9" t="n">
        <v>2</v>
      </c>
      <c r="CJ230" s="9" t="n">
        <v>1</v>
      </c>
      <c r="CK230" s="11" t="n">
        <f aca="false">(CG230+CH230+CI230+CJ230)/4</f>
        <v>2</v>
      </c>
      <c r="CL230" s="11" t="n">
        <f aca="false">(CG230/AM230)</f>
        <v>0.111111111111111</v>
      </c>
      <c r="CM230" s="11" t="n">
        <f aca="false">(CH230/AN230)</f>
        <v>0.25</v>
      </c>
      <c r="CN230" s="11" t="n">
        <f aca="false">(CI230/AO230)</f>
        <v>0.0606060606060606</v>
      </c>
      <c r="CO230" s="9" t="n">
        <f aca="false">(CJ230/AP230)</f>
        <v>0.125</v>
      </c>
      <c r="CP230" s="9" t="n">
        <f aca="false">(CK230/AQ230)</f>
        <v>0.112676056338028</v>
      </c>
      <c r="CQ230" s="9" t="n">
        <f aca="false">(100*CP230)</f>
        <v>11.2676056338028</v>
      </c>
      <c r="CR230" s="18" t="n">
        <v>2</v>
      </c>
      <c r="CS230" s="9" t="n">
        <v>47.1</v>
      </c>
      <c r="CT230" s="9" t="n">
        <v>35.7</v>
      </c>
      <c r="CU230" s="9" t="n">
        <v>60.2</v>
      </c>
      <c r="CV230" s="9" t="n">
        <v>51.8</v>
      </c>
      <c r="CW230" s="11" t="n">
        <f aca="false">(CS230+CT230+CU230+CV230)/4</f>
        <v>48.7</v>
      </c>
      <c r="CX230" s="9" t="n">
        <v>0</v>
      </c>
      <c r="CY230" s="9" t="n">
        <v>0</v>
      </c>
      <c r="CZ230" s="9" t="n">
        <v>1</v>
      </c>
      <c r="DA230" s="9" t="n">
        <v>0</v>
      </c>
      <c r="DB230" s="11" t="n">
        <f aca="false">(CX230+CY230+CZ230+DA230)/4</f>
        <v>0.25</v>
      </c>
      <c r="DC230" s="9" t="n">
        <v>1</v>
      </c>
      <c r="DD230" s="9" t="n">
        <v>1</v>
      </c>
      <c r="DE230" s="9" t="n">
        <v>1</v>
      </c>
      <c r="DF230" s="9" t="n">
        <v>1</v>
      </c>
      <c r="DG230" s="11" t="n">
        <f aca="false">(DC230+DD230+DE230+DF230)/4</f>
        <v>1</v>
      </c>
      <c r="DH230" s="9" t="n">
        <v>1</v>
      </c>
      <c r="DI230" s="9" t="n">
        <v>1</v>
      </c>
      <c r="DJ230" s="9" t="n">
        <v>1</v>
      </c>
      <c r="DK230" s="9" t="n">
        <v>1</v>
      </c>
      <c r="DL230" s="11" t="n">
        <f aca="false">(DH230+DI230+DJ230+DK230)/4</f>
        <v>1</v>
      </c>
      <c r="DM230" s="9" t="n">
        <v>26</v>
      </c>
      <c r="DN230" s="9" t="n">
        <v>86</v>
      </c>
      <c r="DO230" s="9" t="n">
        <v>90</v>
      </c>
      <c r="DP230" s="9" t="n">
        <v>66</v>
      </c>
      <c r="DQ230" s="11" t="n">
        <f aca="false">(DM230+DN230+DO230+DP230)/4</f>
        <v>67</v>
      </c>
      <c r="DR230" s="9" t="n">
        <v>4</v>
      </c>
      <c r="DS230" s="9" t="n">
        <v>9</v>
      </c>
      <c r="DT230" s="9" t="n">
        <v>7</v>
      </c>
      <c r="DU230" s="9" t="n">
        <v>10</v>
      </c>
      <c r="DV230" s="11" t="n">
        <f aca="false">(DR230+DS230+DT230+DU230)/4</f>
        <v>7.5</v>
      </c>
      <c r="DW230" s="9" t="n">
        <v>0</v>
      </c>
      <c r="DX230" s="9" t="n">
        <v>0</v>
      </c>
      <c r="DY230" s="9" t="n">
        <v>1</v>
      </c>
      <c r="DZ230" s="9" t="n">
        <v>0</v>
      </c>
      <c r="EA230" s="11" t="n">
        <f aca="false">(DW230+DX230+DY230+DZ230)/4</f>
        <v>0.25</v>
      </c>
      <c r="EB230" s="11" t="n">
        <f aca="false">(DW230/DR230)</f>
        <v>0</v>
      </c>
      <c r="EC230" s="11" t="n">
        <f aca="false">(DX230/DS230)</f>
        <v>0</v>
      </c>
      <c r="ED230" s="11" t="n">
        <f aca="false">(DY230/DT230)</f>
        <v>0.142857142857143</v>
      </c>
      <c r="EE230" s="11" t="n">
        <f aca="false">(DZ230/DU230)</f>
        <v>0</v>
      </c>
      <c r="EF230" s="11" t="n">
        <f aca="false">(EA230/DV230)</f>
        <v>0.0333333333333333</v>
      </c>
      <c r="EG230" s="11" t="n">
        <f aca="false">(100*EF230)</f>
        <v>3.33333333333333</v>
      </c>
      <c r="EH230" s="9" t="n">
        <v>1</v>
      </c>
      <c r="EI230" s="9" t="n">
        <v>1</v>
      </c>
      <c r="EJ230" s="9" t="n">
        <v>2</v>
      </c>
      <c r="EK230" s="19" t="n">
        <v>3</v>
      </c>
      <c r="EL230" s="9" t="n">
        <v>3</v>
      </c>
      <c r="EM230" s="9" t="n">
        <f aca="false">(EI230+EJ230+EK230+EL230)/4</f>
        <v>2.25</v>
      </c>
      <c r="EN230" s="9" t="n">
        <f aca="false">(EI230/DR230)</f>
        <v>0.25</v>
      </c>
      <c r="EO230" s="9" t="n">
        <f aca="false">(EJ230/DS230)</f>
        <v>0.222222222222222</v>
      </c>
      <c r="EP230" s="9" t="n">
        <f aca="false">(EK230/DT230)</f>
        <v>0.428571428571429</v>
      </c>
      <c r="EQ230" s="9" t="n">
        <f aca="false">(EL230/DU230)</f>
        <v>0.3</v>
      </c>
      <c r="ER230" s="9" t="n">
        <f aca="false">EM230/DV230</f>
        <v>0.3</v>
      </c>
      <c r="ES230" s="9" t="n">
        <f aca="false">(100*ER230)</f>
        <v>30</v>
      </c>
      <c r="ET230" s="9" t="n">
        <v>2</v>
      </c>
      <c r="EU230" s="18" t="n">
        <v>0</v>
      </c>
      <c r="EV230" s="9" t="n">
        <v>0</v>
      </c>
      <c r="EW230" s="9" t="n">
        <v>0</v>
      </c>
      <c r="EX230" s="9" t="n">
        <v>0</v>
      </c>
      <c r="EY230" s="11" t="n">
        <f aca="false">(EU230+EV230+EW230+EX230)/4</f>
        <v>0</v>
      </c>
      <c r="EZ230" s="11" t="n">
        <f aca="false">(EU230/DR230)</f>
        <v>0</v>
      </c>
      <c r="FA230" s="11" t="n">
        <f aca="false">(EV230/DS230)</f>
        <v>0</v>
      </c>
      <c r="FB230" s="11" t="n">
        <f aca="false">(EW230/DT230)</f>
        <v>0</v>
      </c>
      <c r="FC230" s="11" t="n">
        <f aca="false">(EX230/DU230)</f>
        <v>0</v>
      </c>
      <c r="FD230" s="11" t="n">
        <f aca="false">(EY230/DV230)</f>
        <v>0</v>
      </c>
      <c r="FE230" s="11" t="n">
        <f aca="false">(100*FD230)</f>
        <v>0</v>
      </c>
      <c r="FF230" s="9" t="n">
        <v>0</v>
      </c>
      <c r="FG230" s="9" t="n">
        <v>5</v>
      </c>
      <c r="FH230" s="9" t="n">
        <v>20</v>
      </c>
      <c r="FI230" s="9" t="n">
        <v>2</v>
      </c>
      <c r="FJ230" s="9" t="n">
        <v>36</v>
      </c>
      <c r="FK230" s="11" t="n">
        <f aca="false">(FG230+FH230+FI230+FJ230)/4</f>
        <v>15.75</v>
      </c>
      <c r="FL230" s="11" t="n">
        <f aca="false">(FG230/DR230)</f>
        <v>1.25</v>
      </c>
      <c r="FM230" s="11" t="n">
        <f aca="false">(FH230/DS230)</f>
        <v>2.22222222222222</v>
      </c>
      <c r="FN230" s="11" t="n">
        <f aca="false">(FI230/DT230)</f>
        <v>0.285714285714286</v>
      </c>
      <c r="FO230" s="11" t="n">
        <f aca="false">(FJ230/DU230)</f>
        <v>3.6</v>
      </c>
      <c r="FP230" s="11" t="n">
        <f aca="false">(FK230/DV230)</f>
        <v>2.1</v>
      </c>
      <c r="FQ230" s="11" t="n">
        <f aca="false">(100*FP230)</f>
        <v>210</v>
      </c>
      <c r="FR230" s="9" t="n">
        <v>3</v>
      </c>
      <c r="FS230" s="9" t="n">
        <v>44.6</v>
      </c>
      <c r="FT230" s="9" t="n">
        <v>60</v>
      </c>
      <c r="FU230" s="9" t="n">
        <v>55.7</v>
      </c>
      <c r="FV230" s="9" t="n">
        <v>53.3</v>
      </c>
      <c r="FW230" s="11" t="n">
        <f aca="false">(FS230+FT230+FU230+FV230)/4</f>
        <v>53.4</v>
      </c>
      <c r="FX230" s="9" t="n">
        <v>0</v>
      </c>
      <c r="FY230" s="9" t="n">
        <v>0</v>
      </c>
      <c r="FZ230" s="9" t="n">
        <v>0</v>
      </c>
      <c r="GA230" s="9" t="n">
        <v>0</v>
      </c>
      <c r="GB230" s="11" t="n">
        <f aca="false">(FX230+FY230+FZ230+GA230)/4</f>
        <v>0</v>
      </c>
      <c r="GC230" s="9" t="n">
        <v>1</v>
      </c>
      <c r="GD230" s="9" t="n">
        <v>1</v>
      </c>
      <c r="GE230" s="9" t="n">
        <v>1</v>
      </c>
      <c r="GF230" s="9" t="n">
        <v>1</v>
      </c>
      <c r="GG230" s="11" t="n">
        <f aca="false">(GC230+GD230+GE230+GF230)/4</f>
        <v>1</v>
      </c>
      <c r="GH230" s="9" t="n">
        <v>1</v>
      </c>
      <c r="GI230" s="9" t="n">
        <v>1</v>
      </c>
      <c r="GJ230" s="9" t="n">
        <v>0</v>
      </c>
      <c r="GK230" s="9" t="n">
        <v>0</v>
      </c>
      <c r="GL230" s="11" t="n">
        <f aca="false">(GH230+GI230+GJ230+GK230)/4</f>
        <v>0.5</v>
      </c>
      <c r="GM230" s="9" t="n">
        <v>79</v>
      </c>
      <c r="GN230" s="9" t="n">
        <v>80</v>
      </c>
      <c r="GO230" s="9" t="n">
        <v>14</v>
      </c>
      <c r="GP230" s="9" t="n">
        <v>76</v>
      </c>
      <c r="GQ230" s="11" t="n">
        <f aca="false">(GM230+GN230+GO230+GP230)/4</f>
        <v>62.25</v>
      </c>
      <c r="GR230" s="9" t="n">
        <v>8</v>
      </c>
      <c r="GS230" s="9" t="n">
        <v>7</v>
      </c>
      <c r="GT230" s="9" t="n">
        <v>26</v>
      </c>
      <c r="GU230" s="9" t="n">
        <v>17</v>
      </c>
      <c r="GV230" s="11" t="n">
        <f aca="false">(GR230+GS230+GT230+GU230)/4</f>
        <v>14.5</v>
      </c>
      <c r="GW230" s="9" t="n">
        <v>0</v>
      </c>
      <c r="GX230" s="9" t="n">
        <v>0</v>
      </c>
      <c r="GY230" s="9" t="n">
        <v>0</v>
      </c>
      <c r="GZ230" s="9" t="n">
        <v>0</v>
      </c>
      <c r="HA230" s="11" t="n">
        <f aca="false">(GW230+GX230+GY230+GZ230)/4</f>
        <v>0</v>
      </c>
      <c r="HB230" s="9"/>
      <c r="HC230" s="9" t="n">
        <f aca="false">(GX230/GS230)</f>
        <v>0</v>
      </c>
      <c r="HD230" s="9" t="n">
        <f aca="false">(GY230/GT230)</f>
        <v>0</v>
      </c>
      <c r="HE230" s="9" t="n">
        <f aca="false">(GZ230/GU230)/4</f>
        <v>0</v>
      </c>
      <c r="HF230" s="9" t="n">
        <f aca="false">(HB230+HC230+HD230+HE230)/4</f>
        <v>0</v>
      </c>
      <c r="HG230" s="9" t="n">
        <f aca="false">(100*HF230)</f>
        <v>0</v>
      </c>
      <c r="HH230" s="18" t="n">
        <v>0</v>
      </c>
      <c r="HI230" s="9" t="n">
        <v>1</v>
      </c>
      <c r="HJ230" s="9" t="n">
        <v>5</v>
      </c>
      <c r="HK230" s="9" t="n">
        <v>4</v>
      </c>
      <c r="HL230" s="19" t="n">
        <v>5</v>
      </c>
      <c r="HM230" s="9" t="n">
        <f aca="false">(HI230+HJ230+HK230+HL230)/4</f>
        <v>3.75</v>
      </c>
      <c r="HN230" s="9" t="n">
        <f aca="false">(HI230/GR230)</f>
        <v>0.125</v>
      </c>
      <c r="HO230" s="9" t="n">
        <f aca="false">(HJ230/GS230)</f>
        <v>0.714285714285714</v>
      </c>
      <c r="HP230" s="9" t="n">
        <f aca="false">(HK230/GT230)</f>
        <v>0.153846153846154</v>
      </c>
      <c r="HQ230" s="9" t="n">
        <f aca="false">(HL230/GU230)</f>
        <v>0.294117647058824</v>
      </c>
      <c r="HR230" s="9" t="n">
        <f aca="false">(HM230/GV230)</f>
        <v>0.258620689655172</v>
      </c>
      <c r="HS230" s="9" t="n">
        <f aca="false">(100*HR230)</f>
        <v>25.8620689655172</v>
      </c>
      <c r="HT230" s="18" t="n">
        <v>2</v>
      </c>
      <c r="HU230" s="9" t="n">
        <v>0</v>
      </c>
      <c r="HV230" s="9" t="n">
        <v>0</v>
      </c>
      <c r="HW230" s="9" t="n">
        <v>0</v>
      </c>
      <c r="HX230" s="19" t="n">
        <v>0</v>
      </c>
      <c r="HY230" s="9" t="n">
        <f aca="false">(HU230+HV230+HW230+HX230)/4</f>
        <v>0</v>
      </c>
      <c r="HZ230" s="9" t="n">
        <f aca="false">(HU230/GR230)</f>
        <v>0</v>
      </c>
      <c r="IA230" s="9" t="n">
        <f aca="false">HV230/GS230</f>
        <v>0</v>
      </c>
      <c r="IB230" s="9" t="n">
        <f aca="false">(HW230/GT230)</f>
        <v>0</v>
      </c>
      <c r="IC230" s="9" t="n">
        <f aca="false">(HX230/GU230)</f>
        <v>0</v>
      </c>
      <c r="ID230" s="9" t="n">
        <f aca="false">(HY230/GV230)</f>
        <v>0</v>
      </c>
      <c r="IE230" s="9" t="n">
        <f aca="false">(100*ID230)</f>
        <v>0</v>
      </c>
      <c r="IF230" s="18" t="n">
        <v>0</v>
      </c>
      <c r="IG230" s="9" t="n">
        <v>12</v>
      </c>
      <c r="IH230" s="9" t="n">
        <v>3</v>
      </c>
      <c r="II230" s="19" t="n">
        <v>0</v>
      </c>
      <c r="IJ230" s="9" t="n">
        <v>0</v>
      </c>
      <c r="IK230" s="9" t="n">
        <f aca="false">(IG230+IH230+II230+IJ230)/4</f>
        <v>3.75</v>
      </c>
      <c r="IL230" s="9" t="n">
        <f aca="false">(IG230/GM230)</f>
        <v>0.151898734177215</v>
      </c>
      <c r="IM230" s="9" t="n">
        <f aca="false">(IH230/GN230)</f>
        <v>0.0375</v>
      </c>
      <c r="IN230" s="9" t="n">
        <f aca="false">(II230/GO230)</f>
        <v>0</v>
      </c>
      <c r="IO230" s="9" t="n">
        <f aca="false">(IJ230/GP230)</f>
        <v>0</v>
      </c>
      <c r="IP230" s="9" t="n">
        <f aca="false">(IK230/GQ230)</f>
        <v>0.0602409638554217</v>
      </c>
      <c r="IQ230" s="9" t="n">
        <f aca="false">(100*IP230)</f>
        <v>6.02409638554217</v>
      </c>
      <c r="IR230" s="18" t="n">
        <v>1</v>
      </c>
      <c r="IS230" s="9" t="n">
        <v>56</v>
      </c>
      <c r="IT230" s="9" t="n">
        <v>60</v>
      </c>
      <c r="IU230" s="19" t="n">
        <v>65.4</v>
      </c>
      <c r="IV230" s="9" t="n">
        <v>56.9</v>
      </c>
      <c r="IW230" s="9" t="n">
        <f aca="false">(IS230+IT230+IU230+IV230)/4</f>
        <v>59.575</v>
      </c>
      <c r="IX230" s="16" t="n">
        <v>45211</v>
      </c>
      <c r="IY230" s="10" t="s">
        <v>268</v>
      </c>
    </row>
    <row r="231" customFormat="false" ht="15.75" hidden="false" customHeight="true" outlineLevel="0" collapsed="false">
      <c r="A231" s="9" t="s">
        <v>343</v>
      </c>
      <c r="B231" s="10" t="s">
        <v>782</v>
      </c>
      <c r="C231" s="10" t="s">
        <v>727</v>
      </c>
      <c r="D231" s="9" t="n">
        <v>1</v>
      </c>
      <c r="E231" s="9" t="n">
        <v>77</v>
      </c>
      <c r="F231" s="10" t="s">
        <v>786</v>
      </c>
      <c r="G231" s="10" t="s">
        <v>291</v>
      </c>
      <c r="H231" s="9" t="n">
        <v>21</v>
      </c>
      <c r="I231" s="9" t="n">
        <v>10</v>
      </c>
      <c r="J231" s="12" t="s">
        <v>270</v>
      </c>
      <c r="K231" s="20"/>
      <c r="L231" s="20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 t="n">
        <v>0</v>
      </c>
      <c r="Y231" s="9" t="n">
        <v>0</v>
      </c>
      <c r="Z231" s="9" t="n">
        <v>0</v>
      </c>
      <c r="AA231" s="9" t="n">
        <v>0</v>
      </c>
      <c r="AB231" s="11" t="n">
        <f aca="false">(X231+Y231+Z231+AA231)/4</f>
        <v>0</v>
      </c>
      <c r="AC231" s="9" t="n">
        <v>1</v>
      </c>
      <c r="AD231" s="9" t="n">
        <v>1</v>
      </c>
      <c r="AE231" s="9" t="n">
        <v>1</v>
      </c>
      <c r="AF231" s="9" t="n">
        <v>1</v>
      </c>
      <c r="AG231" s="11" t="n">
        <f aca="false">(AC231+AD231+AE231+AF231)/4</f>
        <v>1</v>
      </c>
      <c r="AH231" s="9" t="n">
        <v>1</v>
      </c>
      <c r="AI231" s="9" t="n">
        <v>1</v>
      </c>
      <c r="AJ231" s="9" t="n">
        <v>1</v>
      </c>
      <c r="AK231" s="9" t="n">
        <v>1</v>
      </c>
      <c r="AL231" s="11" t="n">
        <f aca="false">(AH231+AI231+AJ231+AK231)/4</f>
        <v>1</v>
      </c>
      <c r="AM231" s="9" t="n">
        <v>107</v>
      </c>
      <c r="AN231" s="9" t="n">
        <v>49</v>
      </c>
      <c r="AO231" s="9" t="n">
        <v>51</v>
      </c>
      <c r="AP231" s="9" t="n">
        <v>50</v>
      </c>
      <c r="AQ231" s="11" t="n">
        <f aca="false">(AM231+AN231+AO231+AP231)/4</f>
        <v>64.25</v>
      </c>
      <c r="AR231" s="9" t="n">
        <v>14</v>
      </c>
      <c r="AS231" s="9" t="n">
        <v>13</v>
      </c>
      <c r="AT231" s="9" t="n">
        <v>14</v>
      </c>
      <c r="AU231" s="9" t="n">
        <v>31</v>
      </c>
      <c r="AV231" s="11" t="n">
        <f aca="false">(AR231+AS231+AT231+AU231)/4</f>
        <v>18</v>
      </c>
      <c r="AW231" s="9" t="n">
        <v>0</v>
      </c>
      <c r="AX231" s="9" t="n">
        <v>0</v>
      </c>
      <c r="AY231" s="9" t="n">
        <v>0</v>
      </c>
      <c r="AZ231" s="9" t="n">
        <v>0</v>
      </c>
      <c r="BA231" s="11" t="n">
        <f aca="false">(AW231+AX231+AY231+AZ231)/4</f>
        <v>0</v>
      </c>
      <c r="BB231" s="11" t="n">
        <f aca="false">(AW231/AR231)</f>
        <v>0</v>
      </c>
      <c r="BC231" s="11" t="n">
        <f aca="false">(AX231/AS231)</f>
        <v>0</v>
      </c>
      <c r="BD231" s="11" t="n">
        <f aca="false">(AY231/AT231)</f>
        <v>0</v>
      </c>
      <c r="BE231" s="11" t="n">
        <f aca="false">(AZ231/AU231)</f>
        <v>0</v>
      </c>
      <c r="BF231" s="11" t="n">
        <f aca="false">(BA231/AV231)</f>
        <v>0</v>
      </c>
      <c r="BG231" s="11" t="n">
        <f aca="false">(BF231*100)</f>
        <v>0</v>
      </c>
      <c r="BH231" s="9" t="n">
        <v>0</v>
      </c>
      <c r="BI231" s="9" t="n">
        <v>7</v>
      </c>
      <c r="BJ231" s="9" t="n">
        <v>5</v>
      </c>
      <c r="BK231" s="9" t="n">
        <v>10</v>
      </c>
      <c r="BL231" s="9" t="n">
        <v>7</v>
      </c>
      <c r="BM231" s="11" t="n">
        <f aca="false">(BI231+BJ231+BK231+BL231)/4</f>
        <v>7.25</v>
      </c>
      <c r="BN231" s="11" t="n">
        <f aca="false">(BI231/AR231)</f>
        <v>0.5</v>
      </c>
      <c r="BO231" s="11" t="n">
        <f aca="false">(BJ231/AS231)</f>
        <v>0.384615384615385</v>
      </c>
      <c r="BP231" s="11" t="n">
        <f aca="false">(BK231/AT231)</f>
        <v>0.714285714285714</v>
      </c>
      <c r="BQ231" s="11" t="n">
        <f aca="false">(BL231/AU231)</f>
        <v>0.225806451612903</v>
      </c>
      <c r="BR231" s="11" t="n">
        <f aca="false">(BM231/AV231)</f>
        <v>0.402777777777778</v>
      </c>
      <c r="BS231" s="11" t="n">
        <f aca="false">(100*BR231)</f>
        <v>40.2777777777778</v>
      </c>
      <c r="BT231" s="9" t="n">
        <v>3</v>
      </c>
      <c r="BU231" s="9" t="n">
        <v>0</v>
      </c>
      <c r="BV231" s="9" t="n">
        <v>0</v>
      </c>
      <c r="BW231" s="9" t="n">
        <v>0</v>
      </c>
      <c r="BX231" s="9" t="n">
        <v>0</v>
      </c>
      <c r="BY231" s="11" t="n">
        <f aca="false">(BU231+BV231+BW231+BX231)/4</f>
        <v>0</v>
      </c>
      <c r="BZ231" s="11" t="n">
        <f aca="false">(BU231/AR231)</f>
        <v>0</v>
      </c>
      <c r="CA231" s="11" t="n">
        <f aca="false">(BV231/AS231)</f>
        <v>0</v>
      </c>
      <c r="CB231" s="11" t="n">
        <f aca="false">(BW231/AT231)</f>
        <v>0</v>
      </c>
      <c r="CC231" s="11" t="n">
        <f aca="false">(BX231/AU231)</f>
        <v>0</v>
      </c>
      <c r="CD231" s="11" t="n">
        <f aca="false">(BY231/AV231)</f>
        <v>0</v>
      </c>
      <c r="CE231" s="11" t="n">
        <f aca="false">(100*CD231)</f>
        <v>0</v>
      </c>
      <c r="CF231" s="9" t="n">
        <v>0</v>
      </c>
      <c r="CG231" s="9" t="n">
        <v>15</v>
      </c>
      <c r="CH231" s="9" t="n">
        <v>20</v>
      </c>
      <c r="CI231" s="9" t="n">
        <v>7</v>
      </c>
      <c r="CJ231" s="9" t="n">
        <v>20</v>
      </c>
      <c r="CK231" s="11" t="n">
        <f aca="false">(CG231+CH231+CI231+CJ231)/4</f>
        <v>15.5</v>
      </c>
      <c r="CL231" s="11" t="n">
        <f aca="false">(CG231/AM231)</f>
        <v>0.14018691588785</v>
      </c>
      <c r="CM231" s="11" t="n">
        <f aca="false">(CH231/AN231)</f>
        <v>0.408163265306122</v>
      </c>
      <c r="CN231" s="11" t="n">
        <f aca="false">(CI231/AO231)</f>
        <v>0.137254901960784</v>
      </c>
      <c r="CO231" s="9" t="n">
        <f aca="false">(CJ231/AP231)</f>
        <v>0.4</v>
      </c>
      <c r="CP231" s="9" t="n">
        <f aca="false">(CK231/AQ231)</f>
        <v>0.24124513618677</v>
      </c>
      <c r="CQ231" s="9" t="n">
        <f aca="false">(100*CP231)</f>
        <v>24.124513618677</v>
      </c>
      <c r="CR231" s="18" t="n">
        <v>2</v>
      </c>
      <c r="CS231" s="9" t="n">
        <v>44.7</v>
      </c>
      <c r="CT231" s="9" t="n">
        <v>75</v>
      </c>
      <c r="CU231" s="9" t="n">
        <v>63</v>
      </c>
      <c r="CV231" s="9" t="n">
        <v>53.6</v>
      </c>
      <c r="CW231" s="11" t="n">
        <f aca="false">(CS231+CT231+CU231+CV231)/4</f>
        <v>59.075</v>
      </c>
      <c r="CX231" s="9" t="n">
        <v>0</v>
      </c>
      <c r="CY231" s="9" t="n">
        <v>0</v>
      </c>
      <c r="CZ231" s="9" t="n">
        <v>0</v>
      </c>
      <c r="DA231" s="9" t="n">
        <v>0</v>
      </c>
      <c r="DB231" s="11" t="n">
        <f aca="false">(CX231+CY231+CZ231+DA231)/4</f>
        <v>0</v>
      </c>
      <c r="DC231" s="9" t="n">
        <v>1</v>
      </c>
      <c r="DD231" s="9" t="n">
        <v>1</v>
      </c>
      <c r="DE231" s="9" t="n">
        <v>1</v>
      </c>
      <c r="DF231" s="9" t="n">
        <v>1</v>
      </c>
      <c r="DG231" s="11" t="n">
        <f aca="false">(DC231+DD231+DE231+DF231)/4</f>
        <v>1</v>
      </c>
      <c r="DH231" s="9" t="n">
        <v>1</v>
      </c>
      <c r="DI231" s="9" t="n">
        <v>0</v>
      </c>
      <c r="DJ231" s="9" t="n">
        <v>1</v>
      </c>
      <c r="DK231" s="9" t="n">
        <v>1</v>
      </c>
      <c r="DL231" s="11" t="n">
        <f aca="false">(DH231+DI231+DJ231+DK231)/4</f>
        <v>0.75</v>
      </c>
      <c r="DM231" s="9" t="n">
        <v>236</v>
      </c>
      <c r="DN231" s="9" t="n">
        <v>74</v>
      </c>
      <c r="DO231" s="9" t="n">
        <v>168</v>
      </c>
      <c r="DP231" s="9" t="n">
        <v>248</v>
      </c>
      <c r="DQ231" s="11" t="n">
        <f aca="false">(DM231+DN231+DO231+DP231)/4</f>
        <v>181.5</v>
      </c>
      <c r="DR231" s="9" t="n">
        <v>15</v>
      </c>
      <c r="DS231" s="9" t="n">
        <v>11</v>
      </c>
      <c r="DT231" s="9" t="n">
        <v>19</v>
      </c>
      <c r="DU231" s="9" t="n">
        <v>18</v>
      </c>
      <c r="DV231" s="11" t="n">
        <f aca="false">(DR231+DS231+DT231+DU231)/4</f>
        <v>15.75</v>
      </c>
      <c r="DW231" s="9" t="n">
        <v>0</v>
      </c>
      <c r="DX231" s="9" t="n">
        <v>0</v>
      </c>
      <c r="DY231" s="9" t="n">
        <v>0</v>
      </c>
      <c r="DZ231" s="9" t="n">
        <v>0</v>
      </c>
      <c r="EA231" s="11" t="n">
        <f aca="false">(DW231+DX231+DY231+DZ231)/4</f>
        <v>0</v>
      </c>
      <c r="EB231" s="11" t="n">
        <f aca="false">(DW231/DR231)</f>
        <v>0</v>
      </c>
      <c r="EC231" s="11" t="n">
        <f aca="false">(DX231/DS231)</f>
        <v>0</v>
      </c>
      <c r="ED231" s="11" t="n">
        <f aca="false">(DY231/DT231)</f>
        <v>0</v>
      </c>
      <c r="EE231" s="11" t="n">
        <f aca="false">(DZ231/DU231)</f>
        <v>0</v>
      </c>
      <c r="EF231" s="11" t="n">
        <f aca="false">(EA231/DV231)</f>
        <v>0</v>
      </c>
      <c r="EG231" s="11" t="n">
        <f aca="false">(100*EF231)</f>
        <v>0</v>
      </c>
      <c r="EH231" s="9" t="n">
        <v>0</v>
      </c>
      <c r="EI231" s="9" t="n">
        <v>5</v>
      </c>
      <c r="EJ231" s="9" t="n">
        <v>4</v>
      </c>
      <c r="EK231" s="19" t="n">
        <v>5</v>
      </c>
      <c r="EL231" s="9" t="n">
        <v>7</v>
      </c>
      <c r="EM231" s="9" t="n">
        <f aca="false">(EI231+EJ231+EK231+EL231)/4</f>
        <v>5.25</v>
      </c>
      <c r="EN231" s="9" t="n">
        <f aca="false">(EI231/DR231)</f>
        <v>0.333333333333333</v>
      </c>
      <c r="EO231" s="9" t="n">
        <f aca="false">(EJ231/DS231)</f>
        <v>0.363636363636364</v>
      </c>
      <c r="EP231" s="9" t="n">
        <f aca="false">(EK231/DT231)</f>
        <v>0.263157894736842</v>
      </c>
      <c r="EQ231" s="9" t="n">
        <f aca="false">(EL231/DU231)</f>
        <v>0.388888888888889</v>
      </c>
      <c r="ER231" s="9" t="n">
        <f aca="false">EM231/DV231</f>
        <v>0.333333333333333</v>
      </c>
      <c r="ES231" s="9" t="n">
        <f aca="false">(100*ER231)</f>
        <v>33.3333333333333</v>
      </c>
      <c r="ET231" s="9" t="n">
        <v>3</v>
      </c>
      <c r="EU231" s="18" t="n">
        <v>0</v>
      </c>
      <c r="EV231" s="9" t="n">
        <v>0</v>
      </c>
      <c r="EW231" s="9" t="n">
        <v>0</v>
      </c>
      <c r="EX231" s="9" t="n">
        <v>2</v>
      </c>
      <c r="EY231" s="11" t="n">
        <f aca="false">(EU231+EV231+EW231+EX231)/4</f>
        <v>0.5</v>
      </c>
      <c r="EZ231" s="11" t="n">
        <f aca="false">(EU231/DR231)</f>
        <v>0</v>
      </c>
      <c r="FA231" s="11" t="n">
        <f aca="false">(EV231/DS231)</f>
        <v>0</v>
      </c>
      <c r="FB231" s="11" t="n">
        <f aca="false">(EW231/DT231)</f>
        <v>0</v>
      </c>
      <c r="FC231" s="11" t="n">
        <f aca="false">(EX231/DU231)</f>
        <v>0.111111111111111</v>
      </c>
      <c r="FD231" s="11" t="n">
        <f aca="false">(EY231/DV231)</f>
        <v>0.0317460317460317</v>
      </c>
      <c r="FE231" s="11" t="n">
        <f aca="false">(100*FD231)</f>
        <v>3.17460317460317</v>
      </c>
      <c r="FF231" s="9" t="n">
        <v>1</v>
      </c>
      <c r="FG231" s="9" t="n">
        <v>5</v>
      </c>
      <c r="FH231" s="9" t="n">
        <v>10</v>
      </c>
      <c r="FI231" s="9" t="n">
        <v>19</v>
      </c>
      <c r="FJ231" s="9" t="n">
        <v>20</v>
      </c>
      <c r="FK231" s="11" t="n">
        <f aca="false">(FG231+FH231+FI231+FJ231)/4</f>
        <v>13.5</v>
      </c>
      <c r="FL231" s="11" t="n">
        <f aca="false">(FG231/DR231)</f>
        <v>0.333333333333333</v>
      </c>
      <c r="FM231" s="11" t="n">
        <f aca="false">(FH231/DS231)</f>
        <v>0.909090909090909</v>
      </c>
      <c r="FN231" s="11" t="n">
        <f aca="false">(FI231/DT231)</f>
        <v>1</v>
      </c>
      <c r="FO231" s="11" t="n">
        <f aca="false">(FJ231/DU231)</f>
        <v>1.11111111111111</v>
      </c>
      <c r="FP231" s="11" t="n">
        <f aca="false">(FK231/DV231)</f>
        <v>0.857142857142857</v>
      </c>
      <c r="FQ231" s="11" t="n">
        <f aca="false">(100*FP231)</f>
        <v>85.7142857142857</v>
      </c>
      <c r="FR231" s="9" t="n">
        <v>3</v>
      </c>
      <c r="FS231" s="9" t="n">
        <v>59.3</v>
      </c>
      <c r="FT231" s="9" t="n">
        <v>50.8</v>
      </c>
      <c r="FU231" s="9" t="n">
        <v>51.3</v>
      </c>
      <c r="FV231" s="9" t="n">
        <v>53.3</v>
      </c>
      <c r="FW231" s="11" t="n">
        <f aca="false">(FS231+FT231+FU231+FV231)/4</f>
        <v>53.675</v>
      </c>
      <c r="FX231" s="9" t="n">
        <v>0</v>
      </c>
      <c r="FY231" s="9" t="n">
        <v>0</v>
      </c>
      <c r="FZ231" s="9" t="n">
        <v>0</v>
      </c>
      <c r="GA231" s="9" t="n">
        <v>0</v>
      </c>
      <c r="GB231" s="11" t="n">
        <f aca="false">(FX231+FY231+FZ231+GA231)/4</f>
        <v>0</v>
      </c>
      <c r="GC231" s="9" t="n">
        <v>1</v>
      </c>
      <c r="GD231" s="9" t="n">
        <v>1</v>
      </c>
      <c r="GE231" s="9" t="n">
        <v>1</v>
      </c>
      <c r="GF231" s="9" t="n">
        <v>1</v>
      </c>
      <c r="GG231" s="11" t="n">
        <f aca="false">(GC231+GD231+GE231+GF231)/4</f>
        <v>1</v>
      </c>
      <c r="GH231" s="9" t="n">
        <v>1</v>
      </c>
      <c r="GI231" s="9" t="n">
        <v>1</v>
      </c>
      <c r="GJ231" s="9" t="n">
        <v>1</v>
      </c>
      <c r="GK231" s="9" t="n">
        <v>1</v>
      </c>
      <c r="GL231" s="11" t="n">
        <f aca="false">(GH231+GI231+GJ231+GK231)/4</f>
        <v>1</v>
      </c>
      <c r="GM231" s="9" t="n">
        <v>184</v>
      </c>
      <c r="GN231" s="9" t="n">
        <v>164</v>
      </c>
      <c r="GO231" s="9" t="n">
        <v>136</v>
      </c>
      <c r="GP231" s="9" t="n">
        <v>163</v>
      </c>
      <c r="GQ231" s="11" t="n">
        <f aca="false">(GM231+GN231+GO231+GP231)/4</f>
        <v>161.75</v>
      </c>
      <c r="GR231" s="9" t="n">
        <v>18</v>
      </c>
      <c r="GS231" s="9" t="n">
        <v>25</v>
      </c>
      <c r="GT231" s="9" t="n">
        <v>13</v>
      </c>
      <c r="GU231" s="9" t="n">
        <v>25</v>
      </c>
      <c r="GV231" s="11" t="n">
        <f aca="false">(GR231+GS231+GT231+GU231)/4</f>
        <v>20.25</v>
      </c>
      <c r="GW231" s="9" t="n">
        <v>0</v>
      </c>
      <c r="GX231" s="9" t="n">
        <v>0</v>
      </c>
      <c r="GY231" s="9" t="n">
        <v>0</v>
      </c>
      <c r="GZ231" s="9" t="n">
        <v>0</v>
      </c>
      <c r="HA231" s="11" t="n">
        <f aca="false">(GW231+GX231+GY231+GZ231)/4</f>
        <v>0</v>
      </c>
      <c r="HB231" s="9"/>
      <c r="HC231" s="9" t="n">
        <f aca="false">(GX231/GS231)</f>
        <v>0</v>
      </c>
      <c r="HD231" s="9" t="n">
        <f aca="false">(GY231/GT231)</f>
        <v>0</v>
      </c>
      <c r="HE231" s="9" t="n">
        <f aca="false">(GZ231/GU231)/4</f>
        <v>0</v>
      </c>
      <c r="HF231" s="9" t="n">
        <f aca="false">(HB231+HC231+HD231+HE231)/4</f>
        <v>0</v>
      </c>
      <c r="HG231" s="9" t="n">
        <f aca="false">(100*HF231)</f>
        <v>0</v>
      </c>
      <c r="HH231" s="18" t="n">
        <v>0</v>
      </c>
      <c r="HI231" s="9" t="n">
        <v>6</v>
      </c>
      <c r="HJ231" s="9" t="n">
        <v>8</v>
      </c>
      <c r="HK231" s="9" t="n">
        <v>5</v>
      </c>
      <c r="HL231" s="19" t="n">
        <v>3</v>
      </c>
      <c r="HM231" s="9" t="n">
        <f aca="false">(HI231+HJ231+HK231+HL231)/4</f>
        <v>5.5</v>
      </c>
      <c r="HN231" s="9" t="n">
        <f aca="false">(HI231/GR231)</f>
        <v>0.333333333333333</v>
      </c>
      <c r="HO231" s="9" t="n">
        <f aca="false">(HJ231/GS231)</f>
        <v>0.32</v>
      </c>
      <c r="HP231" s="9" t="n">
        <f aca="false">(HK231/GT231)</f>
        <v>0.384615384615385</v>
      </c>
      <c r="HQ231" s="9" t="n">
        <f aca="false">(HL231/GU231)</f>
        <v>0.12</v>
      </c>
      <c r="HR231" s="9" t="n">
        <f aca="false">(HM231/GV231)</f>
        <v>0.271604938271605</v>
      </c>
      <c r="HS231" s="9" t="n">
        <f aca="false">(100*HR231)</f>
        <v>27.1604938271605</v>
      </c>
      <c r="HT231" s="18" t="n">
        <v>2</v>
      </c>
      <c r="HU231" s="9" t="n">
        <v>0</v>
      </c>
      <c r="HV231" s="9" t="n">
        <v>0</v>
      </c>
      <c r="HW231" s="9" t="n">
        <v>0</v>
      </c>
      <c r="HX231" s="19" t="n">
        <v>0</v>
      </c>
      <c r="HY231" s="9" t="n">
        <f aca="false">(HU231+HV231+HW231+HX231)/4</f>
        <v>0</v>
      </c>
      <c r="HZ231" s="9" t="n">
        <f aca="false">(HU231/GR231)</f>
        <v>0</v>
      </c>
      <c r="IA231" s="9" t="n">
        <f aca="false">HV231/GS231</f>
        <v>0</v>
      </c>
      <c r="IB231" s="9" t="n">
        <f aca="false">(HW231/GT231)</f>
        <v>0</v>
      </c>
      <c r="IC231" s="9" t="n">
        <f aca="false">(HX231/GU231)</f>
        <v>0</v>
      </c>
      <c r="ID231" s="9" t="n">
        <f aca="false">(HY231/GV231)</f>
        <v>0</v>
      </c>
      <c r="IE231" s="9" t="n">
        <f aca="false">(100*ID231)</f>
        <v>0</v>
      </c>
      <c r="IF231" s="18" t="n">
        <v>0</v>
      </c>
      <c r="IG231" s="9" t="n">
        <v>15</v>
      </c>
      <c r="IH231" s="9" t="n">
        <v>12</v>
      </c>
      <c r="II231" s="19" t="n">
        <v>4</v>
      </c>
      <c r="IJ231" s="9" t="n">
        <v>15</v>
      </c>
      <c r="IK231" s="9" t="n">
        <f aca="false">(IG231+IH231+II231+IJ231)/4</f>
        <v>11.5</v>
      </c>
      <c r="IL231" s="9" t="n">
        <f aca="false">(IG231/GM231)</f>
        <v>0.0815217391304348</v>
      </c>
      <c r="IM231" s="9" t="n">
        <f aca="false">(IH231/GN231)</f>
        <v>0.0731707317073171</v>
      </c>
      <c r="IN231" s="9" t="n">
        <f aca="false">(II231/GO231)</f>
        <v>0.0294117647058824</v>
      </c>
      <c r="IO231" s="9" t="n">
        <f aca="false">(IJ231/GP231)</f>
        <v>0.0920245398773006</v>
      </c>
      <c r="IP231" s="9" t="n">
        <f aca="false">(IK231/GQ231)</f>
        <v>0.071097372488408</v>
      </c>
      <c r="IQ231" s="9" t="n">
        <f aca="false">(100*IP231)</f>
        <v>7.1097372488408</v>
      </c>
      <c r="IR231" s="18" t="n">
        <v>1</v>
      </c>
      <c r="IS231" s="9" t="n">
        <v>64</v>
      </c>
      <c r="IT231" s="9" t="n">
        <v>69.8</v>
      </c>
      <c r="IU231" s="19" t="n">
        <v>65.3</v>
      </c>
      <c r="IV231" s="9" t="n">
        <v>61.2</v>
      </c>
      <c r="IW231" s="9" t="n">
        <f aca="false">(IS231+IT231+IU231+IV231)/4</f>
        <v>65.075</v>
      </c>
      <c r="IX231" s="16" t="n">
        <v>45211</v>
      </c>
      <c r="IY231" s="10" t="s">
        <v>268</v>
      </c>
    </row>
    <row r="232" customFormat="false" ht="15.75" hidden="false" customHeight="true" outlineLevel="0" collapsed="false">
      <c r="A232" s="9" t="s">
        <v>343</v>
      </c>
      <c r="B232" s="10" t="s">
        <v>782</v>
      </c>
      <c r="C232" s="10" t="s">
        <v>727</v>
      </c>
      <c r="D232" s="9" t="n">
        <v>1</v>
      </c>
      <c r="E232" s="9" t="n">
        <v>77</v>
      </c>
      <c r="F232" s="10" t="s">
        <v>787</v>
      </c>
      <c r="G232" s="10" t="s">
        <v>297</v>
      </c>
      <c r="H232" s="9" t="n">
        <v>21</v>
      </c>
      <c r="I232" s="9" t="n">
        <v>20</v>
      </c>
      <c r="J232" s="10" t="s">
        <v>272</v>
      </c>
      <c r="K232" s="20"/>
      <c r="L232" s="20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 t="n">
        <v>0</v>
      </c>
      <c r="Y232" s="9" t="n">
        <v>0</v>
      </c>
      <c r="Z232" s="9" t="n">
        <v>0</v>
      </c>
      <c r="AA232" s="9" t="n">
        <v>0</v>
      </c>
      <c r="AB232" s="11" t="n">
        <f aca="false">(X232+Y232+Z232+AA232)/4</f>
        <v>0</v>
      </c>
      <c r="AC232" s="9" t="n">
        <v>1</v>
      </c>
      <c r="AD232" s="9" t="n">
        <v>1</v>
      </c>
      <c r="AE232" s="9" t="n">
        <v>1</v>
      </c>
      <c r="AF232" s="9" t="n">
        <v>1</v>
      </c>
      <c r="AG232" s="11" t="n">
        <f aca="false">(AC232+AD232+AE232+AF232)/4</f>
        <v>1</v>
      </c>
      <c r="AH232" s="9" t="n">
        <v>1</v>
      </c>
      <c r="AI232" s="9" t="n">
        <v>1</v>
      </c>
      <c r="AJ232" s="9" t="n">
        <v>1</v>
      </c>
      <c r="AK232" s="9" t="n">
        <v>1</v>
      </c>
      <c r="AL232" s="11" t="n">
        <f aca="false">(AH232+AI232+AJ232+AK232)/4</f>
        <v>1</v>
      </c>
      <c r="AM232" s="9" t="n">
        <v>28</v>
      </c>
      <c r="AN232" s="9" t="n">
        <v>33</v>
      </c>
      <c r="AO232" s="9" t="n">
        <v>26</v>
      </c>
      <c r="AP232" s="9" t="n">
        <v>50</v>
      </c>
      <c r="AQ232" s="11" t="n">
        <f aca="false">(AM232+AN232+AO232+AP232)/4</f>
        <v>34.25</v>
      </c>
      <c r="AR232" s="9" t="n">
        <v>11</v>
      </c>
      <c r="AS232" s="9" t="n">
        <v>18</v>
      </c>
      <c r="AT232" s="9" t="n">
        <v>34</v>
      </c>
      <c r="AU232" s="9" t="n">
        <v>9</v>
      </c>
      <c r="AV232" s="11" t="n">
        <f aca="false">(AR232+AS232+AT232+AU232)/4</f>
        <v>18</v>
      </c>
      <c r="AW232" s="9" t="n">
        <v>0</v>
      </c>
      <c r="AX232" s="9" t="n">
        <v>0</v>
      </c>
      <c r="AY232" s="9" t="n">
        <v>0</v>
      </c>
      <c r="AZ232" s="9" t="n">
        <v>0</v>
      </c>
      <c r="BA232" s="11" t="n">
        <f aca="false">(AW232+AX232+AY232+AZ232)/4</f>
        <v>0</v>
      </c>
      <c r="BB232" s="11" t="n">
        <f aca="false">(AW232/AR232)</f>
        <v>0</v>
      </c>
      <c r="BC232" s="11" t="n">
        <f aca="false">(AX232/AS232)</f>
        <v>0</v>
      </c>
      <c r="BD232" s="11" t="n">
        <f aca="false">(AY232/AT232)</f>
        <v>0</v>
      </c>
      <c r="BE232" s="11" t="n">
        <f aca="false">(AZ232/AU232)</f>
        <v>0</v>
      </c>
      <c r="BF232" s="11" t="n">
        <f aca="false">(BA232/AV232)</f>
        <v>0</v>
      </c>
      <c r="BG232" s="11" t="n">
        <f aca="false">(BF232*100)</f>
        <v>0</v>
      </c>
      <c r="BH232" s="9" t="n">
        <v>0</v>
      </c>
      <c r="BI232" s="9" t="n">
        <v>3</v>
      </c>
      <c r="BJ232" s="9" t="n">
        <v>4</v>
      </c>
      <c r="BK232" s="9" t="n">
        <v>3</v>
      </c>
      <c r="BL232" s="9" t="n">
        <v>9</v>
      </c>
      <c r="BM232" s="11" t="n">
        <f aca="false">(BI232+BJ232+BK232+BL232)/4</f>
        <v>4.75</v>
      </c>
      <c r="BN232" s="11" t="n">
        <f aca="false">(BI232/AR232)</f>
        <v>0.272727272727273</v>
      </c>
      <c r="BO232" s="11" t="n">
        <f aca="false">(BJ232/AS232)</f>
        <v>0.222222222222222</v>
      </c>
      <c r="BP232" s="11" t="n">
        <f aca="false">(BK232/AT232)</f>
        <v>0.0882352941176471</v>
      </c>
      <c r="BQ232" s="11" t="n">
        <f aca="false">(BL232/AU232)</f>
        <v>1</v>
      </c>
      <c r="BR232" s="11" t="n">
        <f aca="false">(BM232/AV232)</f>
        <v>0.263888888888889</v>
      </c>
      <c r="BS232" s="11" t="n">
        <f aca="false">(100*BR232)</f>
        <v>26.3888888888889</v>
      </c>
      <c r="BT232" s="9" t="n">
        <v>2</v>
      </c>
      <c r="BU232" s="9" t="n">
        <v>2</v>
      </c>
      <c r="BV232" s="9" t="n">
        <v>0</v>
      </c>
      <c r="BW232" s="9" t="n">
        <v>0</v>
      </c>
      <c r="BX232" s="9" t="n">
        <v>2</v>
      </c>
      <c r="BY232" s="11" t="n">
        <f aca="false">(BU232+BV232+BW232+BX232)/4</f>
        <v>1</v>
      </c>
      <c r="BZ232" s="11" t="n">
        <f aca="false">(BU232/AR232)</f>
        <v>0.181818181818182</v>
      </c>
      <c r="CA232" s="11" t="n">
        <f aca="false">(BV232/AS232)</f>
        <v>0</v>
      </c>
      <c r="CB232" s="11" t="n">
        <f aca="false">(BW232/AT232)</f>
        <v>0</v>
      </c>
      <c r="CC232" s="11" t="n">
        <f aca="false">(BX232/AU232)</f>
        <v>0.222222222222222</v>
      </c>
      <c r="CD232" s="11" t="n">
        <f aca="false">(BY232/AV232)</f>
        <v>0.0555555555555556</v>
      </c>
      <c r="CE232" s="11" t="n">
        <f aca="false">(100*CD232)</f>
        <v>5.55555555555556</v>
      </c>
      <c r="CF232" s="9" t="n">
        <v>1</v>
      </c>
      <c r="CG232" s="9" t="n">
        <v>16</v>
      </c>
      <c r="CH232" s="9" t="n">
        <v>4</v>
      </c>
      <c r="CI232" s="9" t="n">
        <v>5</v>
      </c>
      <c r="CJ232" s="9" t="n">
        <v>0</v>
      </c>
      <c r="CK232" s="11" t="n">
        <f aca="false">(CG232+CH232+CI232+CJ232)/4</f>
        <v>6.25</v>
      </c>
      <c r="CL232" s="11" t="n">
        <f aca="false">(CG232/AM232)</f>
        <v>0.571428571428571</v>
      </c>
      <c r="CM232" s="11" t="n">
        <f aca="false">(CH232/AN232)</f>
        <v>0.121212121212121</v>
      </c>
      <c r="CN232" s="11" t="n">
        <f aca="false">(CI232/AO232)</f>
        <v>0.192307692307692</v>
      </c>
      <c r="CO232" s="9" t="n">
        <f aca="false">(CJ232/AP232)</f>
        <v>0</v>
      </c>
      <c r="CP232" s="9" t="n">
        <f aca="false">(CK232/AQ232)</f>
        <v>0.182481751824818</v>
      </c>
      <c r="CQ232" s="9" t="n">
        <f aca="false">(100*CP232)</f>
        <v>18.2481751824818</v>
      </c>
      <c r="CR232" s="18" t="n">
        <v>2</v>
      </c>
      <c r="CS232" s="9" t="n">
        <v>54.3</v>
      </c>
      <c r="CT232" s="9" t="n">
        <v>49.9</v>
      </c>
      <c r="CU232" s="9" t="n">
        <v>60.8</v>
      </c>
      <c r="CV232" s="9" t="n">
        <v>51.9</v>
      </c>
      <c r="CW232" s="11" t="n">
        <f aca="false">(CS232+CT232+CU232+CV232)/4</f>
        <v>54.225</v>
      </c>
      <c r="CX232" s="9" t="n">
        <v>0</v>
      </c>
      <c r="CY232" s="9" t="n">
        <v>0</v>
      </c>
      <c r="CZ232" s="9" t="n">
        <v>0</v>
      </c>
      <c r="DA232" s="9" t="n">
        <v>0</v>
      </c>
      <c r="DB232" s="11" t="n">
        <f aca="false">(CX232+CY232+CZ232+DA232)/4</f>
        <v>0</v>
      </c>
      <c r="DC232" s="9" t="n">
        <v>1</v>
      </c>
      <c r="DD232" s="9" t="n">
        <v>1</v>
      </c>
      <c r="DE232" s="9" t="n">
        <v>1</v>
      </c>
      <c r="DF232" s="9" t="n">
        <v>1</v>
      </c>
      <c r="DG232" s="11" t="n">
        <f aca="false">(DC232+DD232+DE232+DF232)/4</f>
        <v>1</v>
      </c>
      <c r="DH232" s="9" t="n">
        <v>0</v>
      </c>
      <c r="DI232" s="9" t="n">
        <v>1</v>
      </c>
      <c r="DJ232" s="9" t="n">
        <v>1</v>
      </c>
      <c r="DK232" s="9" t="n">
        <v>1</v>
      </c>
      <c r="DL232" s="11" t="n">
        <f aca="false">(DH232+DI232+DJ232+DK232)/4</f>
        <v>0.75</v>
      </c>
      <c r="DM232" s="9" t="n">
        <v>34</v>
      </c>
      <c r="DN232" s="9" t="n">
        <v>71</v>
      </c>
      <c r="DO232" s="9" t="n">
        <v>67</v>
      </c>
      <c r="DP232" s="9" t="n">
        <v>48</v>
      </c>
      <c r="DQ232" s="11" t="n">
        <f aca="false">(DM232+DN232+DO232+DP232)/4</f>
        <v>55</v>
      </c>
      <c r="DR232" s="9" t="n">
        <v>8</v>
      </c>
      <c r="DS232" s="9" t="n">
        <v>6</v>
      </c>
      <c r="DT232" s="9" t="n">
        <v>20</v>
      </c>
      <c r="DU232" s="9" t="n">
        <v>10</v>
      </c>
      <c r="DV232" s="11" t="n">
        <f aca="false">(DR232+DS232+DT232+DU232)/4</f>
        <v>11</v>
      </c>
      <c r="DW232" s="9" t="n">
        <v>0</v>
      </c>
      <c r="DX232" s="9" t="n">
        <v>0</v>
      </c>
      <c r="DY232" s="9" t="n">
        <v>0</v>
      </c>
      <c r="DZ232" s="9" t="n">
        <v>0</v>
      </c>
      <c r="EA232" s="11" t="n">
        <f aca="false">(DW232+DX232+DY232+DZ232)/4</f>
        <v>0</v>
      </c>
      <c r="EB232" s="11" t="n">
        <f aca="false">(DW232/DR232)</f>
        <v>0</v>
      </c>
      <c r="EC232" s="11" t="n">
        <f aca="false">(DX232/DS232)</f>
        <v>0</v>
      </c>
      <c r="ED232" s="11" t="n">
        <f aca="false">(DY232/DT232)</f>
        <v>0</v>
      </c>
      <c r="EE232" s="11" t="n">
        <f aca="false">(DZ232/DU232)</f>
        <v>0</v>
      </c>
      <c r="EF232" s="11" t="n">
        <f aca="false">(EA232/DV232)</f>
        <v>0</v>
      </c>
      <c r="EG232" s="11" t="n">
        <f aca="false">(100*EF232)</f>
        <v>0</v>
      </c>
      <c r="EH232" s="9" t="n">
        <v>0</v>
      </c>
      <c r="EI232" s="9" t="n">
        <v>4</v>
      </c>
      <c r="EJ232" s="9" t="n">
        <v>5</v>
      </c>
      <c r="EK232" s="19" t="n">
        <v>10</v>
      </c>
      <c r="EL232" s="9" t="n">
        <v>8</v>
      </c>
      <c r="EM232" s="9" t="n">
        <f aca="false">(EI232+EJ232+EK232+EL232)/4</f>
        <v>6.75</v>
      </c>
      <c r="EN232" s="9" t="n">
        <f aca="false">(EI232/DR232)</f>
        <v>0.5</v>
      </c>
      <c r="EO232" s="9" t="n">
        <f aca="false">(EJ232/DS232)</f>
        <v>0.833333333333333</v>
      </c>
      <c r="EP232" s="9" t="n">
        <f aca="false">(EK232/DT232)</f>
        <v>0.5</v>
      </c>
      <c r="EQ232" s="9" t="n">
        <f aca="false">(EL232/DU232)</f>
        <v>0.8</v>
      </c>
      <c r="ER232" s="9" t="n">
        <f aca="false">EM232/DV232</f>
        <v>0.613636363636364</v>
      </c>
      <c r="ES232" s="9" t="n">
        <f aca="false">(100*ER232)</f>
        <v>61.3636363636364</v>
      </c>
      <c r="ET232" s="9" t="n">
        <v>3</v>
      </c>
      <c r="EU232" s="18" t="n">
        <v>0</v>
      </c>
      <c r="EV232" s="9" t="n">
        <v>0</v>
      </c>
      <c r="EW232" s="9" t="n">
        <v>0</v>
      </c>
      <c r="EX232" s="9" t="n">
        <v>0</v>
      </c>
      <c r="EY232" s="11" t="n">
        <f aca="false">(EU232+EV232+EW232+EX232)/4</f>
        <v>0</v>
      </c>
      <c r="EZ232" s="11" t="n">
        <f aca="false">(EU232/DR232)</f>
        <v>0</v>
      </c>
      <c r="FA232" s="11" t="n">
        <f aca="false">(EV232/DS232)</f>
        <v>0</v>
      </c>
      <c r="FB232" s="11" t="n">
        <f aca="false">(EW232/DT232)</f>
        <v>0</v>
      </c>
      <c r="FC232" s="11" t="n">
        <f aca="false">(EX232/DU232)</f>
        <v>0</v>
      </c>
      <c r="FD232" s="11" t="n">
        <f aca="false">(EY232/DV232)</f>
        <v>0</v>
      </c>
      <c r="FE232" s="11" t="n">
        <f aca="false">(100*FD232)</f>
        <v>0</v>
      </c>
      <c r="FF232" s="9" t="n">
        <v>0</v>
      </c>
      <c r="FG232" s="9" t="n">
        <v>0</v>
      </c>
      <c r="FH232" s="9" t="n">
        <v>9</v>
      </c>
      <c r="FI232" s="9" t="n">
        <v>9</v>
      </c>
      <c r="FJ232" s="9" t="n">
        <v>16</v>
      </c>
      <c r="FK232" s="11" t="n">
        <f aca="false">(FG232+FH232+FI232+FJ232)/4</f>
        <v>8.5</v>
      </c>
      <c r="FL232" s="11" t="n">
        <f aca="false">(FG232/DR232)</f>
        <v>0</v>
      </c>
      <c r="FM232" s="11" t="n">
        <f aca="false">(FH232/DS232)</f>
        <v>1.5</v>
      </c>
      <c r="FN232" s="11" t="n">
        <f aca="false">(FI232/DT232)</f>
        <v>0.45</v>
      </c>
      <c r="FO232" s="11" t="n">
        <f aca="false">(FJ232/DU232)</f>
        <v>1.6</v>
      </c>
      <c r="FP232" s="11" t="n">
        <f aca="false">(FK232/DV232)</f>
        <v>0.772727272727273</v>
      </c>
      <c r="FQ232" s="11" t="n">
        <f aca="false">(100*FP232)</f>
        <v>77.2727272727273</v>
      </c>
      <c r="FR232" s="9" t="n">
        <v>3</v>
      </c>
      <c r="FS232" s="9" t="n">
        <v>52.3</v>
      </c>
      <c r="FT232" s="9" t="n">
        <v>61.3</v>
      </c>
      <c r="FU232" s="9" t="n">
        <v>64.3</v>
      </c>
      <c r="FV232" s="9" t="n">
        <v>52.8</v>
      </c>
      <c r="FW232" s="11" t="n">
        <f aca="false">(FS232+FT232+FU232+FV232)/4</f>
        <v>57.675</v>
      </c>
      <c r="FX232" s="9" t="n">
        <v>0</v>
      </c>
      <c r="FY232" s="9" t="n">
        <v>0</v>
      </c>
      <c r="FZ232" s="9" t="n">
        <v>0</v>
      </c>
      <c r="GA232" s="9" t="n">
        <v>0</v>
      </c>
      <c r="GB232" s="11" t="n">
        <f aca="false">(FX232+FY232+FZ232+GA232)/4</f>
        <v>0</v>
      </c>
      <c r="GC232" s="9" t="n">
        <v>1</v>
      </c>
      <c r="GD232" s="9" t="n">
        <v>1</v>
      </c>
      <c r="GE232" s="9" t="n">
        <v>0</v>
      </c>
      <c r="GF232" s="9" t="n">
        <v>1</v>
      </c>
      <c r="GG232" s="11" t="n">
        <f aca="false">(GC232+GD232+GE232+GF232)/4</f>
        <v>0.75</v>
      </c>
      <c r="GH232" s="9" t="n">
        <v>1</v>
      </c>
      <c r="GI232" s="9" t="n">
        <v>1</v>
      </c>
      <c r="GJ232" s="9" t="n">
        <v>0</v>
      </c>
      <c r="GK232" s="9" t="n">
        <v>1</v>
      </c>
      <c r="GL232" s="11" t="n">
        <f aca="false">(GH232+GI232+GJ232+GK232)/4</f>
        <v>0.75</v>
      </c>
      <c r="GM232" s="9" t="n">
        <v>30</v>
      </c>
      <c r="GN232" s="9" t="n">
        <v>54</v>
      </c>
      <c r="GO232" s="9" t="n">
        <v>37</v>
      </c>
      <c r="GP232" s="9" t="n">
        <v>93</v>
      </c>
      <c r="GQ232" s="11" t="n">
        <f aca="false">(GM232+GN232+GO232+GP232)/4</f>
        <v>53.5</v>
      </c>
      <c r="GR232" s="9" t="n">
        <v>16</v>
      </c>
      <c r="GS232" s="9" t="n">
        <v>23</v>
      </c>
      <c r="GT232" s="9" t="n">
        <v>20</v>
      </c>
      <c r="GU232" s="9" t="n">
        <v>23</v>
      </c>
      <c r="GV232" s="11" t="n">
        <f aca="false">(GR232+GS232+GT232+GU232)/4</f>
        <v>20.5</v>
      </c>
      <c r="GW232" s="9" t="n">
        <v>0</v>
      </c>
      <c r="GX232" s="9" t="n">
        <v>0</v>
      </c>
      <c r="GY232" s="9" t="n">
        <v>0</v>
      </c>
      <c r="GZ232" s="9" t="n">
        <v>0</v>
      </c>
      <c r="HA232" s="11" t="n">
        <f aca="false">(GW232+GX232+GY232+GZ232)/4</f>
        <v>0</v>
      </c>
      <c r="HB232" s="9"/>
      <c r="HC232" s="9" t="n">
        <f aca="false">(GX232/GS232)</f>
        <v>0</v>
      </c>
      <c r="HD232" s="9" t="n">
        <f aca="false">(GY232/GT232)</f>
        <v>0</v>
      </c>
      <c r="HE232" s="9" t="n">
        <f aca="false">(GZ232/GU232)/4</f>
        <v>0</v>
      </c>
      <c r="HF232" s="9" t="n">
        <f aca="false">(HB232+HC232+HD232+HE232)/4</f>
        <v>0</v>
      </c>
      <c r="HG232" s="9" t="n">
        <f aca="false">(100*HF232)</f>
        <v>0</v>
      </c>
      <c r="HH232" s="18" t="n">
        <v>0</v>
      </c>
      <c r="HI232" s="9" t="n">
        <v>3</v>
      </c>
      <c r="HJ232" s="9" t="n">
        <v>3</v>
      </c>
      <c r="HK232" s="9" t="n">
        <v>0</v>
      </c>
      <c r="HL232" s="19" t="n">
        <v>5</v>
      </c>
      <c r="HM232" s="9" t="n">
        <f aca="false">(HI232+HJ232+HK232+HL232)/4</f>
        <v>2.75</v>
      </c>
      <c r="HN232" s="9" t="n">
        <f aca="false">(HI232/GR232)</f>
        <v>0.1875</v>
      </c>
      <c r="HO232" s="9" t="n">
        <f aca="false">(HJ232/GS232)</f>
        <v>0.130434782608696</v>
      </c>
      <c r="HP232" s="9" t="n">
        <f aca="false">(HK232/GT232)</f>
        <v>0</v>
      </c>
      <c r="HQ232" s="9" t="n">
        <f aca="false">(HL232/GU232)</f>
        <v>0.217391304347826</v>
      </c>
      <c r="HR232" s="9" t="n">
        <f aca="false">(HM232/GV232)</f>
        <v>0.134146341463415</v>
      </c>
      <c r="HS232" s="9" t="n">
        <f aca="false">(100*HR232)</f>
        <v>13.4146341463415</v>
      </c>
      <c r="HT232" s="18" t="n">
        <v>2</v>
      </c>
      <c r="HU232" s="9" t="n">
        <v>0</v>
      </c>
      <c r="HV232" s="9" t="n">
        <v>0</v>
      </c>
      <c r="HW232" s="9" t="n">
        <v>0</v>
      </c>
      <c r="HX232" s="19" t="n">
        <v>0</v>
      </c>
      <c r="HY232" s="9" t="n">
        <f aca="false">(HU232+HV232+HW232+HX232)/4</f>
        <v>0</v>
      </c>
      <c r="HZ232" s="9" t="n">
        <f aca="false">(HU232/GR232)</f>
        <v>0</v>
      </c>
      <c r="IA232" s="9" t="n">
        <f aca="false">HV232/GS232</f>
        <v>0</v>
      </c>
      <c r="IB232" s="9" t="n">
        <f aca="false">(HW232/GT232)</f>
        <v>0</v>
      </c>
      <c r="IC232" s="9" t="n">
        <f aca="false">(HX232/GU232)</f>
        <v>0</v>
      </c>
      <c r="ID232" s="9" t="n">
        <f aca="false">(HY232/GV232)</f>
        <v>0</v>
      </c>
      <c r="IE232" s="9" t="n">
        <f aca="false">(100*ID232)</f>
        <v>0</v>
      </c>
      <c r="IF232" s="18" t="n">
        <v>0</v>
      </c>
      <c r="IG232" s="9" t="n">
        <v>2</v>
      </c>
      <c r="IH232" s="9" t="n">
        <v>4</v>
      </c>
      <c r="II232" s="19" t="n">
        <v>0</v>
      </c>
      <c r="IJ232" s="9" t="n">
        <v>2</v>
      </c>
      <c r="IK232" s="9" t="n">
        <f aca="false">(IG232+IH232+II232+IJ232)/4</f>
        <v>2</v>
      </c>
      <c r="IL232" s="9" t="n">
        <f aca="false">(IG232/GM232)</f>
        <v>0.0666666666666667</v>
      </c>
      <c r="IM232" s="9" t="n">
        <f aca="false">(IH232/GN232)</f>
        <v>0.0740740740740741</v>
      </c>
      <c r="IN232" s="9" t="n">
        <f aca="false">(II232/GO232)</f>
        <v>0</v>
      </c>
      <c r="IO232" s="9" t="n">
        <f aca="false">(IJ232/GP232)</f>
        <v>0.021505376344086</v>
      </c>
      <c r="IP232" s="9" t="n">
        <f aca="false">(IK232/GQ232)</f>
        <v>0.0373831775700935</v>
      </c>
      <c r="IQ232" s="9" t="n">
        <f aca="false">(100*IP232)</f>
        <v>3.73831775700935</v>
      </c>
      <c r="IR232" s="18" t="n">
        <v>1</v>
      </c>
      <c r="IS232" s="9" t="n">
        <v>66.5</v>
      </c>
      <c r="IT232" s="9" t="n">
        <v>64.8</v>
      </c>
      <c r="IU232" s="19" t="n">
        <v>69</v>
      </c>
      <c r="IV232" s="9" t="n">
        <v>65.9</v>
      </c>
      <c r="IW232" s="9" t="n">
        <f aca="false">(IS232+IT232+IU232+IV232)/4</f>
        <v>66.55</v>
      </c>
      <c r="IX232" s="16" t="n">
        <v>45211</v>
      </c>
      <c r="IY232" s="10" t="s">
        <v>268</v>
      </c>
    </row>
    <row r="233" customFormat="false" ht="15.75" hidden="false" customHeight="true" outlineLevel="0" collapsed="false">
      <c r="A233" s="9" t="s">
        <v>343</v>
      </c>
      <c r="B233" s="10" t="s">
        <v>788</v>
      </c>
      <c r="C233" s="10" t="s">
        <v>727</v>
      </c>
      <c r="D233" s="9" t="n">
        <v>2</v>
      </c>
      <c r="E233" s="9" t="n">
        <v>78</v>
      </c>
      <c r="F233" s="10" t="s">
        <v>789</v>
      </c>
      <c r="G233" s="10" t="s">
        <v>297</v>
      </c>
      <c r="H233" s="9" t="n">
        <v>21</v>
      </c>
      <c r="I233" s="9" t="n">
        <v>5</v>
      </c>
      <c r="J233" s="12" t="s">
        <v>264</v>
      </c>
      <c r="K233" s="13" t="s">
        <v>790</v>
      </c>
      <c r="L233" s="23" t="s">
        <v>791</v>
      </c>
      <c r="M233" s="14" t="n">
        <v>1298</v>
      </c>
      <c r="N233" s="15" t="n">
        <v>45135</v>
      </c>
      <c r="O233" s="10" t="s">
        <v>267</v>
      </c>
      <c r="P233" s="9"/>
      <c r="Q233" s="9" t="n">
        <v>66.5</v>
      </c>
      <c r="R233" s="9" t="n">
        <v>12</v>
      </c>
      <c r="S233" s="9" t="n">
        <v>-10</v>
      </c>
      <c r="T233" s="9" t="n">
        <v>80</v>
      </c>
      <c r="U233" s="9"/>
      <c r="V233" s="9" t="n">
        <f aca="false">(30.43/100)</f>
        <v>0.3043</v>
      </c>
      <c r="W233" s="9"/>
      <c r="X233" s="9" t="n">
        <v>0</v>
      </c>
      <c r="Y233" s="9" t="n">
        <v>0</v>
      </c>
      <c r="Z233" s="9" t="n">
        <v>0</v>
      </c>
      <c r="AA233" s="9" t="n">
        <v>1</v>
      </c>
      <c r="AB233" s="11" t="n">
        <f aca="false">(X233+Y233+Z233+AA233)/4</f>
        <v>0.25</v>
      </c>
      <c r="AC233" s="9" t="n">
        <v>1</v>
      </c>
      <c r="AD233" s="9" t="n">
        <v>1</v>
      </c>
      <c r="AE233" s="9" t="n">
        <v>1</v>
      </c>
      <c r="AF233" s="9" t="n">
        <v>1</v>
      </c>
      <c r="AG233" s="11" t="n">
        <f aca="false">(AC233+AD233+AE233+AF233)/4</f>
        <v>1</v>
      </c>
      <c r="AH233" s="9" t="n">
        <v>1</v>
      </c>
      <c r="AI233" s="9" t="n">
        <v>1</v>
      </c>
      <c r="AJ233" s="9" t="n">
        <v>1</v>
      </c>
      <c r="AK233" s="9" t="n">
        <v>1</v>
      </c>
      <c r="AL233" s="11" t="n">
        <f aca="false">(AH233+AI233+AJ233+AK233)/4</f>
        <v>1</v>
      </c>
      <c r="AM233" s="9" t="n">
        <v>48</v>
      </c>
      <c r="AN233" s="9" t="n">
        <v>29</v>
      </c>
      <c r="AO233" s="9" t="n">
        <v>121</v>
      </c>
      <c r="AP233" s="9" t="n">
        <v>112</v>
      </c>
      <c r="AQ233" s="11" t="n">
        <f aca="false">(AM233+AN233+AO233+AP233)/4</f>
        <v>77.5</v>
      </c>
      <c r="AR233" s="9" t="n">
        <v>13</v>
      </c>
      <c r="AS233" s="9" t="n">
        <v>47</v>
      </c>
      <c r="AT233" s="9" t="n">
        <v>9</v>
      </c>
      <c r="AU233" s="9" t="n">
        <v>52</v>
      </c>
      <c r="AV233" s="11" t="n">
        <f aca="false">(AR233+AS233+AT233+AU233)/4</f>
        <v>30.25</v>
      </c>
      <c r="AW233" s="9" t="n">
        <v>0</v>
      </c>
      <c r="AX233" s="9" t="n">
        <v>0</v>
      </c>
      <c r="AY233" s="9" t="n">
        <v>0</v>
      </c>
      <c r="AZ233" s="9" t="n">
        <v>1</v>
      </c>
      <c r="BA233" s="11" t="n">
        <f aca="false">(AW233+AX233+AY233+AZ233)/4</f>
        <v>0.25</v>
      </c>
      <c r="BB233" s="11" t="n">
        <f aca="false">(AW233/AR233)</f>
        <v>0</v>
      </c>
      <c r="BC233" s="11" t="n">
        <f aca="false">(AX233/AS233)</f>
        <v>0</v>
      </c>
      <c r="BD233" s="11" t="n">
        <f aca="false">(AY233/AT233)</f>
        <v>0</v>
      </c>
      <c r="BE233" s="11" t="n">
        <f aca="false">(AZ233/AU233)</f>
        <v>0.0192307692307692</v>
      </c>
      <c r="BF233" s="11" t="n">
        <f aca="false">(BA233/AV233)</f>
        <v>0.00826446280991736</v>
      </c>
      <c r="BG233" s="11" t="n">
        <f aca="false">(BF233*100)</f>
        <v>0.826446280991736</v>
      </c>
      <c r="BH233" s="9" t="n">
        <v>1</v>
      </c>
      <c r="BI233" s="9" t="n">
        <v>4</v>
      </c>
      <c r="BJ233" s="9" t="n">
        <v>6</v>
      </c>
      <c r="BK233" s="9" t="n">
        <v>6</v>
      </c>
      <c r="BL233" s="9" t="n">
        <v>12</v>
      </c>
      <c r="BM233" s="11" t="n">
        <f aca="false">(BI233+BJ233+BK233+BL233)/4</f>
        <v>7</v>
      </c>
      <c r="BN233" s="11" t="n">
        <f aca="false">(BI233/AR233)</f>
        <v>0.307692307692308</v>
      </c>
      <c r="BO233" s="11" t="n">
        <f aca="false">(BJ233/AS233)</f>
        <v>0.127659574468085</v>
      </c>
      <c r="BP233" s="11" t="n">
        <f aca="false">(BK233/AT233)</f>
        <v>0.666666666666667</v>
      </c>
      <c r="BQ233" s="11" t="n">
        <f aca="false">(BL233/AU233)</f>
        <v>0.230769230769231</v>
      </c>
      <c r="BR233" s="11" t="n">
        <f aca="false">(BM233/AV233)</f>
        <v>0.231404958677686</v>
      </c>
      <c r="BS233" s="11" t="n">
        <f aca="false">(100*BR233)</f>
        <v>23.1404958677686</v>
      </c>
      <c r="BT233" s="9" t="n">
        <v>2</v>
      </c>
      <c r="BU233" s="9" t="n">
        <v>0</v>
      </c>
      <c r="BV233" s="9" t="n">
        <v>0</v>
      </c>
      <c r="BW233" s="9" t="n">
        <v>0</v>
      </c>
      <c r="BX233" s="9" t="n">
        <v>0</v>
      </c>
      <c r="BY233" s="11" t="n">
        <f aca="false">(BU233+BV233+BW233+BX233)/4</f>
        <v>0</v>
      </c>
      <c r="BZ233" s="11" t="n">
        <f aca="false">(BU233/AR233)</f>
        <v>0</v>
      </c>
      <c r="CA233" s="11" t="n">
        <f aca="false">(BV233/AS233)</f>
        <v>0</v>
      </c>
      <c r="CB233" s="11" t="n">
        <f aca="false">(BW233/AT233)</f>
        <v>0</v>
      </c>
      <c r="CC233" s="11" t="n">
        <f aca="false">(BX233/AU233)</f>
        <v>0</v>
      </c>
      <c r="CD233" s="11" t="n">
        <f aca="false">(BY233/AV233)</f>
        <v>0</v>
      </c>
      <c r="CE233" s="11" t="n">
        <f aca="false">(100*CD233)</f>
        <v>0</v>
      </c>
      <c r="CF233" s="9" t="n">
        <v>0</v>
      </c>
      <c r="CG233" s="9" t="n">
        <v>6</v>
      </c>
      <c r="CH233" s="9" t="n">
        <v>2</v>
      </c>
      <c r="CI233" s="9" t="n">
        <v>8</v>
      </c>
      <c r="CJ233" s="9" t="n">
        <v>10</v>
      </c>
      <c r="CK233" s="11" t="n">
        <f aca="false">(CG233+CH233+CI233+CJ233)/4</f>
        <v>6.5</v>
      </c>
      <c r="CL233" s="11" t="n">
        <f aca="false">(CG233/AM233)</f>
        <v>0.125</v>
      </c>
      <c r="CM233" s="11" t="n">
        <f aca="false">(CH233/AN233)</f>
        <v>0.0689655172413793</v>
      </c>
      <c r="CN233" s="11" t="n">
        <f aca="false">(CI233/AO233)</f>
        <v>0.0661157024793388</v>
      </c>
      <c r="CO233" s="9" t="n">
        <f aca="false">(CJ233/AP233)</f>
        <v>0.0892857142857143</v>
      </c>
      <c r="CP233" s="9" t="n">
        <f aca="false">(CK233/AQ233)</f>
        <v>0.0838709677419355</v>
      </c>
      <c r="CQ233" s="9" t="n">
        <f aca="false">(100*CP233)</f>
        <v>8.38709677419355</v>
      </c>
      <c r="CR233" s="18" t="n">
        <v>1</v>
      </c>
      <c r="CS233" s="9" t="n">
        <v>56.2</v>
      </c>
      <c r="CT233" s="9" t="n">
        <v>59.2</v>
      </c>
      <c r="CU233" s="9" t="n">
        <v>57.3</v>
      </c>
      <c r="CV233" s="9" t="n">
        <v>62.9</v>
      </c>
      <c r="CW233" s="11" t="n">
        <f aca="false">(CS233+CT233+CU233+CV233)/4</f>
        <v>58.9</v>
      </c>
      <c r="CX233" s="9" t="n">
        <v>0</v>
      </c>
      <c r="CY233" s="9" t="n">
        <v>0</v>
      </c>
      <c r="CZ233" s="9" t="n">
        <v>0</v>
      </c>
      <c r="DA233" s="9" t="n">
        <v>0</v>
      </c>
      <c r="DB233" s="11" t="n">
        <f aca="false">(CX233+CY233+CZ233+DA233)/4</f>
        <v>0</v>
      </c>
      <c r="DC233" s="9" t="n">
        <v>1</v>
      </c>
      <c r="DD233" s="9" t="n">
        <v>1</v>
      </c>
      <c r="DE233" s="9" t="n">
        <v>1</v>
      </c>
      <c r="DF233" s="9" t="n">
        <v>1</v>
      </c>
      <c r="DG233" s="11" t="n">
        <f aca="false">(DC233+DD233+DE233+DF233)/4</f>
        <v>1</v>
      </c>
      <c r="DH233" s="9" t="n">
        <v>1</v>
      </c>
      <c r="DI233" s="9" t="n">
        <v>1</v>
      </c>
      <c r="DJ233" s="9" t="n">
        <v>1</v>
      </c>
      <c r="DK233" s="9" t="n">
        <v>1</v>
      </c>
      <c r="DL233" s="11" t="n">
        <f aca="false">(DH233+DI233+DJ233+DK233)/4</f>
        <v>1</v>
      </c>
      <c r="DM233" s="9" t="n">
        <v>155</v>
      </c>
      <c r="DN233" s="9" t="n">
        <v>112</v>
      </c>
      <c r="DO233" s="9" t="n">
        <v>97</v>
      </c>
      <c r="DP233" s="9" t="n">
        <v>78</v>
      </c>
      <c r="DQ233" s="11" t="n">
        <f aca="false">(DM233+DN233+DO233+DP233)/4</f>
        <v>110.5</v>
      </c>
      <c r="DR233" s="9" t="n">
        <v>7</v>
      </c>
      <c r="DS233" s="9" t="n">
        <v>13</v>
      </c>
      <c r="DT233" s="9" t="n">
        <v>8</v>
      </c>
      <c r="DU233" s="9" t="n">
        <v>12</v>
      </c>
      <c r="DV233" s="11" t="n">
        <f aca="false">(DR233+DS233+DT233+DU233)/4</f>
        <v>10</v>
      </c>
      <c r="DW233" s="9" t="n">
        <v>0</v>
      </c>
      <c r="DX233" s="9" t="n">
        <v>0</v>
      </c>
      <c r="DY233" s="9" t="n">
        <v>0</v>
      </c>
      <c r="DZ233" s="9" t="n">
        <v>0</v>
      </c>
      <c r="EA233" s="11" t="n">
        <f aca="false">(DW233+DX233+DY233+DZ233)/4</f>
        <v>0</v>
      </c>
      <c r="EB233" s="11" t="n">
        <f aca="false">(DW233/DR233)</f>
        <v>0</v>
      </c>
      <c r="EC233" s="11" t="n">
        <f aca="false">(DX233/DS233)</f>
        <v>0</v>
      </c>
      <c r="ED233" s="11" t="n">
        <f aca="false">(DY233/DT233)</f>
        <v>0</v>
      </c>
      <c r="EE233" s="11" t="n">
        <f aca="false">(DZ233/DU233)</f>
        <v>0</v>
      </c>
      <c r="EF233" s="11" t="n">
        <f aca="false">(EA233/DV233)</f>
        <v>0</v>
      </c>
      <c r="EG233" s="11" t="n">
        <f aca="false">(100*EF233)</f>
        <v>0</v>
      </c>
      <c r="EH233" s="9" t="n">
        <v>0</v>
      </c>
      <c r="EI233" s="9" t="n">
        <v>3</v>
      </c>
      <c r="EJ233" s="9" t="n">
        <v>4</v>
      </c>
      <c r="EK233" s="19" t="n">
        <v>2</v>
      </c>
      <c r="EL233" s="9" t="n">
        <v>1</v>
      </c>
      <c r="EM233" s="9" t="n">
        <f aca="false">(EI233+EJ233+EK233+EL233)/4</f>
        <v>2.5</v>
      </c>
      <c r="EN233" s="9" t="n">
        <f aca="false">(EI233/DR233)</f>
        <v>0.428571428571429</v>
      </c>
      <c r="EO233" s="9" t="n">
        <f aca="false">(EJ233/DS233)</f>
        <v>0.307692307692308</v>
      </c>
      <c r="EP233" s="9" t="n">
        <f aca="false">(EK233/DT233)</f>
        <v>0.25</v>
      </c>
      <c r="EQ233" s="9" t="n">
        <f aca="false">(EL233/DU233)</f>
        <v>0.0833333333333333</v>
      </c>
      <c r="ER233" s="9" t="n">
        <f aca="false">EM233/DV233</f>
        <v>0.25</v>
      </c>
      <c r="ES233" s="9" t="n">
        <f aca="false">(100*ER233)</f>
        <v>25</v>
      </c>
      <c r="ET233" s="9" t="n">
        <v>2</v>
      </c>
      <c r="EU233" s="18" t="n">
        <v>0</v>
      </c>
      <c r="EV233" s="9" t="n">
        <v>0</v>
      </c>
      <c r="EW233" s="9" t="n">
        <v>0</v>
      </c>
      <c r="EX233" s="9" t="n">
        <v>0</v>
      </c>
      <c r="EY233" s="11" t="n">
        <f aca="false">(EU233+EV233+EW233+EX233)/4</f>
        <v>0</v>
      </c>
      <c r="EZ233" s="11" t="n">
        <f aca="false">(EU233/DR233)</f>
        <v>0</v>
      </c>
      <c r="FA233" s="11" t="n">
        <f aca="false">(EV233/DS233)</f>
        <v>0</v>
      </c>
      <c r="FB233" s="11" t="n">
        <f aca="false">(EW233/DT233)</f>
        <v>0</v>
      </c>
      <c r="FC233" s="11" t="n">
        <f aca="false">(EX233/DU233)</f>
        <v>0</v>
      </c>
      <c r="FD233" s="11" t="n">
        <f aca="false">(EY233/DV233)</f>
        <v>0</v>
      </c>
      <c r="FE233" s="11" t="n">
        <f aca="false">(100*FD233)</f>
        <v>0</v>
      </c>
      <c r="FF233" s="9" t="n">
        <v>0</v>
      </c>
      <c r="FG233" s="9" t="n">
        <v>10</v>
      </c>
      <c r="FH233" s="9" t="n">
        <v>16</v>
      </c>
      <c r="FI233" s="9" t="n">
        <v>20</v>
      </c>
      <c r="FJ233" s="9" t="n">
        <v>12</v>
      </c>
      <c r="FK233" s="11" t="n">
        <f aca="false">(FG233+FH233+FI233+FJ233)/4</f>
        <v>14.5</v>
      </c>
      <c r="FL233" s="11" t="n">
        <f aca="false">(FG233/DR233)</f>
        <v>1.42857142857143</v>
      </c>
      <c r="FM233" s="11" t="n">
        <f aca="false">(FH233/DS233)</f>
        <v>1.23076923076923</v>
      </c>
      <c r="FN233" s="11" t="n">
        <f aca="false">(FI233/DT233)</f>
        <v>2.5</v>
      </c>
      <c r="FO233" s="11" t="n">
        <f aca="false">(FJ233/DU233)</f>
        <v>1</v>
      </c>
      <c r="FP233" s="11" t="n">
        <f aca="false">(FK233/DV233)</f>
        <v>1.45</v>
      </c>
      <c r="FQ233" s="11" t="n">
        <f aca="false">(100*FP233)</f>
        <v>145</v>
      </c>
      <c r="FR233" s="9" t="n">
        <v>3</v>
      </c>
      <c r="FS233" s="9" t="n">
        <v>43.8</v>
      </c>
      <c r="FT233" s="9" t="n">
        <v>57.3</v>
      </c>
      <c r="FU233" s="9" t="n">
        <v>62.6</v>
      </c>
      <c r="FV233" s="9" t="n">
        <v>66.7</v>
      </c>
      <c r="FW233" s="11" t="n">
        <f aca="false">(FS233+FT233+FU233+FV233)/4</f>
        <v>57.6</v>
      </c>
      <c r="FX233" s="9" t="n">
        <v>0</v>
      </c>
      <c r="FY233" s="9" t="n">
        <v>1</v>
      </c>
      <c r="FZ233" s="9" t="n">
        <v>1</v>
      </c>
      <c r="GA233" s="9" t="n">
        <v>1</v>
      </c>
      <c r="GB233" s="11" t="n">
        <f aca="false">(FX233+FY233+FZ233+GA233)/4</f>
        <v>0.75</v>
      </c>
      <c r="GC233" s="9" t="n">
        <v>0</v>
      </c>
      <c r="GD233" s="9" t="n">
        <v>1</v>
      </c>
      <c r="GE233" s="9" t="n">
        <v>1</v>
      </c>
      <c r="GF233" s="9" t="n">
        <v>1</v>
      </c>
      <c r="GG233" s="11" t="n">
        <f aca="false">(GC233+GD233+GE233+GF233)/4</f>
        <v>0.75</v>
      </c>
      <c r="GH233" s="9" t="n">
        <v>1</v>
      </c>
      <c r="GI233" s="9" t="n">
        <v>1</v>
      </c>
      <c r="GJ233" s="9" t="n">
        <v>1</v>
      </c>
      <c r="GK233" s="9" t="n">
        <v>1</v>
      </c>
      <c r="GL233" s="11" t="n">
        <f aca="false">(GH233+GI233+GJ233+GK233)/4</f>
        <v>1</v>
      </c>
      <c r="GM233" s="9" t="n">
        <v>73</v>
      </c>
      <c r="GN233" s="9" t="n">
        <v>72</v>
      </c>
      <c r="GO233" s="9" t="n">
        <v>103</v>
      </c>
      <c r="GP233" s="9" t="n">
        <v>66</v>
      </c>
      <c r="GQ233" s="11" t="n">
        <f aca="false">(GM233+GN233+GO233+GP233)/4</f>
        <v>78.5</v>
      </c>
      <c r="GR233" s="9" t="n">
        <v>4</v>
      </c>
      <c r="GS233" s="9" t="n">
        <v>11</v>
      </c>
      <c r="GT233" s="9" t="n">
        <v>18</v>
      </c>
      <c r="GU233" s="9" t="n">
        <v>11</v>
      </c>
      <c r="GV233" s="11" t="n">
        <f aca="false">(GR233+GS233+GT233+GU233)/4</f>
        <v>11</v>
      </c>
      <c r="GW233" s="9" t="n">
        <v>0</v>
      </c>
      <c r="GX233" s="9" t="n">
        <v>1</v>
      </c>
      <c r="GY233" s="9" t="n">
        <v>3</v>
      </c>
      <c r="GZ233" s="9" t="n">
        <v>1</v>
      </c>
      <c r="HA233" s="11" t="n">
        <f aca="false">(GW233+GX233+GY233+GZ233)/4</f>
        <v>1.25</v>
      </c>
      <c r="HB233" s="9"/>
      <c r="HC233" s="9" t="n">
        <f aca="false">(GX233/GS233)</f>
        <v>0.0909090909090909</v>
      </c>
      <c r="HD233" s="9" t="n">
        <f aca="false">(GY233/GT233)</f>
        <v>0.166666666666667</v>
      </c>
      <c r="HE233" s="9" t="n">
        <f aca="false">(GZ233/GU233)/4</f>
        <v>0.0227272727272727</v>
      </c>
      <c r="HF233" s="9" t="n">
        <f aca="false">(HB233+HC233+HD233+HE233)/4</f>
        <v>0.0700757575757576</v>
      </c>
      <c r="HG233" s="9" t="n">
        <f aca="false">(100*HF233)</f>
        <v>7.00757575757576</v>
      </c>
      <c r="HH233" s="18" t="n">
        <v>1</v>
      </c>
      <c r="HI233" s="9" t="n">
        <v>0</v>
      </c>
      <c r="HJ233" s="9" t="n">
        <v>1</v>
      </c>
      <c r="HK233" s="9" t="n">
        <v>2</v>
      </c>
      <c r="HL233" s="19" t="n">
        <v>4</v>
      </c>
      <c r="HM233" s="9" t="n">
        <f aca="false">(HI233+HJ233+HK233+HL233)/4</f>
        <v>1.75</v>
      </c>
      <c r="HN233" s="9" t="n">
        <f aca="false">(HI233/GR233)</f>
        <v>0</v>
      </c>
      <c r="HO233" s="9" t="n">
        <f aca="false">(HJ233/GS233)</f>
        <v>0.0909090909090909</v>
      </c>
      <c r="HP233" s="9" t="n">
        <f aca="false">(HK233/GT233)</f>
        <v>0.111111111111111</v>
      </c>
      <c r="HQ233" s="9" t="n">
        <f aca="false">(HL233/GU233)</f>
        <v>0.363636363636364</v>
      </c>
      <c r="HR233" s="9" t="n">
        <f aca="false">(HM233/GV233)</f>
        <v>0.159090909090909</v>
      </c>
      <c r="HS233" s="9" t="n">
        <f aca="false">(100*HR233)</f>
        <v>15.9090909090909</v>
      </c>
      <c r="HT233" s="18" t="n">
        <v>2</v>
      </c>
      <c r="HU233" s="9" t="n">
        <v>0</v>
      </c>
      <c r="HV233" s="9" t="n">
        <v>0</v>
      </c>
      <c r="HW233" s="9" t="n">
        <v>0</v>
      </c>
      <c r="HX233" s="19" t="n">
        <v>0</v>
      </c>
      <c r="HY233" s="9" t="n">
        <f aca="false">(HU233+HV233+HW233+HX233)/4</f>
        <v>0</v>
      </c>
      <c r="HZ233" s="9" t="n">
        <f aca="false">(HU233/GR233)</f>
        <v>0</v>
      </c>
      <c r="IA233" s="9" t="n">
        <f aca="false">HV233/GS233</f>
        <v>0</v>
      </c>
      <c r="IB233" s="9" t="n">
        <f aca="false">(HW233/GT233)</f>
        <v>0</v>
      </c>
      <c r="IC233" s="9" t="n">
        <f aca="false">(HX233/GU233)</f>
        <v>0</v>
      </c>
      <c r="ID233" s="9" t="n">
        <f aca="false">(HY233/GV233)</f>
        <v>0</v>
      </c>
      <c r="IE233" s="9" t="n">
        <f aca="false">(100*ID233)</f>
        <v>0</v>
      </c>
      <c r="IF233" s="18" t="n">
        <v>0</v>
      </c>
      <c r="IG233" s="9" t="n">
        <v>12</v>
      </c>
      <c r="IH233" s="9" t="n">
        <v>16</v>
      </c>
      <c r="II233" s="19" t="n">
        <v>4</v>
      </c>
      <c r="IJ233" s="9" t="n">
        <v>2</v>
      </c>
      <c r="IK233" s="9" t="n">
        <f aca="false">(IG233+IH233+II233+IJ233)/4</f>
        <v>8.5</v>
      </c>
      <c r="IL233" s="9" t="n">
        <f aca="false">(IG233/GM233)</f>
        <v>0.164383561643836</v>
      </c>
      <c r="IM233" s="9" t="n">
        <f aca="false">(IH233/GN233)</f>
        <v>0.222222222222222</v>
      </c>
      <c r="IN233" s="9" t="n">
        <f aca="false">(II233/GO233)</f>
        <v>0.0388349514563107</v>
      </c>
      <c r="IO233" s="9" t="n">
        <f aca="false">(IJ233/GP233)</f>
        <v>0.0303030303030303</v>
      </c>
      <c r="IP233" s="9" t="n">
        <f aca="false">(IK233/GQ233)</f>
        <v>0.10828025477707</v>
      </c>
      <c r="IQ233" s="9" t="n">
        <f aca="false">(100*IP233)</f>
        <v>10.828025477707</v>
      </c>
      <c r="IR233" s="18" t="n">
        <v>2</v>
      </c>
      <c r="IS233" s="9" t="n">
        <v>71.4</v>
      </c>
      <c r="IT233" s="9" t="n">
        <v>71</v>
      </c>
      <c r="IU233" s="19" t="n">
        <v>67.4</v>
      </c>
      <c r="IV233" s="9" t="n">
        <v>69.9</v>
      </c>
      <c r="IW233" s="9" t="n">
        <f aca="false">(IS233+IT233+IU233+IV233)/4</f>
        <v>69.925</v>
      </c>
      <c r="IX233" s="16" t="n">
        <v>45211</v>
      </c>
      <c r="IY233" s="10" t="s">
        <v>268</v>
      </c>
    </row>
    <row r="234" customFormat="false" ht="15.75" hidden="false" customHeight="true" outlineLevel="0" collapsed="false">
      <c r="A234" s="9" t="s">
        <v>343</v>
      </c>
      <c r="B234" s="10" t="s">
        <v>788</v>
      </c>
      <c r="C234" s="10" t="s">
        <v>727</v>
      </c>
      <c r="D234" s="9" t="n">
        <v>2</v>
      </c>
      <c r="E234" s="9" t="n">
        <v>78</v>
      </c>
      <c r="F234" s="10" t="s">
        <v>792</v>
      </c>
      <c r="G234" s="10" t="s">
        <v>320</v>
      </c>
      <c r="H234" s="9" t="n">
        <v>21</v>
      </c>
      <c r="I234" s="9" t="n">
        <v>10</v>
      </c>
      <c r="J234" s="12" t="s">
        <v>270</v>
      </c>
      <c r="K234" s="20"/>
      <c r="L234" s="20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 t="n">
        <v>1</v>
      </c>
      <c r="Y234" s="9" t="n">
        <v>1</v>
      </c>
      <c r="Z234" s="9" t="n">
        <v>0</v>
      </c>
      <c r="AA234" s="9" t="n">
        <v>0</v>
      </c>
      <c r="AB234" s="11" t="n">
        <f aca="false">(X234+Y234+Z234+AA234)/4</f>
        <v>0.5</v>
      </c>
      <c r="AC234" s="9" t="n">
        <v>0</v>
      </c>
      <c r="AD234" s="9" t="n">
        <v>1</v>
      </c>
      <c r="AE234" s="9" t="n">
        <v>0</v>
      </c>
      <c r="AF234" s="9" t="n">
        <v>1</v>
      </c>
      <c r="AG234" s="11" t="n">
        <f aca="false">(AC234+AD234+AE234+AF234)/4</f>
        <v>0.5</v>
      </c>
      <c r="AH234" s="9" t="n">
        <v>0</v>
      </c>
      <c r="AI234" s="9" t="n">
        <v>1</v>
      </c>
      <c r="AJ234" s="9" t="n">
        <v>1</v>
      </c>
      <c r="AK234" s="9" t="n">
        <v>0</v>
      </c>
      <c r="AL234" s="11" t="n">
        <f aca="false">(AH234+AI234+AJ234+AK234)/4</f>
        <v>0.5</v>
      </c>
      <c r="AM234" s="9" t="n">
        <v>12</v>
      </c>
      <c r="AN234" s="9" t="n">
        <v>43</v>
      </c>
      <c r="AO234" s="9" t="n">
        <v>32</v>
      </c>
      <c r="AP234" s="9" t="n">
        <v>7</v>
      </c>
      <c r="AQ234" s="11" t="n">
        <f aca="false">(AM234+AN234+AO234+AP234)/4</f>
        <v>23.5</v>
      </c>
      <c r="AR234" s="9" t="n">
        <v>13</v>
      </c>
      <c r="AS234" s="9" t="n">
        <v>46</v>
      </c>
      <c r="AT234" s="9" t="n">
        <v>28</v>
      </c>
      <c r="AU234" s="9" t="n">
        <v>22</v>
      </c>
      <c r="AV234" s="11" t="n">
        <f aca="false">(AR234+AS234+AT234+AU234)/4</f>
        <v>27.25</v>
      </c>
      <c r="AW234" s="9" t="n">
        <v>1</v>
      </c>
      <c r="AX234" s="9" t="n">
        <v>3</v>
      </c>
      <c r="AY234" s="9" t="n">
        <v>0</v>
      </c>
      <c r="AZ234" s="9" t="n">
        <v>0</v>
      </c>
      <c r="BA234" s="11" t="n">
        <f aca="false">(AW234+AX234+AY234+AZ234)/4</f>
        <v>1</v>
      </c>
      <c r="BB234" s="11" t="n">
        <f aca="false">(AW234/AR234)</f>
        <v>0.0769230769230769</v>
      </c>
      <c r="BC234" s="11" t="n">
        <f aca="false">(AX234/AS234)</f>
        <v>0.0652173913043478</v>
      </c>
      <c r="BD234" s="11" t="n">
        <f aca="false">(AY234/AT234)</f>
        <v>0</v>
      </c>
      <c r="BE234" s="11" t="n">
        <f aca="false">(AZ234/AU234)</f>
        <v>0</v>
      </c>
      <c r="BF234" s="11" t="n">
        <f aca="false">(BA234/AV234)</f>
        <v>0.036697247706422</v>
      </c>
      <c r="BG234" s="11" t="n">
        <f aca="false">(BF234*100)</f>
        <v>3.6697247706422</v>
      </c>
      <c r="BH234" s="9" t="n">
        <v>1</v>
      </c>
      <c r="BI234" s="9" t="n">
        <v>0</v>
      </c>
      <c r="BJ234" s="9" t="n">
        <v>3</v>
      </c>
      <c r="BK234" s="9" t="n">
        <v>0</v>
      </c>
      <c r="BL234" s="9" t="n">
        <v>4</v>
      </c>
      <c r="BM234" s="11" t="n">
        <f aca="false">(BI234+BJ234+BK234+BL234)/4</f>
        <v>1.75</v>
      </c>
      <c r="BN234" s="11" t="n">
        <f aca="false">(BI234/AR234)</f>
        <v>0</v>
      </c>
      <c r="BO234" s="11" t="n">
        <f aca="false">(BJ234/AS234)</f>
        <v>0.0652173913043478</v>
      </c>
      <c r="BP234" s="11" t="n">
        <f aca="false">(BK234/AT234)</f>
        <v>0</v>
      </c>
      <c r="BQ234" s="11" t="n">
        <f aca="false">(BL234/AU234)</f>
        <v>0.181818181818182</v>
      </c>
      <c r="BR234" s="11" t="n">
        <f aca="false">(BM234/AV234)</f>
        <v>0.0642201834862385</v>
      </c>
      <c r="BS234" s="11" t="n">
        <f aca="false">(100*BR234)</f>
        <v>6.42201834862385</v>
      </c>
      <c r="BT234" s="9" t="n">
        <v>1</v>
      </c>
      <c r="BU234" s="9" t="n">
        <v>0</v>
      </c>
      <c r="BV234" s="9" t="n">
        <v>5</v>
      </c>
      <c r="BW234" s="9" t="n">
        <v>10</v>
      </c>
      <c r="BX234" s="9" t="n">
        <v>0</v>
      </c>
      <c r="BY234" s="11" t="n">
        <f aca="false">(BU234+BV234+BW234+BX234)/4</f>
        <v>3.75</v>
      </c>
      <c r="BZ234" s="11" t="n">
        <f aca="false">(BU234/AR234)</f>
        <v>0</v>
      </c>
      <c r="CA234" s="11" t="n">
        <f aca="false">(BV234/AS234)</f>
        <v>0.108695652173913</v>
      </c>
      <c r="CB234" s="11" t="n">
        <f aca="false">(BW234/AT234)</f>
        <v>0.357142857142857</v>
      </c>
      <c r="CC234" s="11" t="n">
        <f aca="false">(BX234/AU234)</f>
        <v>0</v>
      </c>
      <c r="CD234" s="11" t="n">
        <f aca="false">(BY234/AV234)</f>
        <v>0.137614678899083</v>
      </c>
      <c r="CE234" s="11" t="n">
        <f aca="false">(100*CD234)</f>
        <v>13.7614678899083</v>
      </c>
      <c r="CF234" s="9" t="n">
        <v>2</v>
      </c>
      <c r="CG234" s="9" t="n">
        <v>0</v>
      </c>
      <c r="CH234" s="9" t="n">
        <v>5</v>
      </c>
      <c r="CI234" s="9" t="n">
        <v>10</v>
      </c>
      <c r="CJ234" s="9" t="n">
        <v>0</v>
      </c>
      <c r="CK234" s="11" t="n">
        <f aca="false">(CG234+CH234+CI234+CJ234)/4</f>
        <v>3.75</v>
      </c>
      <c r="CL234" s="11" t="n">
        <f aca="false">(CG234/AM234)</f>
        <v>0</v>
      </c>
      <c r="CM234" s="11" t="n">
        <f aca="false">(CH234/AN234)</f>
        <v>0.116279069767442</v>
      </c>
      <c r="CN234" s="11" t="n">
        <f aca="false">(CI234/AO234)</f>
        <v>0.3125</v>
      </c>
      <c r="CO234" s="9" t="n">
        <f aca="false">(CJ234/AP234)</f>
        <v>0</v>
      </c>
      <c r="CP234" s="9" t="n">
        <f aca="false">(CK234/AQ234)</f>
        <v>0.159574468085106</v>
      </c>
      <c r="CQ234" s="9" t="n">
        <f aca="false">(100*CP234)</f>
        <v>15.9574468085106</v>
      </c>
      <c r="CR234" s="18" t="n">
        <v>2</v>
      </c>
      <c r="CS234" s="9" t="n">
        <v>63.7</v>
      </c>
      <c r="CT234" s="9" t="n">
        <v>60.7</v>
      </c>
      <c r="CU234" s="9" t="n">
        <v>74.6</v>
      </c>
      <c r="CV234" s="9" t="n">
        <v>54.3</v>
      </c>
      <c r="CW234" s="11" t="n">
        <f aca="false">(CS234+CT234+CU234+CV234)/4</f>
        <v>63.325</v>
      </c>
      <c r="CX234" s="9" t="n">
        <v>0</v>
      </c>
      <c r="CY234" s="9" t="n">
        <v>0</v>
      </c>
      <c r="CZ234" s="9" t="n">
        <v>0</v>
      </c>
      <c r="DA234" s="9" t="n">
        <v>0</v>
      </c>
      <c r="DB234" s="11" t="n">
        <f aca="false">(CX234+CY234+CZ234+DA234)/4</f>
        <v>0</v>
      </c>
      <c r="DC234" s="9" t="n">
        <v>1</v>
      </c>
      <c r="DD234" s="9" t="n">
        <v>0</v>
      </c>
      <c r="DE234" s="9" t="n">
        <v>0</v>
      </c>
      <c r="DF234" s="9" t="n">
        <v>1</v>
      </c>
      <c r="DG234" s="11" t="n">
        <f aca="false">(DC234+DD234+DE234+DF234)/4</f>
        <v>0.5</v>
      </c>
      <c r="DH234" s="9" t="n">
        <v>0</v>
      </c>
      <c r="DI234" s="9" t="n">
        <v>0</v>
      </c>
      <c r="DJ234" s="9" t="n">
        <v>1</v>
      </c>
      <c r="DK234" s="9" t="n">
        <v>0</v>
      </c>
      <c r="DL234" s="11" t="n">
        <f aca="false">(DH234+DI234+DJ234+DK234)/4</f>
        <v>0.25</v>
      </c>
      <c r="DM234" s="9" t="n">
        <v>24</v>
      </c>
      <c r="DN234" s="9" t="n">
        <v>27</v>
      </c>
      <c r="DO234" s="9" t="n">
        <v>9</v>
      </c>
      <c r="DP234" s="9" t="n">
        <v>3</v>
      </c>
      <c r="DQ234" s="11" t="n">
        <f aca="false">(DM234+DN234+DO234+DP234)/4</f>
        <v>15.75</v>
      </c>
      <c r="DR234" s="9" t="n">
        <v>16</v>
      </c>
      <c r="DS234" s="9" t="n">
        <v>6</v>
      </c>
      <c r="DT234" s="9" t="n">
        <v>19</v>
      </c>
      <c r="DU234" s="9" t="n">
        <v>14</v>
      </c>
      <c r="DV234" s="11" t="n">
        <f aca="false">(DR234+DS234+DT234+DU234)/4</f>
        <v>13.75</v>
      </c>
      <c r="DW234" s="9" t="n">
        <v>0</v>
      </c>
      <c r="DX234" s="9" t="n">
        <v>0</v>
      </c>
      <c r="DY234" s="9" t="n">
        <v>0</v>
      </c>
      <c r="DZ234" s="9" t="n">
        <v>0</v>
      </c>
      <c r="EA234" s="11" t="n">
        <f aca="false">(DW234+DX234+DY234+DZ234)/4</f>
        <v>0</v>
      </c>
      <c r="EB234" s="11" t="n">
        <f aca="false">(DW234/DR234)</f>
        <v>0</v>
      </c>
      <c r="EC234" s="11" t="n">
        <f aca="false">(DX234/DS234)</f>
        <v>0</v>
      </c>
      <c r="ED234" s="11" t="n">
        <f aca="false">(DY234/DT234)</f>
        <v>0</v>
      </c>
      <c r="EE234" s="11" t="n">
        <f aca="false">(DZ234/DU234)</f>
        <v>0</v>
      </c>
      <c r="EF234" s="11" t="n">
        <f aca="false">(EA234/DV234)</f>
        <v>0</v>
      </c>
      <c r="EG234" s="11" t="n">
        <f aca="false">(100*EF234)</f>
        <v>0</v>
      </c>
      <c r="EH234" s="9" t="n">
        <v>0</v>
      </c>
      <c r="EI234" s="9" t="n">
        <v>3</v>
      </c>
      <c r="EJ234" s="9" t="n">
        <v>0</v>
      </c>
      <c r="EK234" s="19" t="n">
        <v>3</v>
      </c>
      <c r="EL234" s="9" t="n">
        <v>0</v>
      </c>
      <c r="EM234" s="9" t="n">
        <f aca="false">(EI234+EJ234+EK234+EL234)/4</f>
        <v>1.5</v>
      </c>
      <c r="EN234" s="9" t="n">
        <f aca="false">(EI234/DR234)</f>
        <v>0.1875</v>
      </c>
      <c r="EO234" s="9" t="n">
        <f aca="false">(EJ234/DS234)</f>
        <v>0</v>
      </c>
      <c r="EP234" s="9" t="n">
        <f aca="false">(EK234/DT234)</f>
        <v>0.157894736842105</v>
      </c>
      <c r="EQ234" s="9" t="n">
        <f aca="false">(EL234/DU234)</f>
        <v>0</v>
      </c>
      <c r="ER234" s="9" t="n">
        <f aca="false">EM234/DV234</f>
        <v>0.109090909090909</v>
      </c>
      <c r="ES234" s="9" t="n">
        <f aca="false">(100*ER234)</f>
        <v>10.9090909090909</v>
      </c>
      <c r="ET234" s="9" t="n">
        <v>2</v>
      </c>
      <c r="EU234" s="18" t="n">
        <v>0</v>
      </c>
      <c r="EV234" s="9" t="n">
        <v>0</v>
      </c>
      <c r="EW234" s="9" t="n">
        <v>0</v>
      </c>
      <c r="EX234" s="9" t="n">
        <v>0</v>
      </c>
      <c r="EY234" s="11" t="n">
        <f aca="false">(EU234+EV234+EW234+EX234)/4</f>
        <v>0</v>
      </c>
      <c r="EZ234" s="11" t="n">
        <f aca="false">(EU234/DR234)</f>
        <v>0</v>
      </c>
      <c r="FA234" s="11" t="n">
        <f aca="false">(EV234/DS234)</f>
        <v>0</v>
      </c>
      <c r="FB234" s="11" t="n">
        <f aca="false">(EW234/DT234)</f>
        <v>0</v>
      </c>
      <c r="FC234" s="11" t="n">
        <f aca="false">(EX234/DU234)</f>
        <v>0</v>
      </c>
      <c r="FD234" s="11" t="n">
        <f aca="false">(EY234/DV234)</f>
        <v>0</v>
      </c>
      <c r="FE234" s="11" t="n">
        <f aca="false">(100*FD234)</f>
        <v>0</v>
      </c>
      <c r="FF234" s="9" t="n">
        <v>0</v>
      </c>
      <c r="FG234" s="9" t="n">
        <v>0</v>
      </c>
      <c r="FH234" s="9" t="n">
        <v>0</v>
      </c>
      <c r="FI234" s="9" t="n">
        <v>0</v>
      </c>
      <c r="FJ234" s="9" t="n">
        <v>0</v>
      </c>
      <c r="FK234" s="11" t="n">
        <f aca="false">(FG234+FH234+FI234+FJ234)/4</f>
        <v>0</v>
      </c>
      <c r="FL234" s="11" t="n">
        <f aca="false">(FG234/DR234)</f>
        <v>0</v>
      </c>
      <c r="FM234" s="11" t="n">
        <f aca="false">(FH234/DS234)</f>
        <v>0</v>
      </c>
      <c r="FN234" s="11" t="n">
        <f aca="false">(FI234/DT234)</f>
        <v>0</v>
      </c>
      <c r="FO234" s="11" t="n">
        <f aca="false">(FJ234/DU234)</f>
        <v>0</v>
      </c>
      <c r="FP234" s="11" t="n">
        <f aca="false">(FK234/DV234)</f>
        <v>0</v>
      </c>
      <c r="FQ234" s="11" t="n">
        <f aca="false">(100*FP234)</f>
        <v>0</v>
      </c>
      <c r="FR234" s="9" t="n">
        <v>0</v>
      </c>
      <c r="FS234" s="9" t="n">
        <v>56.7</v>
      </c>
      <c r="FT234" s="9"/>
      <c r="FU234" s="9"/>
      <c r="FV234" s="9" t="n">
        <v>55.8</v>
      </c>
      <c r="FW234" s="11" t="n">
        <f aca="false">(FS234+FT234+FU234+FV234)/4</f>
        <v>28.125</v>
      </c>
      <c r="FX234" s="9" t="n">
        <v>0</v>
      </c>
      <c r="FY234" s="9" t="n">
        <v>0</v>
      </c>
      <c r="FZ234" s="9" t="n">
        <v>0</v>
      </c>
      <c r="GA234" s="9" t="n">
        <v>0</v>
      </c>
      <c r="GB234" s="11" t="n">
        <f aca="false">(FX234+FY234+FZ234+GA234)/4</f>
        <v>0</v>
      </c>
      <c r="GC234" s="9" t="n">
        <v>0</v>
      </c>
      <c r="GD234" s="9" t="n">
        <v>0</v>
      </c>
      <c r="GE234" s="9" t="n">
        <v>0</v>
      </c>
      <c r="GF234" s="9" t="n">
        <v>0</v>
      </c>
      <c r="GG234" s="11" t="n">
        <f aca="false">(GC234+GD234+GE234+GF234)/4</f>
        <v>0</v>
      </c>
      <c r="GH234" s="9" t="n">
        <v>1</v>
      </c>
      <c r="GI234" s="9" t="n">
        <v>0</v>
      </c>
      <c r="GJ234" s="9" t="n">
        <v>0</v>
      </c>
      <c r="GK234" s="9" t="n">
        <v>0</v>
      </c>
      <c r="GL234" s="11" t="n">
        <f aca="false">(GH234+GI234+GJ234+GK234)/4</f>
        <v>0.25</v>
      </c>
      <c r="GM234" s="9" t="n">
        <v>25</v>
      </c>
      <c r="GN234" s="9" t="n">
        <v>42</v>
      </c>
      <c r="GO234" s="9" t="n">
        <v>1</v>
      </c>
      <c r="GP234" s="9" t="n">
        <v>4</v>
      </c>
      <c r="GQ234" s="11" t="n">
        <f aca="false">(GM234+GN234+GO234+GP234)/4</f>
        <v>18</v>
      </c>
      <c r="GR234" s="9" t="n">
        <v>26</v>
      </c>
      <c r="GS234" s="9" t="n">
        <v>9</v>
      </c>
      <c r="GT234" s="9" t="n">
        <v>20</v>
      </c>
      <c r="GU234" s="9" t="n">
        <v>19</v>
      </c>
      <c r="GV234" s="11" t="n">
        <f aca="false">(GR234+GS234+GT234+GU234)/4</f>
        <v>18.5</v>
      </c>
      <c r="GW234" s="9" t="n">
        <v>0</v>
      </c>
      <c r="GX234" s="9" t="n">
        <v>0</v>
      </c>
      <c r="GY234" s="9" t="n">
        <v>0</v>
      </c>
      <c r="GZ234" s="9" t="n">
        <v>0</v>
      </c>
      <c r="HA234" s="11" t="n">
        <f aca="false">(GW234+GX234+GY234+GZ234)/4</f>
        <v>0</v>
      </c>
      <c r="HB234" s="9"/>
      <c r="HC234" s="9" t="n">
        <f aca="false">(GX234/GS234)</f>
        <v>0</v>
      </c>
      <c r="HD234" s="9" t="n">
        <f aca="false">(GY234/GT234)</f>
        <v>0</v>
      </c>
      <c r="HE234" s="9" t="n">
        <f aca="false">(GZ234/GU234)/4</f>
        <v>0</v>
      </c>
      <c r="HF234" s="9" t="n">
        <f aca="false">(HB234+HC234+HD234+HE234)/4</f>
        <v>0</v>
      </c>
      <c r="HG234" s="9" t="n">
        <f aca="false">(100*HF234)</f>
        <v>0</v>
      </c>
      <c r="HH234" s="18" t="n">
        <v>0</v>
      </c>
      <c r="HI234" s="9" t="n">
        <v>0</v>
      </c>
      <c r="HJ234" s="9" t="n">
        <v>0</v>
      </c>
      <c r="HK234" s="9" t="n">
        <v>0</v>
      </c>
      <c r="HL234" s="19" t="n">
        <v>6</v>
      </c>
      <c r="HM234" s="9" t="n">
        <f aca="false">(HI234+HJ234+HK234+HL234)/4</f>
        <v>1.5</v>
      </c>
      <c r="HN234" s="9" t="n">
        <f aca="false">(HI234/GR234)</f>
        <v>0</v>
      </c>
      <c r="HO234" s="9" t="n">
        <f aca="false">(HJ234/GS234)</f>
        <v>0</v>
      </c>
      <c r="HP234" s="9" t="n">
        <f aca="false">(HK234/GT234)</f>
        <v>0</v>
      </c>
      <c r="HQ234" s="9" t="n">
        <f aca="false">(HL234/GU234)</f>
        <v>0.315789473684211</v>
      </c>
      <c r="HR234" s="9" t="n">
        <f aca="false">(HM234/GV234)</f>
        <v>0.0810810810810811</v>
      </c>
      <c r="HS234" s="9" t="n">
        <f aca="false">(100*HR234)</f>
        <v>8.10810810810811</v>
      </c>
      <c r="HT234" s="18" t="n">
        <v>1</v>
      </c>
      <c r="HU234" s="9" t="n">
        <v>6</v>
      </c>
      <c r="HV234" s="9" t="n">
        <v>0</v>
      </c>
      <c r="HW234" s="9" t="n">
        <v>0</v>
      </c>
      <c r="HX234" s="19" t="n">
        <v>0</v>
      </c>
      <c r="HY234" s="9" t="n">
        <f aca="false">(HU234+HV234+HW234+HX234)/4</f>
        <v>1.5</v>
      </c>
      <c r="HZ234" s="9" t="n">
        <f aca="false">(HU234/GR234)</f>
        <v>0.230769230769231</v>
      </c>
      <c r="IA234" s="9" t="n">
        <f aca="false">HV234/GS234</f>
        <v>0</v>
      </c>
      <c r="IB234" s="9" t="n">
        <f aca="false">(HW234/GT234)</f>
        <v>0</v>
      </c>
      <c r="IC234" s="9" t="n">
        <f aca="false">(HX234/GU234)</f>
        <v>0</v>
      </c>
      <c r="ID234" s="9" t="n">
        <f aca="false">(HY234/GV234)</f>
        <v>0.0810810810810811</v>
      </c>
      <c r="IE234" s="9" t="n">
        <f aca="false">(100*ID234)</f>
        <v>8.10810810810811</v>
      </c>
      <c r="IF234" s="18" t="n">
        <v>1</v>
      </c>
      <c r="IG234" s="9" t="n">
        <v>0</v>
      </c>
      <c r="IH234" s="9" t="n">
        <v>0</v>
      </c>
      <c r="II234" s="19" t="n">
        <v>0</v>
      </c>
      <c r="IJ234" s="9" t="n">
        <v>0</v>
      </c>
      <c r="IK234" s="9" t="n">
        <f aca="false">(IG234+IH234+II234+IJ234)/4</f>
        <v>0</v>
      </c>
      <c r="IL234" s="9" t="n">
        <f aca="false">(IG234/GM234)</f>
        <v>0</v>
      </c>
      <c r="IM234" s="9" t="n">
        <f aca="false">(IH234/GN234)</f>
        <v>0</v>
      </c>
      <c r="IN234" s="9" t="n">
        <f aca="false">(II234/GO234)</f>
        <v>0</v>
      </c>
      <c r="IO234" s="9" t="n">
        <f aca="false">(IJ234/GP234)</f>
        <v>0</v>
      </c>
      <c r="IP234" s="9" t="n">
        <f aca="false">(IK234/GQ234)</f>
        <v>0</v>
      </c>
      <c r="IQ234" s="9" t="n">
        <f aca="false">(100*IP234)</f>
        <v>0</v>
      </c>
      <c r="IR234" s="18" t="n">
        <v>0</v>
      </c>
      <c r="IS234" s="9" t="n">
        <v>43.7</v>
      </c>
      <c r="IT234" s="9" t="n">
        <v>65.4</v>
      </c>
      <c r="IU234" s="19" t="n">
        <v>55.2</v>
      </c>
      <c r="IV234" s="9"/>
      <c r="IW234" s="9" t="n">
        <f aca="false">(IS234+IT234+IU234+IV234)/4</f>
        <v>41.075</v>
      </c>
      <c r="IX234" s="16" t="n">
        <v>45211</v>
      </c>
      <c r="IY234" s="10" t="s">
        <v>268</v>
      </c>
    </row>
    <row r="235" customFormat="false" ht="15.75" hidden="false" customHeight="true" outlineLevel="0" collapsed="false">
      <c r="A235" s="9" t="s">
        <v>343</v>
      </c>
      <c r="B235" s="10" t="s">
        <v>788</v>
      </c>
      <c r="C235" s="10" t="s">
        <v>727</v>
      </c>
      <c r="D235" s="9" t="n">
        <v>2</v>
      </c>
      <c r="E235" s="9" t="n">
        <v>78</v>
      </c>
      <c r="F235" s="10" t="s">
        <v>793</v>
      </c>
      <c r="G235" s="10" t="s">
        <v>320</v>
      </c>
      <c r="H235" s="9" t="n">
        <v>21</v>
      </c>
      <c r="I235" s="9" t="n">
        <v>22</v>
      </c>
      <c r="J235" s="10" t="s">
        <v>272</v>
      </c>
      <c r="K235" s="20"/>
      <c r="L235" s="20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 t="n">
        <v>1</v>
      </c>
      <c r="Y235" s="9" t="n">
        <v>1</v>
      </c>
      <c r="Z235" s="9" t="n">
        <v>0</v>
      </c>
      <c r="AA235" s="9" t="n">
        <v>1</v>
      </c>
      <c r="AB235" s="11" t="n">
        <f aca="false">(X235+Y235+Z235+AA235)/4</f>
        <v>0.75</v>
      </c>
      <c r="AC235" s="9" t="n">
        <v>1</v>
      </c>
      <c r="AD235" s="9" t="n">
        <v>1</v>
      </c>
      <c r="AE235" s="9" t="n">
        <v>1</v>
      </c>
      <c r="AF235" s="9" t="n">
        <v>1</v>
      </c>
      <c r="AG235" s="11" t="n">
        <f aca="false">(AC235+AD235+AE235+AF235)/4</f>
        <v>1</v>
      </c>
      <c r="AH235" s="9" t="n">
        <v>1</v>
      </c>
      <c r="AI235" s="9" t="n">
        <v>1</v>
      </c>
      <c r="AJ235" s="9" t="n">
        <v>1</v>
      </c>
      <c r="AK235" s="9" t="n">
        <v>0</v>
      </c>
      <c r="AL235" s="11" t="n">
        <f aca="false">(AH235+AI235+AJ235+AK235)/4</f>
        <v>0.75</v>
      </c>
      <c r="AM235" s="9" t="n">
        <v>66</v>
      </c>
      <c r="AN235" s="9" t="n">
        <v>85</v>
      </c>
      <c r="AO235" s="9" t="n">
        <v>34</v>
      </c>
      <c r="AP235" s="9" t="n">
        <v>30</v>
      </c>
      <c r="AQ235" s="11" t="n">
        <f aca="false">(AM235+AN235+AO235+AP235)/4</f>
        <v>53.75</v>
      </c>
      <c r="AR235" s="9" t="n">
        <v>73</v>
      </c>
      <c r="AS235" s="9" t="n">
        <v>71</v>
      </c>
      <c r="AT235" s="9" t="n">
        <v>25</v>
      </c>
      <c r="AU235" s="9" t="n">
        <v>28</v>
      </c>
      <c r="AV235" s="11" t="n">
        <f aca="false">(AR235+AS235+AT235+AU235)/4</f>
        <v>49.25</v>
      </c>
      <c r="AW235" s="9" t="n">
        <v>4</v>
      </c>
      <c r="AX235" s="9" t="n">
        <v>4</v>
      </c>
      <c r="AY235" s="9" t="n">
        <v>0</v>
      </c>
      <c r="AZ235" s="9" t="n">
        <v>3</v>
      </c>
      <c r="BA235" s="11" t="n">
        <f aca="false">(AW235+AX235+AY235+AZ235)/4</f>
        <v>2.75</v>
      </c>
      <c r="BB235" s="11" t="n">
        <f aca="false">(AW235/AR235)</f>
        <v>0.0547945205479452</v>
      </c>
      <c r="BC235" s="11" t="n">
        <f aca="false">(AX235/AS235)</f>
        <v>0.0563380281690141</v>
      </c>
      <c r="BD235" s="11" t="n">
        <f aca="false">(AY235/AT235)</f>
        <v>0</v>
      </c>
      <c r="BE235" s="11" t="n">
        <f aca="false">(AZ235/AU235)</f>
        <v>0.107142857142857</v>
      </c>
      <c r="BF235" s="11" t="n">
        <f aca="false">(BA235/AV235)</f>
        <v>0.0558375634517767</v>
      </c>
      <c r="BG235" s="11" t="n">
        <f aca="false">(BF235*100)</f>
        <v>5.58375634517767</v>
      </c>
      <c r="BH235" s="9" t="n">
        <v>1</v>
      </c>
      <c r="BI235" s="9" t="n">
        <v>3</v>
      </c>
      <c r="BJ235" s="9" t="n">
        <v>5</v>
      </c>
      <c r="BK235" s="9" t="n">
        <v>3</v>
      </c>
      <c r="BL235" s="9" t="n">
        <v>1</v>
      </c>
      <c r="BM235" s="11" t="n">
        <f aca="false">(BI235+BJ235+BK235+BL235)/4</f>
        <v>3</v>
      </c>
      <c r="BN235" s="11" t="n">
        <f aca="false">(BI235/AR235)</f>
        <v>0.0410958904109589</v>
      </c>
      <c r="BO235" s="11" t="n">
        <f aca="false">(BJ235/AS235)</f>
        <v>0.0704225352112676</v>
      </c>
      <c r="BP235" s="11" t="n">
        <f aca="false">(BK235/AT235)</f>
        <v>0.12</v>
      </c>
      <c r="BQ235" s="11" t="n">
        <f aca="false">(BL235/AU235)</f>
        <v>0.0357142857142857</v>
      </c>
      <c r="BR235" s="11" t="n">
        <f aca="false">(BM235/AV235)</f>
        <v>0.0609137055837564</v>
      </c>
      <c r="BS235" s="11" t="n">
        <f aca="false">(100*BR235)</f>
        <v>6.09137055837564</v>
      </c>
      <c r="BT235" s="9" t="n">
        <v>1</v>
      </c>
      <c r="BU235" s="9" t="n">
        <v>0</v>
      </c>
      <c r="BV235" s="9" t="n">
        <v>0</v>
      </c>
      <c r="BW235" s="9" t="n">
        <v>0</v>
      </c>
      <c r="BX235" s="9" t="n">
        <v>0</v>
      </c>
      <c r="BY235" s="11" t="n">
        <f aca="false">(BU235+BV235+BW235+BX235)/4</f>
        <v>0</v>
      </c>
      <c r="BZ235" s="11" t="n">
        <f aca="false">(BU235/AR235)</f>
        <v>0</v>
      </c>
      <c r="CA235" s="11" t="n">
        <f aca="false">(BV235/AS235)</f>
        <v>0</v>
      </c>
      <c r="CB235" s="11" t="n">
        <f aca="false">(BW235/AT235)</f>
        <v>0</v>
      </c>
      <c r="CC235" s="11" t="n">
        <f aca="false">(BX235/AU235)</f>
        <v>0</v>
      </c>
      <c r="CD235" s="11" t="n">
        <f aca="false">(BY235/AV235)</f>
        <v>0</v>
      </c>
      <c r="CE235" s="11" t="n">
        <f aca="false">(100*CD235)</f>
        <v>0</v>
      </c>
      <c r="CF235" s="9" t="n">
        <v>0</v>
      </c>
      <c r="CG235" s="9" t="n">
        <v>6</v>
      </c>
      <c r="CH235" s="9" t="n">
        <v>10</v>
      </c>
      <c r="CI235" s="9" t="n">
        <v>3</v>
      </c>
      <c r="CJ235" s="9" t="n">
        <v>0</v>
      </c>
      <c r="CK235" s="11" t="n">
        <f aca="false">(CG235+CH235+CI235+CJ235)/4</f>
        <v>4.75</v>
      </c>
      <c r="CL235" s="11" t="n">
        <f aca="false">(CG235/AM235)</f>
        <v>0.0909090909090909</v>
      </c>
      <c r="CM235" s="11" t="n">
        <f aca="false">(CH235/AN235)</f>
        <v>0.117647058823529</v>
      </c>
      <c r="CN235" s="11" t="n">
        <f aca="false">(CI235/AO235)</f>
        <v>0.0882352941176471</v>
      </c>
      <c r="CO235" s="9" t="n">
        <f aca="false">(CJ235/AP235)</f>
        <v>0</v>
      </c>
      <c r="CP235" s="9" t="n">
        <f aca="false">(CK235/AQ235)</f>
        <v>0.0883720930232558</v>
      </c>
      <c r="CQ235" s="9" t="n">
        <f aca="false">(100*CP235)</f>
        <v>8.83720930232558</v>
      </c>
      <c r="CR235" s="18" t="n">
        <v>1</v>
      </c>
      <c r="CS235" s="9" t="n">
        <v>53.5</v>
      </c>
      <c r="CT235" s="9" t="n">
        <v>57.4</v>
      </c>
      <c r="CU235" s="9" t="n">
        <v>47.5</v>
      </c>
      <c r="CV235" s="9" t="n">
        <v>53.7</v>
      </c>
      <c r="CW235" s="11" t="n">
        <f aca="false">(CS235+CT235+CU235+CV235)/4</f>
        <v>53.025</v>
      </c>
      <c r="CX235" s="9" t="n">
        <v>0</v>
      </c>
      <c r="CY235" s="9" t="n">
        <v>0</v>
      </c>
      <c r="CZ235" s="9" t="n">
        <v>0</v>
      </c>
      <c r="DA235" s="9" t="n">
        <v>1</v>
      </c>
      <c r="DB235" s="11" t="n">
        <f aca="false">(CX235+CY235+CZ235+DA235)/4</f>
        <v>0.25</v>
      </c>
      <c r="DC235" s="9" t="n">
        <v>1</v>
      </c>
      <c r="DD235" s="9" t="n">
        <v>0</v>
      </c>
      <c r="DE235" s="9" t="n">
        <v>0</v>
      </c>
      <c r="DF235" s="9" t="n">
        <v>1</v>
      </c>
      <c r="DG235" s="11" t="n">
        <f aca="false">(DC235+DD235+DE235+DF235)/4</f>
        <v>0.5</v>
      </c>
      <c r="DH235" s="9" t="n">
        <v>1</v>
      </c>
      <c r="DI235" s="9" t="n">
        <v>1</v>
      </c>
      <c r="DJ235" s="9" t="n">
        <v>1</v>
      </c>
      <c r="DK235" s="9" t="n">
        <v>1</v>
      </c>
      <c r="DL235" s="11" t="n">
        <f aca="false">(DH235+DI235+DJ235+DK235)/4</f>
        <v>1</v>
      </c>
      <c r="DM235" s="9" t="n">
        <v>8</v>
      </c>
      <c r="DN235" s="9" t="n">
        <v>88</v>
      </c>
      <c r="DO235" s="9" t="n">
        <v>25</v>
      </c>
      <c r="DP235" s="9" t="n">
        <v>90</v>
      </c>
      <c r="DQ235" s="11" t="n">
        <f aca="false">(DM235+DN235+DO235+DP235)/4</f>
        <v>52.75</v>
      </c>
      <c r="DR235" s="9" t="n">
        <v>15</v>
      </c>
      <c r="DS235" s="9" t="n">
        <v>29</v>
      </c>
      <c r="DT235" s="9" t="n">
        <v>18</v>
      </c>
      <c r="DU235" s="9" t="n">
        <v>38</v>
      </c>
      <c r="DV235" s="11" t="n">
        <f aca="false">(DR235+DS235+DT235+DU235)/4</f>
        <v>25</v>
      </c>
      <c r="DW235" s="9" t="n">
        <v>0</v>
      </c>
      <c r="DX235" s="9" t="n">
        <v>0</v>
      </c>
      <c r="DY235" s="9" t="n">
        <v>0</v>
      </c>
      <c r="DZ235" s="9" t="n">
        <v>2</v>
      </c>
      <c r="EA235" s="11" t="n">
        <f aca="false">(DW235+DX235+DY235+DZ235)/4</f>
        <v>0.5</v>
      </c>
      <c r="EB235" s="11" t="n">
        <f aca="false">(DW235/DR235)</f>
        <v>0</v>
      </c>
      <c r="EC235" s="11" t="n">
        <f aca="false">(DX235/DS235)</f>
        <v>0</v>
      </c>
      <c r="ED235" s="11" t="n">
        <f aca="false">(DY235/DT235)</f>
        <v>0</v>
      </c>
      <c r="EE235" s="11" t="n">
        <f aca="false">(DZ235/DU235)</f>
        <v>0.0526315789473684</v>
      </c>
      <c r="EF235" s="11" t="n">
        <f aca="false">(EA235/DV235)</f>
        <v>0.02</v>
      </c>
      <c r="EG235" s="11" t="n">
        <f aca="false">(100*EF235)</f>
        <v>2</v>
      </c>
      <c r="EH235" s="9" t="n">
        <v>1</v>
      </c>
      <c r="EI235" s="9" t="n">
        <v>2</v>
      </c>
      <c r="EJ235" s="9" t="n">
        <v>0</v>
      </c>
      <c r="EK235" s="19" t="n">
        <v>0</v>
      </c>
      <c r="EL235" s="9" t="n">
        <v>2</v>
      </c>
      <c r="EM235" s="9" t="n">
        <f aca="false">(EI235+EJ235+EK235+EL235)/4</f>
        <v>1</v>
      </c>
      <c r="EN235" s="9" t="n">
        <f aca="false">(EI235/DR235)</f>
        <v>0.133333333333333</v>
      </c>
      <c r="EO235" s="9" t="n">
        <f aca="false">(EJ235/DS235)</f>
        <v>0</v>
      </c>
      <c r="EP235" s="9" t="n">
        <f aca="false">(EK235/DT235)</f>
        <v>0</v>
      </c>
      <c r="EQ235" s="9" t="n">
        <f aca="false">(EL235/DU235)</f>
        <v>0.0526315789473684</v>
      </c>
      <c r="ER235" s="9" t="n">
        <f aca="false">EM235/DV235</f>
        <v>0.04</v>
      </c>
      <c r="ES235" s="9" t="n">
        <f aca="false">(100*ER235)</f>
        <v>4</v>
      </c>
      <c r="ET235" s="9" t="n">
        <v>1</v>
      </c>
      <c r="EU235" s="18" t="n">
        <v>0</v>
      </c>
      <c r="EV235" s="9" t="n">
        <v>0</v>
      </c>
      <c r="EW235" s="9" t="n">
        <v>0</v>
      </c>
      <c r="EX235" s="9" t="n">
        <v>0</v>
      </c>
      <c r="EY235" s="11" t="n">
        <f aca="false">(EU235+EV235+EW235+EX235)/4</f>
        <v>0</v>
      </c>
      <c r="EZ235" s="11" t="n">
        <f aca="false">(EU235/DR235)</f>
        <v>0</v>
      </c>
      <c r="FA235" s="11" t="n">
        <f aca="false">(EV235/DS235)</f>
        <v>0</v>
      </c>
      <c r="FB235" s="11" t="n">
        <f aca="false">(EW235/DT235)</f>
        <v>0</v>
      </c>
      <c r="FC235" s="11" t="n">
        <f aca="false">(EX235/DU235)</f>
        <v>0</v>
      </c>
      <c r="FD235" s="11" t="n">
        <f aca="false">(EY235/DV235)</f>
        <v>0</v>
      </c>
      <c r="FE235" s="11" t="n">
        <f aca="false">(100*FD235)</f>
        <v>0</v>
      </c>
      <c r="FF235" s="9" t="n">
        <v>0</v>
      </c>
      <c r="FG235" s="9" t="n">
        <v>4</v>
      </c>
      <c r="FH235" s="9" t="n">
        <v>24</v>
      </c>
      <c r="FI235" s="9" t="n">
        <v>20</v>
      </c>
      <c r="FJ235" s="9" t="n">
        <v>13</v>
      </c>
      <c r="FK235" s="11" t="n">
        <f aca="false">(FG235+FH235+FI235+FJ235)/4</f>
        <v>15.25</v>
      </c>
      <c r="FL235" s="11" t="n">
        <f aca="false">(FG235/DR235)</f>
        <v>0.266666666666667</v>
      </c>
      <c r="FM235" s="11" t="n">
        <f aca="false">(FH235/DS235)</f>
        <v>0.827586206896552</v>
      </c>
      <c r="FN235" s="11" t="n">
        <f aca="false">(FI235/DT235)</f>
        <v>1.11111111111111</v>
      </c>
      <c r="FO235" s="11" t="n">
        <f aca="false">(FJ235/DU235)</f>
        <v>0.342105263157895</v>
      </c>
      <c r="FP235" s="11" t="n">
        <f aca="false">(FK235/DV235)</f>
        <v>0.61</v>
      </c>
      <c r="FQ235" s="11" t="n">
        <f aca="false">(100*FP235)</f>
        <v>61</v>
      </c>
      <c r="FR235" s="9" t="n">
        <v>3</v>
      </c>
      <c r="FS235" s="9" t="n">
        <v>59</v>
      </c>
      <c r="FT235" s="9" t="n">
        <v>68.1</v>
      </c>
      <c r="FU235" s="9" t="n">
        <v>65.2</v>
      </c>
      <c r="FV235" s="9" t="n">
        <v>67.6</v>
      </c>
      <c r="FW235" s="11" t="n">
        <f aca="false">(FS235+FT235+FU235+FV235)/4</f>
        <v>64.975</v>
      </c>
      <c r="FX235" s="9" t="n">
        <v>0</v>
      </c>
      <c r="FY235" s="9" t="n">
        <v>0</v>
      </c>
      <c r="FZ235" s="9" t="n">
        <v>0</v>
      </c>
      <c r="GA235" s="9" t="n">
        <v>0</v>
      </c>
      <c r="GB235" s="11" t="n">
        <f aca="false">(FX235+FY235+FZ235+GA235)/4</f>
        <v>0</v>
      </c>
      <c r="GC235" s="9" t="n">
        <v>0</v>
      </c>
      <c r="GD235" s="9" t="n">
        <v>0</v>
      </c>
      <c r="GE235" s="9" t="n">
        <v>1</v>
      </c>
      <c r="GF235" s="9" t="n">
        <v>0</v>
      </c>
      <c r="GG235" s="11" t="n">
        <f aca="false">(GC235+GD235+GE235+GF235)/4</f>
        <v>0.25</v>
      </c>
      <c r="GH235" s="9" t="n">
        <v>0</v>
      </c>
      <c r="GI235" s="9" t="n">
        <v>1</v>
      </c>
      <c r="GJ235" s="9" t="n">
        <v>0</v>
      </c>
      <c r="GK235" s="9" t="n">
        <v>1</v>
      </c>
      <c r="GL235" s="11" t="n">
        <f aca="false">(GH235+GI235+GJ235+GK235)/4</f>
        <v>0.5</v>
      </c>
      <c r="GM235" s="9" t="n">
        <v>83</v>
      </c>
      <c r="GN235" s="9" t="n">
        <v>54</v>
      </c>
      <c r="GO235" s="9" t="n">
        <v>130</v>
      </c>
      <c r="GP235" s="9" t="n">
        <v>72</v>
      </c>
      <c r="GQ235" s="11" t="n">
        <f aca="false">(GM235+GN235+GO235+GP235)/4</f>
        <v>84.75</v>
      </c>
      <c r="GR235" s="9" t="n">
        <v>39</v>
      </c>
      <c r="GS235" s="9" t="n">
        <v>72</v>
      </c>
      <c r="GT235" s="9" t="n">
        <v>64</v>
      </c>
      <c r="GU235" s="9" t="n">
        <v>21</v>
      </c>
      <c r="GV235" s="11" t="n">
        <f aca="false">(GR235+GS235+GT235+GU235)/4</f>
        <v>49</v>
      </c>
      <c r="GW235" s="9" t="n">
        <v>0</v>
      </c>
      <c r="GX235" s="9" t="n">
        <v>0</v>
      </c>
      <c r="GY235" s="9" t="n">
        <v>0</v>
      </c>
      <c r="GZ235" s="9" t="n">
        <v>0</v>
      </c>
      <c r="HA235" s="11" t="n">
        <f aca="false">(GW235+GX235+GY235+GZ235)/4</f>
        <v>0</v>
      </c>
      <c r="HB235" s="9"/>
      <c r="HC235" s="9" t="n">
        <f aca="false">(GX235/GS235)</f>
        <v>0</v>
      </c>
      <c r="HD235" s="9" t="n">
        <f aca="false">(GY235/GT235)</f>
        <v>0</v>
      </c>
      <c r="HE235" s="9" t="n">
        <f aca="false">(GZ235/GU235)/4</f>
        <v>0</v>
      </c>
      <c r="HF235" s="9" t="n">
        <f aca="false">(HB235+HC235+HD235+HE235)/4</f>
        <v>0</v>
      </c>
      <c r="HG235" s="9" t="n">
        <f aca="false">(100*HF235)</f>
        <v>0</v>
      </c>
      <c r="HH235" s="18" t="n">
        <v>0</v>
      </c>
      <c r="HI235" s="9" t="n">
        <v>0</v>
      </c>
      <c r="HJ235" s="9" t="n">
        <v>0</v>
      </c>
      <c r="HK235" s="9" t="n">
        <v>1</v>
      </c>
      <c r="HL235" s="19" t="n">
        <v>0</v>
      </c>
      <c r="HM235" s="9" t="n">
        <f aca="false">(HI235+HJ235+HK235+HL235)/4</f>
        <v>0.25</v>
      </c>
      <c r="HN235" s="9" t="n">
        <f aca="false">(HI235/GR235)</f>
        <v>0</v>
      </c>
      <c r="HO235" s="9" t="n">
        <f aca="false">(HJ235/GS235)</f>
        <v>0</v>
      </c>
      <c r="HP235" s="9" t="n">
        <f aca="false">(HK235/GT235)</f>
        <v>0.015625</v>
      </c>
      <c r="HQ235" s="9" t="n">
        <f aca="false">(HL235/GU235)</f>
        <v>0</v>
      </c>
      <c r="HR235" s="9" t="n">
        <f aca="false">(HM235/GV235)</f>
        <v>0.00510204081632653</v>
      </c>
      <c r="HS235" s="9" t="n">
        <f aca="false">(100*HR235)</f>
        <v>0.510204081632653</v>
      </c>
      <c r="HT235" s="18" t="n">
        <v>1</v>
      </c>
      <c r="HU235" s="9" t="n">
        <v>0</v>
      </c>
      <c r="HV235" s="9" t="n">
        <v>0</v>
      </c>
      <c r="HW235" s="9" t="n">
        <v>0</v>
      </c>
      <c r="HX235" s="19" t="n">
        <v>3</v>
      </c>
      <c r="HY235" s="9" t="n">
        <f aca="false">(HU235+HV235+HW235+HX235)/4</f>
        <v>0.75</v>
      </c>
      <c r="HZ235" s="9" t="n">
        <f aca="false">(HU235/GR235)</f>
        <v>0</v>
      </c>
      <c r="IA235" s="9" t="n">
        <f aca="false">HV235/GS235</f>
        <v>0</v>
      </c>
      <c r="IB235" s="9" t="n">
        <f aca="false">(HW235/GT235)</f>
        <v>0</v>
      </c>
      <c r="IC235" s="9" t="n">
        <f aca="false">(HX235/GU235)</f>
        <v>0.142857142857143</v>
      </c>
      <c r="ID235" s="9" t="n">
        <f aca="false">(HY235/GV235)</f>
        <v>0.0153061224489796</v>
      </c>
      <c r="IE235" s="9" t="n">
        <f aca="false">(100*ID235)</f>
        <v>1.53061224489796</v>
      </c>
      <c r="IF235" s="18" t="n">
        <v>1</v>
      </c>
      <c r="IG235" s="9" t="n">
        <v>0</v>
      </c>
      <c r="IH235" s="9" t="n">
        <v>7</v>
      </c>
      <c r="II235" s="19" t="n">
        <v>0</v>
      </c>
      <c r="IJ235" s="9" t="n">
        <v>13</v>
      </c>
      <c r="IK235" s="9" t="n">
        <f aca="false">(IG235+IH235+II235+IJ235)/4</f>
        <v>5</v>
      </c>
      <c r="IL235" s="9" t="n">
        <f aca="false">(IG235/GM235)</f>
        <v>0</v>
      </c>
      <c r="IM235" s="9" t="n">
        <f aca="false">(IH235/GN235)</f>
        <v>0.12962962962963</v>
      </c>
      <c r="IN235" s="9" t="n">
        <f aca="false">(II235/GO235)</f>
        <v>0</v>
      </c>
      <c r="IO235" s="9" t="n">
        <f aca="false">(IJ235/GP235)</f>
        <v>0.180555555555556</v>
      </c>
      <c r="IP235" s="9" t="n">
        <f aca="false">(IK235/GQ235)</f>
        <v>0.0589970501474926</v>
      </c>
      <c r="IQ235" s="9" t="n">
        <f aca="false">(100*IP235)</f>
        <v>5.89970501474926</v>
      </c>
      <c r="IR235" s="18" t="n">
        <v>1</v>
      </c>
      <c r="IS235" s="9" t="n">
        <v>59.1</v>
      </c>
      <c r="IT235" s="9" t="n">
        <v>58</v>
      </c>
      <c r="IU235" s="19" t="n">
        <v>58.5</v>
      </c>
      <c r="IV235" s="9"/>
      <c r="IW235" s="9" t="n">
        <f aca="false">(IS235+IT235+IU235+IV235)/4</f>
        <v>43.9</v>
      </c>
      <c r="IX235" s="16" t="n">
        <v>45211</v>
      </c>
      <c r="IY235" s="10" t="s">
        <v>268</v>
      </c>
    </row>
    <row r="236" customFormat="false" ht="15.75" hidden="false" customHeight="true" outlineLevel="0" collapsed="false">
      <c r="A236" s="9" t="s">
        <v>343</v>
      </c>
      <c r="B236" s="10" t="s">
        <v>794</v>
      </c>
      <c r="C236" s="10" t="s">
        <v>727</v>
      </c>
      <c r="D236" s="9" t="n">
        <v>3</v>
      </c>
      <c r="E236" s="9" t="n">
        <v>79</v>
      </c>
      <c r="F236" s="10" t="s">
        <v>795</v>
      </c>
      <c r="G236" s="10" t="s">
        <v>297</v>
      </c>
      <c r="H236" s="9" t="n">
        <v>21</v>
      </c>
      <c r="I236" s="9" t="n">
        <v>5</v>
      </c>
      <c r="J236" s="12" t="s">
        <v>264</v>
      </c>
      <c r="K236" s="13" t="s">
        <v>796</v>
      </c>
      <c r="L236" s="13" t="s">
        <v>791</v>
      </c>
      <c r="M236" s="14" t="n">
        <v>1300</v>
      </c>
      <c r="N236" s="15" t="n">
        <v>45135</v>
      </c>
      <c r="O236" s="10" t="s">
        <v>267</v>
      </c>
      <c r="P236" s="9"/>
      <c r="Q236" s="9" t="n">
        <v>59.81</v>
      </c>
      <c r="R236" s="9" t="n">
        <v>10</v>
      </c>
      <c r="S236" s="9" t="n">
        <v>-15</v>
      </c>
      <c r="T236" s="9" t="n">
        <v>80</v>
      </c>
      <c r="U236" s="9"/>
      <c r="V236" s="9" t="n">
        <f aca="false">(19.5/100)</f>
        <v>0.195</v>
      </c>
      <c r="W236" s="9"/>
      <c r="X236" s="9" t="n">
        <v>0</v>
      </c>
      <c r="Y236" s="9" t="n">
        <v>0</v>
      </c>
      <c r="Z236" s="9" t="n">
        <v>0</v>
      </c>
      <c r="AA236" s="9" t="n">
        <v>0</v>
      </c>
      <c r="AB236" s="11" t="n">
        <f aca="false">(X236+Y236+Z236+AA236)/4</f>
        <v>0</v>
      </c>
      <c r="AC236" s="9" t="n">
        <v>1</v>
      </c>
      <c r="AD236" s="9" t="n">
        <v>1</v>
      </c>
      <c r="AE236" s="9" t="n">
        <v>1</v>
      </c>
      <c r="AF236" s="9" t="n">
        <v>1</v>
      </c>
      <c r="AG236" s="11" t="n">
        <f aca="false">(AC236+AD236+AE236+AF236)/4</f>
        <v>1</v>
      </c>
      <c r="AH236" s="9" t="n">
        <v>1</v>
      </c>
      <c r="AI236" s="9" t="n">
        <v>0</v>
      </c>
      <c r="AJ236" s="9" t="n">
        <v>0</v>
      </c>
      <c r="AK236" s="9" t="n">
        <v>1</v>
      </c>
      <c r="AL236" s="11" t="n">
        <f aca="false">(AH236+AI236+AJ236+AK236)/4</f>
        <v>0.5</v>
      </c>
      <c r="AM236" s="9" t="n">
        <v>51</v>
      </c>
      <c r="AN236" s="9" t="n">
        <v>4</v>
      </c>
      <c r="AO236" s="9" t="n">
        <v>17</v>
      </c>
      <c r="AP236" s="9" t="n">
        <v>68</v>
      </c>
      <c r="AQ236" s="11" t="n">
        <f aca="false">(AM236+AN236+AO236+AP236)/4</f>
        <v>35</v>
      </c>
      <c r="AR236" s="9" t="n">
        <v>4</v>
      </c>
      <c r="AS236" s="9" t="n">
        <v>12</v>
      </c>
      <c r="AT236" s="9" t="n">
        <v>5</v>
      </c>
      <c r="AU236" s="9" t="n">
        <v>6</v>
      </c>
      <c r="AV236" s="11" t="n">
        <f aca="false">(AR236+AS236+AT236+AU236)/4</f>
        <v>6.75</v>
      </c>
      <c r="AW236" s="9" t="n">
        <v>0</v>
      </c>
      <c r="AX236" s="9" t="n">
        <v>0</v>
      </c>
      <c r="AY236" s="9" t="n">
        <v>0</v>
      </c>
      <c r="AZ236" s="9" t="n">
        <v>0</v>
      </c>
      <c r="BA236" s="11" t="n">
        <f aca="false">(AW236+AX236+AY236+AZ236)/4</f>
        <v>0</v>
      </c>
      <c r="BB236" s="11" t="n">
        <f aca="false">(AW236/AR236)</f>
        <v>0</v>
      </c>
      <c r="BC236" s="11" t="n">
        <f aca="false">(AX236/AS236)</f>
        <v>0</v>
      </c>
      <c r="BD236" s="11" t="n">
        <f aca="false">(AY236/AT236)</f>
        <v>0</v>
      </c>
      <c r="BE236" s="11" t="n">
        <f aca="false">(AZ236/AU236)</f>
        <v>0</v>
      </c>
      <c r="BF236" s="11" t="n">
        <f aca="false">(BA236/AV236)</f>
        <v>0</v>
      </c>
      <c r="BG236" s="11" t="n">
        <f aca="false">(BF236*100)</f>
        <v>0</v>
      </c>
      <c r="BH236" s="11" t="n">
        <v>0</v>
      </c>
      <c r="BI236" s="9" t="n">
        <v>3</v>
      </c>
      <c r="BJ236" s="9" t="n">
        <v>4</v>
      </c>
      <c r="BK236" s="9" t="n">
        <v>3</v>
      </c>
      <c r="BL236" s="9" t="n">
        <v>4</v>
      </c>
      <c r="BM236" s="11" t="n">
        <f aca="false">(BI236+BJ236+BK236+BL236)/4</f>
        <v>3.5</v>
      </c>
      <c r="BN236" s="11" t="n">
        <f aca="false">(BI236/AR236)</f>
        <v>0.75</v>
      </c>
      <c r="BO236" s="11" t="n">
        <f aca="false">(BJ236/AS236)</f>
        <v>0.333333333333333</v>
      </c>
      <c r="BP236" s="11" t="n">
        <f aca="false">(BK236/AT236)</f>
        <v>0.6</v>
      </c>
      <c r="BQ236" s="11" t="n">
        <f aca="false">(BL236/AU236)</f>
        <v>0.666666666666667</v>
      </c>
      <c r="BR236" s="11" t="n">
        <f aca="false">(BM236/AV236)</f>
        <v>0.518518518518519</v>
      </c>
      <c r="BS236" s="11" t="n">
        <f aca="false">(100*BR236)</f>
        <v>51.8518518518519</v>
      </c>
      <c r="BT236" s="9" t="n">
        <v>3</v>
      </c>
      <c r="BU236" s="9" t="n">
        <v>0</v>
      </c>
      <c r="BV236" s="9" t="n">
        <v>0</v>
      </c>
      <c r="BW236" s="9" t="n">
        <v>0</v>
      </c>
      <c r="BX236" s="9" t="n">
        <v>2</v>
      </c>
      <c r="BY236" s="11" t="n">
        <f aca="false">(BU236+BV236+BW236+BX236)/4</f>
        <v>0.5</v>
      </c>
      <c r="BZ236" s="11" t="n">
        <f aca="false">(BU236/AR236)</f>
        <v>0</v>
      </c>
      <c r="CA236" s="11" t="n">
        <f aca="false">(BV236/AS236)</f>
        <v>0</v>
      </c>
      <c r="CB236" s="11" t="n">
        <f aca="false">(BW236/AT236)</f>
        <v>0</v>
      </c>
      <c r="CC236" s="11" t="n">
        <f aca="false">(BX236/AU236)</f>
        <v>0.333333333333333</v>
      </c>
      <c r="CD236" s="11" t="n">
        <f aca="false">(BY236/AV236)</f>
        <v>0.0740740740740741</v>
      </c>
      <c r="CE236" s="11" t="n">
        <f aca="false">(100*CD236)</f>
        <v>7.40740740740741</v>
      </c>
      <c r="CF236" s="9" t="n">
        <v>1</v>
      </c>
      <c r="CG236" s="9" t="n">
        <v>3</v>
      </c>
      <c r="CH236" s="9" t="n">
        <v>0</v>
      </c>
      <c r="CI236" s="9" t="n">
        <v>0</v>
      </c>
      <c r="CJ236" s="9" t="n">
        <v>10</v>
      </c>
      <c r="CK236" s="11" t="n">
        <f aca="false">(CG236+CH236+CI236+CJ236)/4</f>
        <v>3.25</v>
      </c>
      <c r="CL236" s="11" t="n">
        <f aca="false">(CG236/AM236)</f>
        <v>0.0588235294117647</v>
      </c>
      <c r="CM236" s="11" t="n">
        <f aca="false">(CH236/AN236)</f>
        <v>0</v>
      </c>
      <c r="CN236" s="11" t="n">
        <f aca="false">(CI236/AO236)</f>
        <v>0</v>
      </c>
      <c r="CO236" s="9" t="n">
        <f aca="false">(CJ236/AP236)</f>
        <v>0.147058823529412</v>
      </c>
      <c r="CP236" s="9" t="n">
        <f aca="false">(CK236/AQ236)</f>
        <v>0.0928571428571429</v>
      </c>
      <c r="CQ236" s="9" t="n">
        <f aca="false">(100*CP236)</f>
        <v>9.28571428571429</v>
      </c>
      <c r="CR236" s="18" t="n">
        <v>1</v>
      </c>
      <c r="CS236" s="9" t="n">
        <v>67.5</v>
      </c>
      <c r="CT236" s="9" t="n">
        <v>64.7</v>
      </c>
      <c r="CU236" s="9" t="n">
        <v>66.1</v>
      </c>
      <c r="CV236" s="9" t="n">
        <v>67.3</v>
      </c>
      <c r="CW236" s="11" t="n">
        <f aca="false">(CS236+CT236+CU236+CV236)/4</f>
        <v>66.4</v>
      </c>
      <c r="CX236" s="9" t="n">
        <v>0</v>
      </c>
      <c r="CY236" s="9" t="n">
        <v>0</v>
      </c>
      <c r="CZ236" s="9" t="n">
        <v>0</v>
      </c>
      <c r="DA236" s="9" t="n">
        <v>0</v>
      </c>
      <c r="DB236" s="11" t="n">
        <f aca="false">(CX236+CY236+CZ236+DA236)/4</f>
        <v>0</v>
      </c>
      <c r="DC236" s="9" t="n">
        <v>1</v>
      </c>
      <c r="DD236" s="9" t="n">
        <v>1</v>
      </c>
      <c r="DE236" s="9" t="n">
        <v>1</v>
      </c>
      <c r="DF236" s="9" t="n">
        <v>1</v>
      </c>
      <c r="DG236" s="11" t="n">
        <f aca="false">(DC236+DD236+DE236+DF236)/4</f>
        <v>1</v>
      </c>
      <c r="DH236" s="9" t="n">
        <v>1</v>
      </c>
      <c r="DI236" s="9" t="n">
        <v>1</v>
      </c>
      <c r="DJ236" s="9" t="n">
        <v>1</v>
      </c>
      <c r="DK236" s="9" t="n">
        <v>0</v>
      </c>
      <c r="DL236" s="11" t="n">
        <f aca="false">(DH236+DI236+DJ236+DK236)/4</f>
        <v>0.75</v>
      </c>
      <c r="DM236" s="9" t="n">
        <v>131</v>
      </c>
      <c r="DN236" s="9" t="n">
        <v>94</v>
      </c>
      <c r="DO236" s="9" t="n">
        <v>129</v>
      </c>
      <c r="DP236" s="9" t="n">
        <v>42</v>
      </c>
      <c r="DQ236" s="11" t="n">
        <f aca="false">(DM236+DN236+DO236+DP236)/4</f>
        <v>99</v>
      </c>
      <c r="DR236" s="9" t="n">
        <v>16</v>
      </c>
      <c r="DS236" s="9" t="n">
        <v>53</v>
      </c>
      <c r="DT236" s="9" t="n">
        <v>15</v>
      </c>
      <c r="DU236" s="9" t="n">
        <v>9</v>
      </c>
      <c r="DV236" s="11" t="n">
        <f aca="false">(DR236+DS236+DT236+DU236)/4</f>
        <v>23.25</v>
      </c>
      <c r="DW236" s="9" t="n">
        <v>0</v>
      </c>
      <c r="DX236" s="9" t="n">
        <v>0</v>
      </c>
      <c r="DY236" s="9" t="n">
        <v>0</v>
      </c>
      <c r="DZ236" s="9" t="n">
        <v>0</v>
      </c>
      <c r="EA236" s="11" t="n">
        <f aca="false">(DW236+DX236+DY236+DZ236)/4</f>
        <v>0</v>
      </c>
      <c r="EB236" s="11" t="n">
        <f aca="false">(DW236/DR236)</f>
        <v>0</v>
      </c>
      <c r="EC236" s="11" t="n">
        <f aca="false">(DX236/DS236)</f>
        <v>0</v>
      </c>
      <c r="ED236" s="11" t="n">
        <f aca="false">(DY236/DT236)</f>
        <v>0</v>
      </c>
      <c r="EE236" s="11" t="n">
        <f aca="false">(DZ236/DU236)</f>
        <v>0</v>
      </c>
      <c r="EF236" s="11" t="n">
        <f aca="false">(EA236/DV236)</f>
        <v>0</v>
      </c>
      <c r="EG236" s="11" t="n">
        <f aca="false">(100*EF236)</f>
        <v>0</v>
      </c>
      <c r="EH236" s="9" t="n">
        <v>0</v>
      </c>
      <c r="EI236" s="9" t="n">
        <v>6</v>
      </c>
      <c r="EJ236" s="9" t="n">
        <v>10</v>
      </c>
      <c r="EK236" s="19" t="n">
        <v>4</v>
      </c>
      <c r="EL236" s="9" t="n">
        <v>5</v>
      </c>
      <c r="EM236" s="9" t="n">
        <f aca="false">(EI236+EJ236+EK236+EL236)/4</f>
        <v>6.25</v>
      </c>
      <c r="EN236" s="9" t="n">
        <f aca="false">(EI236/DR236)</f>
        <v>0.375</v>
      </c>
      <c r="EO236" s="9" t="n">
        <f aca="false">(EJ236/DS236)</f>
        <v>0.188679245283019</v>
      </c>
      <c r="EP236" s="9" t="n">
        <f aca="false">(EK236/DT236)</f>
        <v>0.266666666666667</v>
      </c>
      <c r="EQ236" s="9" t="n">
        <f aca="false">(EL236/DU236)</f>
        <v>0.555555555555556</v>
      </c>
      <c r="ER236" s="9" t="n">
        <f aca="false">EM236/DV236</f>
        <v>0.268817204301075</v>
      </c>
      <c r="ES236" s="9" t="n">
        <f aca="false">(100*ER236)</f>
        <v>26.8817204301075</v>
      </c>
      <c r="ET236" s="9" t="n">
        <v>2</v>
      </c>
      <c r="EU236" s="18" t="n">
        <v>2</v>
      </c>
      <c r="EV236" s="9" t="n">
        <v>0</v>
      </c>
      <c r="EW236" s="9" t="n">
        <v>0</v>
      </c>
      <c r="EX236" s="9" t="n">
        <v>0</v>
      </c>
      <c r="EY236" s="11" t="n">
        <f aca="false">(EU236+EV236+EW236+EX236)/4</f>
        <v>0.5</v>
      </c>
      <c r="EZ236" s="11" t="n">
        <f aca="false">(EU236/DR236)</f>
        <v>0.125</v>
      </c>
      <c r="FA236" s="11" t="n">
        <f aca="false">(EV236/DS236)</f>
        <v>0</v>
      </c>
      <c r="FB236" s="11" t="n">
        <f aca="false">(EW236/DT236)</f>
        <v>0</v>
      </c>
      <c r="FC236" s="11" t="n">
        <f aca="false">(EX236/DU236)</f>
        <v>0</v>
      </c>
      <c r="FD236" s="11" t="n">
        <f aca="false">(EY236/DV236)</f>
        <v>0.021505376344086</v>
      </c>
      <c r="FE236" s="11" t="n">
        <f aca="false">(100*FD236)</f>
        <v>2.1505376344086</v>
      </c>
      <c r="FF236" s="9" t="n">
        <v>1</v>
      </c>
      <c r="FG236" s="9" t="n">
        <v>10</v>
      </c>
      <c r="FH236" s="9" t="n">
        <v>4</v>
      </c>
      <c r="FI236" s="9" t="n">
        <v>16</v>
      </c>
      <c r="FJ236" s="9" t="n">
        <v>0</v>
      </c>
      <c r="FK236" s="11" t="n">
        <f aca="false">(FG236+FH236+FI236+FJ236)/4</f>
        <v>7.5</v>
      </c>
      <c r="FL236" s="11" t="n">
        <f aca="false">(FG236/DR236)</f>
        <v>0.625</v>
      </c>
      <c r="FM236" s="11" t="n">
        <f aca="false">(FH236/DS236)</f>
        <v>0.0754716981132075</v>
      </c>
      <c r="FN236" s="11" t="n">
        <f aca="false">(FI236/DT236)</f>
        <v>1.06666666666667</v>
      </c>
      <c r="FO236" s="11" t="n">
        <f aca="false">(FJ236/DU236)</f>
        <v>0</v>
      </c>
      <c r="FP236" s="11" t="n">
        <f aca="false">(FK236/DV236)</f>
        <v>0.32258064516129</v>
      </c>
      <c r="FQ236" s="11" t="n">
        <f aca="false">(100*FP236)</f>
        <v>32.258064516129</v>
      </c>
      <c r="FR236" s="9" t="n">
        <v>3</v>
      </c>
      <c r="FS236" s="9" t="n">
        <v>66.4</v>
      </c>
      <c r="FT236" s="9" t="n">
        <v>55.7</v>
      </c>
      <c r="FU236" s="9" t="n">
        <v>62.1</v>
      </c>
      <c r="FV236" s="9" t="n">
        <v>58.3</v>
      </c>
      <c r="FW236" s="11" t="n">
        <f aca="false">(FS236+FT236+FU236+FV236)/4</f>
        <v>60.625</v>
      </c>
      <c r="FX236" s="9" t="n">
        <v>0</v>
      </c>
      <c r="FY236" s="9" t="n">
        <v>0</v>
      </c>
      <c r="FZ236" s="9" t="n">
        <v>0</v>
      </c>
      <c r="GA236" s="9" t="n">
        <v>0</v>
      </c>
      <c r="GB236" s="11" t="n">
        <f aca="false">(FX236+FY236+FZ236+GA236)/4</f>
        <v>0</v>
      </c>
      <c r="GC236" s="9" t="n">
        <v>1</v>
      </c>
      <c r="GD236" s="9" t="n">
        <v>1</v>
      </c>
      <c r="GE236" s="9" t="n">
        <v>1</v>
      </c>
      <c r="GF236" s="9" t="n">
        <v>1</v>
      </c>
      <c r="GG236" s="11" t="n">
        <f aca="false">(GC236+GD236+GE236+GF236)/4</f>
        <v>1</v>
      </c>
      <c r="GH236" s="9" t="n">
        <v>1</v>
      </c>
      <c r="GI236" s="9" t="n">
        <v>1</v>
      </c>
      <c r="GJ236" s="9" t="n">
        <v>1</v>
      </c>
      <c r="GK236" s="9" t="n">
        <v>1</v>
      </c>
      <c r="GL236" s="11" t="n">
        <f aca="false">(GH236+GI236+GJ236+GK236)/4</f>
        <v>1</v>
      </c>
      <c r="GM236" s="9" t="n">
        <v>83</v>
      </c>
      <c r="GN236" s="9" t="n">
        <v>65</v>
      </c>
      <c r="GO236" s="9" t="n">
        <v>97</v>
      </c>
      <c r="GP236" s="9" t="n">
        <v>103</v>
      </c>
      <c r="GQ236" s="11" t="n">
        <f aca="false">(GM236+GN236+GO236+GP236)/4</f>
        <v>87</v>
      </c>
      <c r="GR236" s="9" t="n">
        <v>17</v>
      </c>
      <c r="GS236" s="9" t="n">
        <v>5</v>
      </c>
      <c r="GT236" s="9" t="n">
        <v>13</v>
      </c>
      <c r="GU236" s="9" t="n">
        <v>6</v>
      </c>
      <c r="GV236" s="11" t="n">
        <f aca="false">(GR236+GS236+GT236+GU236)/4</f>
        <v>10.25</v>
      </c>
      <c r="GW236" s="9" t="n">
        <v>0</v>
      </c>
      <c r="GX236" s="9" t="n">
        <v>0</v>
      </c>
      <c r="GY236" s="9" t="n">
        <v>0</v>
      </c>
      <c r="GZ236" s="9" t="n">
        <v>0</v>
      </c>
      <c r="HA236" s="11" t="n">
        <f aca="false">(GW236+GX236+GY236+GZ236)/4</f>
        <v>0</v>
      </c>
      <c r="HB236" s="9"/>
      <c r="HC236" s="9" t="n">
        <f aca="false">(GX236/GS236)</f>
        <v>0</v>
      </c>
      <c r="HD236" s="9" t="n">
        <f aca="false">(GY236/GT236)</f>
        <v>0</v>
      </c>
      <c r="HE236" s="9" t="n">
        <f aca="false">(GZ236/GU236)/4</f>
        <v>0</v>
      </c>
      <c r="HF236" s="9" t="n">
        <f aca="false">(HB236+HC236+HD236+HE236)/4</f>
        <v>0</v>
      </c>
      <c r="HG236" s="9" t="n">
        <f aca="false">(100*HF236)</f>
        <v>0</v>
      </c>
      <c r="HH236" s="18" t="n">
        <v>0</v>
      </c>
      <c r="HI236" s="9" t="n">
        <v>4</v>
      </c>
      <c r="HJ236" s="9" t="n">
        <v>4</v>
      </c>
      <c r="HK236" s="9" t="n">
        <v>6</v>
      </c>
      <c r="HL236" s="19" t="n">
        <v>4</v>
      </c>
      <c r="HM236" s="9" t="n">
        <f aca="false">(HI236+HJ236+HK236+HL236)/4</f>
        <v>4.5</v>
      </c>
      <c r="HN236" s="9" t="n">
        <f aca="false">(HI236/GR236)</f>
        <v>0.235294117647059</v>
      </c>
      <c r="HO236" s="9" t="n">
        <f aca="false">(HJ236/GS236)</f>
        <v>0.8</v>
      </c>
      <c r="HP236" s="9" t="n">
        <f aca="false">(HK236/GT236)</f>
        <v>0.461538461538462</v>
      </c>
      <c r="HQ236" s="9" t="n">
        <f aca="false">(HL236/GU236)</f>
        <v>0.666666666666667</v>
      </c>
      <c r="HR236" s="9" t="n">
        <f aca="false">(HM236/GV236)</f>
        <v>0.439024390243902</v>
      </c>
      <c r="HS236" s="9" t="n">
        <f aca="false">(100*HR236)</f>
        <v>43.9024390243903</v>
      </c>
      <c r="HT236" s="18" t="n">
        <v>3</v>
      </c>
      <c r="HU236" s="9" t="n">
        <v>0</v>
      </c>
      <c r="HV236" s="9" t="n">
        <v>0</v>
      </c>
      <c r="HW236" s="9" t="n">
        <v>0</v>
      </c>
      <c r="HX236" s="19" t="n">
        <v>4</v>
      </c>
      <c r="HY236" s="9" t="n">
        <f aca="false">(HU236+HV236+HW236+HX236)/4</f>
        <v>1</v>
      </c>
      <c r="HZ236" s="9" t="n">
        <f aca="false">(HU236/GR236)</f>
        <v>0</v>
      </c>
      <c r="IA236" s="9" t="n">
        <f aca="false">HV236/GS236</f>
        <v>0</v>
      </c>
      <c r="IB236" s="9" t="n">
        <f aca="false">(HW236/GT236)</f>
        <v>0</v>
      </c>
      <c r="IC236" s="9" t="n">
        <f aca="false">(HX236/GU236)</f>
        <v>0.666666666666667</v>
      </c>
      <c r="ID236" s="9" t="n">
        <f aca="false">(HY236/GV236)</f>
        <v>0.0975609756097561</v>
      </c>
      <c r="IE236" s="9" t="n">
        <f aca="false">(100*ID236)</f>
        <v>9.75609756097561</v>
      </c>
      <c r="IF236" s="18" t="n">
        <v>1</v>
      </c>
      <c r="IG236" s="9" t="n">
        <v>1</v>
      </c>
      <c r="IH236" s="9" t="n">
        <v>2</v>
      </c>
      <c r="II236" s="19" t="n">
        <v>2</v>
      </c>
      <c r="IJ236" s="9" t="n">
        <v>12</v>
      </c>
      <c r="IK236" s="9" t="n">
        <f aca="false">(IG236+IH236+II236+IJ236)/4</f>
        <v>4.25</v>
      </c>
      <c r="IL236" s="9" t="n">
        <f aca="false">(IG236/GM236)</f>
        <v>0.0120481927710843</v>
      </c>
      <c r="IM236" s="9" t="n">
        <f aca="false">(IH236/GN236)</f>
        <v>0.0307692307692308</v>
      </c>
      <c r="IN236" s="9" t="n">
        <f aca="false">(II236/GO236)</f>
        <v>0.0206185567010309</v>
      </c>
      <c r="IO236" s="9" t="n">
        <f aca="false">(IJ236/GP236)</f>
        <v>0.116504854368932</v>
      </c>
      <c r="IP236" s="9" t="n">
        <f aca="false">(IK236/GQ236)</f>
        <v>0.0488505747126437</v>
      </c>
      <c r="IQ236" s="9" t="n">
        <f aca="false">(100*IP236)</f>
        <v>4.88505747126437</v>
      </c>
      <c r="IR236" s="18" t="n">
        <v>1</v>
      </c>
      <c r="IS236" s="9" t="n">
        <v>52.5</v>
      </c>
      <c r="IT236" s="9" t="n">
        <v>61.7</v>
      </c>
      <c r="IU236" s="19" t="n">
        <v>78.2</v>
      </c>
      <c r="IV236" s="9" t="n">
        <v>59</v>
      </c>
      <c r="IW236" s="9" t="n">
        <f aca="false">(IS236+IT236+IU236+IV236)/4</f>
        <v>62.85</v>
      </c>
      <c r="IX236" s="16" t="n">
        <v>45211</v>
      </c>
      <c r="IY236" s="10" t="s">
        <v>268</v>
      </c>
    </row>
    <row r="237" customFormat="false" ht="15.75" hidden="false" customHeight="true" outlineLevel="0" collapsed="false">
      <c r="A237" s="9" t="s">
        <v>343</v>
      </c>
      <c r="B237" s="10" t="s">
        <v>794</v>
      </c>
      <c r="C237" s="10" t="s">
        <v>727</v>
      </c>
      <c r="D237" s="9" t="n">
        <v>3</v>
      </c>
      <c r="E237" s="9" t="n">
        <v>79</v>
      </c>
      <c r="F237" s="10" t="s">
        <v>797</v>
      </c>
      <c r="G237" s="10" t="s">
        <v>297</v>
      </c>
      <c r="H237" s="9" t="n">
        <v>21</v>
      </c>
      <c r="I237" s="9" t="n">
        <v>10</v>
      </c>
      <c r="J237" s="12" t="s">
        <v>270</v>
      </c>
      <c r="K237" s="20"/>
      <c r="L237" s="20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 t="n">
        <v>0</v>
      </c>
      <c r="Y237" s="9" t="n">
        <v>0</v>
      </c>
      <c r="Z237" s="9" t="n">
        <v>0</v>
      </c>
      <c r="AA237" s="9" t="n">
        <v>0</v>
      </c>
      <c r="AB237" s="11" t="n">
        <f aca="false">(X237+Y237+Z237+AA237)/4</f>
        <v>0</v>
      </c>
      <c r="AC237" s="9" t="n">
        <v>0</v>
      </c>
      <c r="AD237" s="9" t="n">
        <v>1</v>
      </c>
      <c r="AE237" s="9" t="n">
        <v>1</v>
      </c>
      <c r="AF237" s="9" t="n">
        <v>1</v>
      </c>
      <c r="AG237" s="11" t="n">
        <f aca="false">(AC237+AD237+AE237+AF237)/4</f>
        <v>0.75</v>
      </c>
      <c r="AH237" s="9" t="n">
        <v>1</v>
      </c>
      <c r="AI237" s="9" t="n">
        <v>0</v>
      </c>
      <c r="AJ237" s="9" t="n">
        <v>0</v>
      </c>
      <c r="AK237" s="9" t="n">
        <v>0</v>
      </c>
      <c r="AL237" s="11" t="n">
        <f aca="false">(AH237+AI237+AJ237+AK237)/4</f>
        <v>0.25</v>
      </c>
      <c r="AM237" s="9" t="n">
        <v>31</v>
      </c>
      <c r="AN237" s="9" t="n">
        <v>51</v>
      </c>
      <c r="AO237" s="9" t="n">
        <v>26</v>
      </c>
      <c r="AP237" s="9" t="n">
        <v>26</v>
      </c>
      <c r="AQ237" s="11" t="n">
        <f aca="false">(AM237+AN237+AO237+AP237)/4</f>
        <v>33.5</v>
      </c>
      <c r="AR237" s="9" t="n">
        <v>4</v>
      </c>
      <c r="AS237" s="9" t="n">
        <v>6</v>
      </c>
      <c r="AT237" s="9" t="n">
        <v>6</v>
      </c>
      <c r="AU237" s="9" t="n">
        <v>7</v>
      </c>
      <c r="AV237" s="11" t="n">
        <f aca="false">(AR237+AS237+AT237+AU237)/4</f>
        <v>5.75</v>
      </c>
      <c r="AW237" s="9" t="n">
        <v>0</v>
      </c>
      <c r="AX237" s="9" t="n">
        <v>0</v>
      </c>
      <c r="AY237" s="9" t="n">
        <v>0</v>
      </c>
      <c r="AZ237" s="9" t="n">
        <v>0</v>
      </c>
      <c r="BA237" s="11" t="n">
        <f aca="false">(AW237+AX237+AY237+AZ237)/4</f>
        <v>0</v>
      </c>
      <c r="BB237" s="11" t="n">
        <f aca="false">(AW237/AR237)</f>
        <v>0</v>
      </c>
      <c r="BC237" s="11" t="n">
        <f aca="false">(AX237/AS237)</f>
        <v>0</v>
      </c>
      <c r="BD237" s="11" t="n">
        <f aca="false">(AY237/AT237)</f>
        <v>0</v>
      </c>
      <c r="BE237" s="11" t="n">
        <f aca="false">(AZ237/AU237)</f>
        <v>0</v>
      </c>
      <c r="BF237" s="11" t="n">
        <f aca="false">(BA237/AV237)</f>
        <v>0</v>
      </c>
      <c r="BG237" s="11" t="n">
        <f aca="false">(BF237*100)</f>
        <v>0</v>
      </c>
      <c r="BH237" s="9" t="n">
        <v>0</v>
      </c>
      <c r="BI237" s="9" t="n">
        <v>0</v>
      </c>
      <c r="BJ237" s="9" t="n">
        <v>2</v>
      </c>
      <c r="BK237" s="9" t="n">
        <v>4</v>
      </c>
      <c r="BL237" s="9" t="n">
        <v>4</v>
      </c>
      <c r="BM237" s="11" t="n">
        <f aca="false">(BI237+BJ237+BK237+BL237)/4</f>
        <v>2.5</v>
      </c>
      <c r="BN237" s="11" t="n">
        <f aca="false">(BI237/AR237)</f>
        <v>0</v>
      </c>
      <c r="BO237" s="11" t="n">
        <f aca="false">(BJ237/AS237)</f>
        <v>0.333333333333333</v>
      </c>
      <c r="BP237" s="11" t="n">
        <f aca="false">(BK237/AT237)</f>
        <v>0.666666666666667</v>
      </c>
      <c r="BQ237" s="11" t="n">
        <f aca="false">(BL237/AU237)</f>
        <v>0.571428571428571</v>
      </c>
      <c r="BR237" s="11" t="n">
        <f aca="false">(BM237/AV237)</f>
        <v>0.434782608695652</v>
      </c>
      <c r="BS237" s="11" t="n">
        <f aca="false">(100*BR237)</f>
        <v>43.4782608695652</v>
      </c>
      <c r="BT237" s="9" t="n">
        <v>3</v>
      </c>
      <c r="BU237" s="9" t="n">
        <v>0</v>
      </c>
      <c r="BV237" s="9" t="n">
        <v>0</v>
      </c>
      <c r="BW237" s="9" t="n">
        <v>0</v>
      </c>
      <c r="BX237" s="9" t="n">
        <v>0</v>
      </c>
      <c r="BY237" s="11" t="n">
        <f aca="false">(BU237+BV237+BW237+BX237)/4</f>
        <v>0</v>
      </c>
      <c r="BZ237" s="11" t="n">
        <f aca="false">(BU237/AR237)</f>
        <v>0</v>
      </c>
      <c r="CA237" s="11" t="n">
        <f aca="false">(BV237/AS237)</f>
        <v>0</v>
      </c>
      <c r="CB237" s="11" t="n">
        <f aca="false">(BW237/AT237)</f>
        <v>0</v>
      </c>
      <c r="CC237" s="11" t="n">
        <f aca="false">(BX237/AU237)</f>
        <v>0</v>
      </c>
      <c r="CD237" s="11" t="n">
        <f aca="false">(BY237/AV237)</f>
        <v>0</v>
      </c>
      <c r="CE237" s="11" t="n">
        <f aca="false">(100*CD237)</f>
        <v>0</v>
      </c>
      <c r="CF237" s="9" t="n">
        <v>0</v>
      </c>
      <c r="CG237" s="9" t="n">
        <v>7</v>
      </c>
      <c r="CH237" s="9" t="n">
        <v>0</v>
      </c>
      <c r="CI237" s="9" t="n">
        <v>0</v>
      </c>
      <c r="CJ237" s="9" t="n">
        <v>0</v>
      </c>
      <c r="CK237" s="11" t="n">
        <f aca="false">(CG237+CH237+CI237+CJ237)/4</f>
        <v>1.75</v>
      </c>
      <c r="CL237" s="11" t="n">
        <f aca="false">(CG237/AM237)</f>
        <v>0.225806451612903</v>
      </c>
      <c r="CM237" s="11" t="n">
        <f aca="false">(CH237/AN237)</f>
        <v>0</v>
      </c>
      <c r="CN237" s="11" t="n">
        <f aca="false">(CI237/AO237)</f>
        <v>0</v>
      </c>
      <c r="CO237" s="9" t="n">
        <f aca="false">(CJ237/AP237)</f>
        <v>0</v>
      </c>
      <c r="CP237" s="9" t="n">
        <f aca="false">(CK237/AQ237)</f>
        <v>0.0522388059701493</v>
      </c>
      <c r="CQ237" s="9" t="n">
        <f aca="false">(100*CP237)</f>
        <v>5.22388059701493</v>
      </c>
      <c r="CR237" s="18" t="n">
        <v>1</v>
      </c>
      <c r="CS237" s="9" t="n">
        <v>53.6</v>
      </c>
      <c r="CT237" s="9" t="n">
        <v>54.5</v>
      </c>
      <c r="CU237" s="9" t="n">
        <v>69.1</v>
      </c>
      <c r="CV237" s="9" t="n">
        <v>66.4</v>
      </c>
      <c r="CW237" s="11" t="n">
        <f aca="false">(CS237+CT237+CU237+CV237)/4</f>
        <v>60.9</v>
      </c>
      <c r="CX237" s="9" t="n">
        <v>0</v>
      </c>
      <c r="CY237" s="9" t="n">
        <v>0</v>
      </c>
      <c r="CZ237" s="9" t="n">
        <v>0</v>
      </c>
      <c r="DA237" s="9" t="n">
        <v>0</v>
      </c>
      <c r="DB237" s="11" t="n">
        <f aca="false">(CX237+CY237+CZ237+DA237)/4</f>
        <v>0</v>
      </c>
      <c r="DC237" s="9" t="n">
        <v>1</v>
      </c>
      <c r="DD237" s="9" t="n">
        <v>1</v>
      </c>
      <c r="DE237" s="9" t="n">
        <v>1</v>
      </c>
      <c r="DF237" s="9" t="n">
        <v>1</v>
      </c>
      <c r="DG237" s="11" t="n">
        <f aca="false">(DC237+DD237+DE237+DF237)/4</f>
        <v>1</v>
      </c>
      <c r="DH237" s="9" t="n">
        <v>1</v>
      </c>
      <c r="DI237" s="9" t="n">
        <v>1</v>
      </c>
      <c r="DJ237" s="9" t="n">
        <v>1</v>
      </c>
      <c r="DK237" s="9" t="n">
        <v>1</v>
      </c>
      <c r="DL237" s="11" t="n">
        <f aca="false">(DH237+DI237+DJ237+DK237)/4</f>
        <v>1</v>
      </c>
      <c r="DM237" s="9" t="n">
        <v>50</v>
      </c>
      <c r="DN237" s="9" t="n">
        <v>170</v>
      </c>
      <c r="DO237" s="9" t="n">
        <v>74</v>
      </c>
      <c r="DP237" s="9" t="n">
        <v>96</v>
      </c>
      <c r="DQ237" s="11" t="n">
        <f aca="false">(DM237+DN237+DO237+DP237)/4</f>
        <v>97.5</v>
      </c>
      <c r="DR237" s="9" t="n">
        <v>8</v>
      </c>
      <c r="DS237" s="9" t="n">
        <v>10</v>
      </c>
      <c r="DT237" s="9" t="n">
        <v>10</v>
      </c>
      <c r="DU237" s="9" t="n">
        <v>8</v>
      </c>
      <c r="DV237" s="11" t="n">
        <f aca="false">(DR237+DS237+DT237+DU237)/4</f>
        <v>9</v>
      </c>
      <c r="DW237" s="9" t="n">
        <v>0</v>
      </c>
      <c r="DX237" s="9" t="n">
        <v>0</v>
      </c>
      <c r="DY237" s="9" t="n">
        <v>0</v>
      </c>
      <c r="DZ237" s="9" t="n">
        <v>0</v>
      </c>
      <c r="EA237" s="11" t="n">
        <f aca="false">(DW237+DX237+DY237+DZ237)/4</f>
        <v>0</v>
      </c>
      <c r="EB237" s="11" t="n">
        <f aca="false">(DW237/DR237)</f>
        <v>0</v>
      </c>
      <c r="EC237" s="11" t="n">
        <f aca="false">(DX237/DS237)</f>
        <v>0</v>
      </c>
      <c r="ED237" s="11" t="n">
        <f aca="false">(DY237/DT237)</f>
        <v>0</v>
      </c>
      <c r="EE237" s="11" t="n">
        <f aca="false">(DZ237/DU237)</f>
        <v>0</v>
      </c>
      <c r="EF237" s="11" t="n">
        <f aca="false">(EA237/DV237)</f>
        <v>0</v>
      </c>
      <c r="EG237" s="11" t="n">
        <f aca="false">(100*EF237)</f>
        <v>0</v>
      </c>
      <c r="EH237" s="9" t="n">
        <v>0</v>
      </c>
      <c r="EI237" s="9" t="n">
        <v>1</v>
      </c>
      <c r="EJ237" s="9" t="n">
        <v>3</v>
      </c>
      <c r="EK237" s="19" t="n">
        <v>4</v>
      </c>
      <c r="EL237" s="9" t="n">
        <v>4</v>
      </c>
      <c r="EM237" s="9" t="n">
        <f aca="false">(EI237+EJ237+EK237+EL237)/4</f>
        <v>3</v>
      </c>
      <c r="EN237" s="9" t="n">
        <f aca="false">(EI237/DR237)</f>
        <v>0.125</v>
      </c>
      <c r="EO237" s="9" t="n">
        <f aca="false">(EJ237/DS237)</f>
        <v>0.3</v>
      </c>
      <c r="EP237" s="9" t="n">
        <f aca="false">(EK237/DT237)</f>
        <v>0.4</v>
      </c>
      <c r="EQ237" s="9" t="n">
        <f aca="false">(EL237/DU237)</f>
        <v>0.5</v>
      </c>
      <c r="ER237" s="9" t="n">
        <f aca="false">EM237/DV237</f>
        <v>0.333333333333333</v>
      </c>
      <c r="ES237" s="9" t="n">
        <f aca="false">(100*ER237)</f>
        <v>33.3333333333333</v>
      </c>
      <c r="ET237" s="9" t="n">
        <v>1</v>
      </c>
      <c r="EU237" s="18" t="n">
        <v>0</v>
      </c>
      <c r="EV237" s="9" t="n">
        <v>0</v>
      </c>
      <c r="EW237" s="9" t="n">
        <v>0</v>
      </c>
      <c r="EX237" s="9" t="n">
        <v>0</v>
      </c>
      <c r="EY237" s="11" t="n">
        <f aca="false">(EU237+EV237+EW237+EX237)/4</f>
        <v>0</v>
      </c>
      <c r="EZ237" s="11" t="n">
        <f aca="false">(EU237/DR237)</f>
        <v>0</v>
      </c>
      <c r="FA237" s="11" t="n">
        <f aca="false">(EV237/DS237)</f>
        <v>0</v>
      </c>
      <c r="FB237" s="11" t="n">
        <f aca="false">(EW237/DT237)</f>
        <v>0</v>
      </c>
      <c r="FC237" s="11" t="n">
        <f aca="false">(EX237/DU237)</f>
        <v>0</v>
      </c>
      <c r="FD237" s="11" t="n">
        <f aca="false">(EY237/DV237)</f>
        <v>0</v>
      </c>
      <c r="FE237" s="11" t="n">
        <f aca="false">(100*FD237)</f>
        <v>0</v>
      </c>
      <c r="FF237" s="9" t="n">
        <v>0</v>
      </c>
      <c r="FG237" s="9" t="n">
        <v>3</v>
      </c>
      <c r="FH237" s="9" t="n">
        <v>1</v>
      </c>
      <c r="FI237" s="9" t="n">
        <v>3</v>
      </c>
      <c r="FJ237" s="9" t="n">
        <v>9</v>
      </c>
      <c r="FK237" s="11" t="n">
        <f aca="false">(FG237+FH237+FI237+FJ237)/4</f>
        <v>4</v>
      </c>
      <c r="FL237" s="11" t="n">
        <f aca="false">(FG237/DR237)</f>
        <v>0.375</v>
      </c>
      <c r="FM237" s="11" t="n">
        <f aca="false">(FH237/DS237)</f>
        <v>0.1</v>
      </c>
      <c r="FN237" s="11" t="n">
        <f aca="false">(FI237/DT237)</f>
        <v>0.3</v>
      </c>
      <c r="FO237" s="11" t="n">
        <f aca="false">(FJ237/DU237)</f>
        <v>1.125</v>
      </c>
      <c r="FP237" s="11" t="n">
        <f aca="false">(FK237/DV237)</f>
        <v>0.444444444444444</v>
      </c>
      <c r="FQ237" s="11" t="n">
        <f aca="false">(100*FP237)</f>
        <v>44.4444444444444</v>
      </c>
      <c r="FR237" s="9" t="n">
        <v>3</v>
      </c>
      <c r="FS237" s="9" t="n">
        <v>70.9</v>
      </c>
      <c r="FT237" s="9" t="n">
        <v>54</v>
      </c>
      <c r="FU237" s="9" t="n">
        <v>72.2</v>
      </c>
      <c r="FV237" s="9" t="n">
        <v>70.2</v>
      </c>
      <c r="FW237" s="11" t="n">
        <f aca="false">(FS237+FT237+FU237+FV237)/4</f>
        <v>66.825</v>
      </c>
      <c r="FX237" s="9" t="n">
        <v>0</v>
      </c>
      <c r="FY237" s="9" t="n">
        <v>0</v>
      </c>
      <c r="FZ237" s="9" t="n">
        <v>0</v>
      </c>
      <c r="GA237" s="9" t="n">
        <v>1</v>
      </c>
      <c r="GB237" s="11" t="n">
        <f aca="false">(FX237+FY237+FZ237+GA237)/4</f>
        <v>0.25</v>
      </c>
      <c r="GC237" s="9" t="n">
        <v>1</v>
      </c>
      <c r="GD237" s="9" t="n">
        <v>1</v>
      </c>
      <c r="GE237" s="9" t="n">
        <v>1</v>
      </c>
      <c r="GF237" s="9" t="n">
        <v>1</v>
      </c>
      <c r="GG237" s="11" t="n">
        <f aca="false">(GC237+GD237+GE237+GF237)/4</f>
        <v>1</v>
      </c>
      <c r="GH237" s="9" t="n">
        <v>1</v>
      </c>
      <c r="GI237" s="9" t="n">
        <v>1</v>
      </c>
      <c r="GJ237" s="9" t="n">
        <v>1</v>
      </c>
      <c r="GK237" s="9" t="n">
        <v>0</v>
      </c>
      <c r="GL237" s="11" t="n">
        <f aca="false">(GH237+GI237+GJ237+GK237)/4</f>
        <v>0.75</v>
      </c>
      <c r="GM237" s="9" t="n">
        <v>58</v>
      </c>
      <c r="GN237" s="9" t="n">
        <v>98</v>
      </c>
      <c r="GO237" s="9" t="n">
        <v>102</v>
      </c>
      <c r="GP237" s="9" t="n">
        <v>53</v>
      </c>
      <c r="GQ237" s="11" t="n">
        <f aca="false">(GM237+GN237+GO237+GP237)/4</f>
        <v>77.75</v>
      </c>
      <c r="GR237" s="9" t="n">
        <v>22</v>
      </c>
      <c r="GS237" s="9" t="n">
        <v>9</v>
      </c>
      <c r="GT237" s="9" t="n">
        <v>18</v>
      </c>
      <c r="GU237" s="9" t="n">
        <v>11</v>
      </c>
      <c r="GV237" s="11" t="n">
        <f aca="false">(GR237+GS237+GT237+GU237)/4</f>
        <v>15</v>
      </c>
      <c r="GW237" s="9" t="n">
        <v>0</v>
      </c>
      <c r="GX237" s="9" t="n">
        <v>0</v>
      </c>
      <c r="GY237" s="9" t="n">
        <v>0</v>
      </c>
      <c r="GZ237" s="9" t="n">
        <v>1</v>
      </c>
      <c r="HA237" s="11" t="n">
        <f aca="false">(GW237+GX237+GY237+GZ237)/4</f>
        <v>0.25</v>
      </c>
      <c r="HB237" s="9"/>
      <c r="HC237" s="9" t="n">
        <f aca="false">(GX237/GS237)</f>
        <v>0</v>
      </c>
      <c r="HD237" s="9" t="n">
        <f aca="false">(GY237/GT237)</f>
        <v>0</v>
      </c>
      <c r="HE237" s="9" t="n">
        <f aca="false">(GZ237/GU237)/4</f>
        <v>0.0227272727272727</v>
      </c>
      <c r="HF237" s="9" t="n">
        <f aca="false">(HB237+HC237+HD237+HE237)/4</f>
        <v>0.00568181818181818</v>
      </c>
      <c r="HG237" s="9" t="n">
        <f aca="false">(100*HF237)</f>
        <v>0.568181818181818</v>
      </c>
      <c r="HH237" s="18" t="n">
        <v>1</v>
      </c>
      <c r="HI237" s="9" t="n">
        <v>7</v>
      </c>
      <c r="HJ237" s="9" t="n">
        <v>7</v>
      </c>
      <c r="HK237" s="9" t="n">
        <v>6</v>
      </c>
      <c r="HL237" s="19" t="n">
        <v>4</v>
      </c>
      <c r="HM237" s="9" t="n">
        <f aca="false">(HI237+HJ237+HK237+HL237)/4</f>
        <v>6</v>
      </c>
      <c r="HN237" s="9" t="n">
        <f aca="false">(HI237/GR237)</f>
        <v>0.318181818181818</v>
      </c>
      <c r="HO237" s="9" t="n">
        <f aca="false">(HJ237/GS237)</f>
        <v>0.777777777777778</v>
      </c>
      <c r="HP237" s="9" t="n">
        <f aca="false">(HK237/GT237)</f>
        <v>0.333333333333333</v>
      </c>
      <c r="HQ237" s="9" t="n">
        <f aca="false">(HL237/GU237)</f>
        <v>0.363636363636364</v>
      </c>
      <c r="HR237" s="9" t="n">
        <f aca="false">(HM237/GV237)</f>
        <v>0.4</v>
      </c>
      <c r="HS237" s="9" t="n">
        <f aca="false">(100*HR237)</f>
        <v>40</v>
      </c>
      <c r="HT237" s="18" t="n">
        <v>3</v>
      </c>
      <c r="HU237" s="9" t="n">
        <v>0</v>
      </c>
      <c r="HV237" s="9" t="n">
        <v>0</v>
      </c>
      <c r="HW237" s="9" t="n">
        <v>0</v>
      </c>
      <c r="HX237" s="19" t="n">
        <v>0</v>
      </c>
      <c r="HY237" s="9" t="n">
        <f aca="false">(HU237+HV237+HW237+HX237)/4</f>
        <v>0</v>
      </c>
      <c r="HZ237" s="9" t="n">
        <f aca="false">(HU237/GR237)</f>
        <v>0</v>
      </c>
      <c r="IA237" s="9" t="n">
        <f aca="false">HV237/GS237</f>
        <v>0</v>
      </c>
      <c r="IB237" s="9" t="n">
        <f aca="false">(HW237/GT237)</f>
        <v>0</v>
      </c>
      <c r="IC237" s="9" t="n">
        <f aca="false">(HX237/GU237)</f>
        <v>0</v>
      </c>
      <c r="ID237" s="9" t="n">
        <f aca="false">(HY237/GV237)</f>
        <v>0</v>
      </c>
      <c r="IE237" s="9" t="n">
        <f aca="false">(100*ID237)</f>
        <v>0</v>
      </c>
      <c r="IF237" s="18" t="n">
        <v>0</v>
      </c>
      <c r="IG237" s="9" t="n">
        <v>6</v>
      </c>
      <c r="IH237" s="9" t="n">
        <v>9</v>
      </c>
      <c r="II237" s="19" t="n">
        <v>2</v>
      </c>
      <c r="IJ237" s="9" t="n">
        <v>0</v>
      </c>
      <c r="IK237" s="9" t="n">
        <f aca="false">(IG237+IH237+II237+IJ237)/4</f>
        <v>4.25</v>
      </c>
      <c r="IL237" s="9" t="n">
        <f aca="false">(IG237/GM237)</f>
        <v>0.103448275862069</v>
      </c>
      <c r="IM237" s="9" t="n">
        <f aca="false">(IH237/GN237)</f>
        <v>0.0918367346938776</v>
      </c>
      <c r="IN237" s="9" t="n">
        <f aca="false">(II237/GO237)</f>
        <v>0.0196078431372549</v>
      </c>
      <c r="IO237" s="9" t="n">
        <f aca="false">(IJ237/GP237)</f>
        <v>0</v>
      </c>
      <c r="IP237" s="9" t="n">
        <f aca="false">(IK237/GQ237)</f>
        <v>0.0546623794212219</v>
      </c>
      <c r="IQ237" s="9" t="n">
        <f aca="false">(100*IP237)</f>
        <v>5.46623794212219</v>
      </c>
      <c r="IR237" s="18" t="n">
        <v>1</v>
      </c>
      <c r="IS237" s="9" t="n">
        <v>53.8</v>
      </c>
      <c r="IT237" s="9" t="n">
        <v>68.2</v>
      </c>
      <c r="IU237" s="19" t="n">
        <v>58.9</v>
      </c>
      <c r="IV237" s="9" t="n">
        <v>53.3</v>
      </c>
      <c r="IW237" s="9" t="n">
        <f aca="false">(IS237+IT237+IU237+IV237)/4</f>
        <v>58.55</v>
      </c>
      <c r="IX237" s="16" t="n">
        <v>45211</v>
      </c>
      <c r="IY237" s="10" t="s">
        <v>268</v>
      </c>
    </row>
    <row r="238" customFormat="false" ht="15.75" hidden="false" customHeight="true" outlineLevel="0" collapsed="false">
      <c r="A238" s="9" t="s">
        <v>343</v>
      </c>
      <c r="B238" s="10" t="s">
        <v>794</v>
      </c>
      <c r="C238" s="10" t="s">
        <v>727</v>
      </c>
      <c r="D238" s="9" t="n">
        <v>3</v>
      </c>
      <c r="E238" s="9" t="n">
        <v>79</v>
      </c>
      <c r="F238" s="10" t="s">
        <v>798</v>
      </c>
      <c r="G238" s="10" t="s">
        <v>297</v>
      </c>
      <c r="H238" s="9" t="n">
        <v>21</v>
      </c>
      <c r="I238" s="9" t="n">
        <v>20</v>
      </c>
      <c r="J238" s="10" t="s">
        <v>272</v>
      </c>
      <c r="K238" s="20"/>
      <c r="L238" s="20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 t="n">
        <v>0</v>
      </c>
      <c r="Y238" s="9" t="n">
        <v>0</v>
      </c>
      <c r="Z238" s="9" t="n">
        <v>0</v>
      </c>
      <c r="AA238" s="9" t="n">
        <v>1</v>
      </c>
      <c r="AB238" s="11" t="n">
        <f aca="false">(X238+Y238+Z238+AA238)/4</f>
        <v>0.25</v>
      </c>
      <c r="AC238" s="9" t="n">
        <v>1</v>
      </c>
      <c r="AD238" s="9" t="n">
        <v>1</v>
      </c>
      <c r="AE238" s="9" t="n">
        <v>1</v>
      </c>
      <c r="AF238" s="9" t="n">
        <v>1</v>
      </c>
      <c r="AG238" s="11" t="n">
        <f aca="false">(AC238+AD238+AE238+AF238)/4</f>
        <v>1</v>
      </c>
      <c r="AH238" s="9" t="n">
        <v>1</v>
      </c>
      <c r="AI238" s="9" t="n">
        <v>1</v>
      </c>
      <c r="AJ238" s="9" t="n">
        <v>1</v>
      </c>
      <c r="AK238" s="9" t="n">
        <v>1</v>
      </c>
      <c r="AL238" s="11" t="n">
        <f aca="false">(AH238+AI238+AJ238+AK238)/4</f>
        <v>1</v>
      </c>
      <c r="AM238" s="9" t="n">
        <v>175</v>
      </c>
      <c r="AN238" s="9" t="n">
        <v>192</v>
      </c>
      <c r="AO238" s="9" t="n">
        <v>112</v>
      </c>
      <c r="AP238" s="9" t="n">
        <v>73</v>
      </c>
      <c r="AQ238" s="11" t="n">
        <f aca="false">(AM238+AN238+AO238+AP238)/4</f>
        <v>138</v>
      </c>
      <c r="AR238" s="9" t="n">
        <v>44</v>
      </c>
      <c r="AS238" s="9" t="n">
        <v>74</v>
      </c>
      <c r="AT238" s="9" t="n">
        <v>37</v>
      </c>
      <c r="AU238" s="9" t="n">
        <v>20</v>
      </c>
      <c r="AV238" s="11" t="n">
        <f aca="false">(AR238+AS238+AT238+AU238)/4</f>
        <v>43.75</v>
      </c>
      <c r="AW238" s="9" t="n">
        <v>0</v>
      </c>
      <c r="AX238" s="9" t="n">
        <v>0</v>
      </c>
      <c r="AY238" s="9" t="n">
        <v>0</v>
      </c>
      <c r="AZ238" s="9" t="n">
        <v>1</v>
      </c>
      <c r="BA238" s="11" t="n">
        <f aca="false">(AW238+AX238+AY238+AZ238)/4</f>
        <v>0.25</v>
      </c>
      <c r="BB238" s="11" t="n">
        <f aca="false">(AW238/AR238)</f>
        <v>0</v>
      </c>
      <c r="BC238" s="11" t="n">
        <f aca="false">(AX238/AS238)</f>
        <v>0</v>
      </c>
      <c r="BD238" s="11" t="n">
        <f aca="false">(AY238/AT238)</f>
        <v>0</v>
      </c>
      <c r="BE238" s="11" t="n">
        <f aca="false">(AZ238/AU238)</f>
        <v>0.05</v>
      </c>
      <c r="BF238" s="11" t="n">
        <f aca="false">(BA238/AV238)</f>
        <v>0.00571428571428571</v>
      </c>
      <c r="BG238" s="11" t="n">
        <f aca="false">(BF238*100)</f>
        <v>0.571428571428571</v>
      </c>
      <c r="BH238" s="9" t="n">
        <v>1</v>
      </c>
      <c r="BI238" s="9" t="n">
        <v>13</v>
      </c>
      <c r="BJ238" s="9" t="n">
        <v>20</v>
      </c>
      <c r="BK238" s="9" t="n">
        <v>4</v>
      </c>
      <c r="BL238" s="9" t="n">
        <v>3</v>
      </c>
      <c r="BM238" s="11" t="n">
        <f aca="false">(BI238+BJ238+BK238+BL238)/4</f>
        <v>10</v>
      </c>
      <c r="BN238" s="11" t="n">
        <f aca="false">(BI238/AR238)</f>
        <v>0.295454545454545</v>
      </c>
      <c r="BO238" s="11" t="n">
        <f aca="false">(BJ238/AS238)</f>
        <v>0.27027027027027</v>
      </c>
      <c r="BP238" s="11" t="n">
        <f aca="false">(BK238/AT238)</f>
        <v>0.108108108108108</v>
      </c>
      <c r="BQ238" s="11" t="n">
        <f aca="false">(BL238/AU238)</f>
        <v>0.15</v>
      </c>
      <c r="BR238" s="11" t="n">
        <f aca="false">(BM238/AV238)</f>
        <v>0.228571428571429</v>
      </c>
      <c r="BS238" s="11" t="n">
        <f aca="false">(100*BR238)</f>
        <v>22.8571428571429</v>
      </c>
      <c r="BT238" s="9" t="n">
        <v>2</v>
      </c>
      <c r="BU238" s="9" t="n">
        <v>0</v>
      </c>
      <c r="BV238" s="9" t="n">
        <v>0</v>
      </c>
      <c r="BW238" s="9" t="n">
        <v>0</v>
      </c>
      <c r="BX238" s="9" t="n">
        <v>0</v>
      </c>
      <c r="BY238" s="11" t="n">
        <f aca="false">(BU238+BV238+BW238+BX238)/4</f>
        <v>0</v>
      </c>
      <c r="BZ238" s="11" t="n">
        <f aca="false">(BU238/AR238)</f>
        <v>0</v>
      </c>
      <c r="CA238" s="11" t="n">
        <f aca="false">(BV238/AS238)</f>
        <v>0</v>
      </c>
      <c r="CB238" s="11" t="n">
        <f aca="false">(BW238/AT238)</f>
        <v>0</v>
      </c>
      <c r="CC238" s="11" t="n">
        <f aca="false">(BX238/AU238)</f>
        <v>0</v>
      </c>
      <c r="CD238" s="11" t="n">
        <f aca="false">(BY238/AV238)</f>
        <v>0</v>
      </c>
      <c r="CE238" s="11" t="n">
        <f aca="false">(100*CD238)</f>
        <v>0</v>
      </c>
      <c r="CF238" s="9" t="n">
        <v>0</v>
      </c>
      <c r="CG238" s="9" t="n">
        <v>25</v>
      </c>
      <c r="CH238" s="9" t="n">
        <v>12</v>
      </c>
      <c r="CI238" s="9" t="n">
        <v>30</v>
      </c>
      <c r="CJ238" s="9" t="n">
        <v>25</v>
      </c>
      <c r="CK238" s="11" t="n">
        <f aca="false">(CG238+CH238+CI238+CJ238)/4</f>
        <v>23</v>
      </c>
      <c r="CL238" s="11" t="n">
        <f aca="false">(CG238/AM238)</f>
        <v>0.142857142857143</v>
      </c>
      <c r="CM238" s="11" t="n">
        <f aca="false">(CH238/AN238)</f>
        <v>0.0625</v>
      </c>
      <c r="CN238" s="11" t="n">
        <f aca="false">(CI238/AO238)</f>
        <v>0.267857142857143</v>
      </c>
      <c r="CO238" s="9" t="n">
        <f aca="false">(CJ238/AP238)</f>
        <v>0.342465753424658</v>
      </c>
      <c r="CP238" s="9" t="n">
        <f aca="false">(CK238/AQ238)</f>
        <v>0.166666666666667</v>
      </c>
      <c r="CQ238" s="9" t="n">
        <f aca="false">(100*CP238)</f>
        <v>16.6666666666667</v>
      </c>
      <c r="CR238" s="18" t="n">
        <v>2</v>
      </c>
      <c r="CS238" s="9" t="n">
        <v>60.5</v>
      </c>
      <c r="CT238" s="9" t="n">
        <v>69.5</v>
      </c>
      <c r="CU238" s="9" t="n">
        <v>57.8</v>
      </c>
      <c r="CV238" s="9" t="n">
        <v>67.1</v>
      </c>
      <c r="CW238" s="11" t="n">
        <f aca="false">(CS238+CT238+CU238+CV238)/4</f>
        <v>63.725</v>
      </c>
      <c r="CX238" s="9" t="n">
        <v>1</v>
      </c>
      <c r="CY238" s="9" t="n">
        <v>0</v>
      </c>
      <c r="CZ238" s="9" t="n">
        <v>0</v>
      </c>
      <c r="DA238" s="9" t="n">
        <v>0</v>
      </c>
      <c r="DB238" s="11" t="n">
        <f aca="false">(CX238+CY238+CZ238+DA238)/4</f>
        <v>0.25</v>
      </c>
      <c r="DC238" s="9" t="n">
        <v>1</v>
      </c>
      <c r="DD238" s="9" t="n">
        <v>1</v>
      </c>
      <c r="DE238" s="9" t="n">
        <v>1</v>
      </c>
      <c r="DF238" s="9" t="n">
        <v>1</v>
      </c>
      <c r="DG238" s="11" t="n">
        <f aca="false">(DC238+DD238+DE238+DF238)/4</f>
        <v>1</v>
      </c>
      <c r="DH238" s="9" t="n">
        <v>1</v>
      </c>
      <c r="DI238" s="9" t="n">
        <v>1</v>
      </c>
      <c r="DJ238" s="9" t="n">
        <v>1</v>
      </c>
      <c r="DK238" s="9" t="n">
        <v>1</v>
      </c>
      <c r="DL238" s="11" t="n">
        <f aca="false">(DH238+DI238+DJ238+DK238)/4</f>
        <v>1</v>
      </c>
      <c r="DM238" s="9" t="n">
        <v>147</v>
      </c>
      <c r="DN238" s="9" t="n">
        <v>184</v>
      </c>
      <c r="DO238" s="9" t="n">
        <v>312</v>
      </c>
      <c r="DP238" s="9" t="n">
        <v>97</v>
      </c>
      <c r="DQ238" s="11" t="n">
        <f aca="false">(DM238+DN238+DO238+DP238)/4</f>
        <v>185</v>
      </c>
      <c r="DR238" s="9" t="n">
        <v>23</v>
      </c>
      <c r="DS238" s="9" t="n">
        <v>33</v>
      </c>
      <c r="DT238" s="9" t="n">
        <v>20</v>
      </c>
      <c r="DU238" s="9" t="n">
        <v>16</v>
      </c>
      <c r="DV238" s="11" t="n">
        <f aca="false">(DR238+DS238+DT238+DU238)/4</f>
        <v>23</v>
      </c>
      <c r="DW238" s="9" t="n">
        <v>1</v>
      </c>
      <c r="DX238" s="9" t="n">
        <v>0</v>
      </c>
      <c r="DY238" s="9" t="n">
        <v>0</v>
      </c>
      <c r="DZ238" s="9" t="n">
        <v>0</v>
      </c>
      <c r="EA238" s="11" t="n">
        <f aca="false">(DW238+DX238+DY238+DZ238)/4</f>
        <v>0.25</v>
      </c>
      <c r="EB238" s="11" t="n">
        <f aca="false">(DW238/DR238)</f>
        <v>0.0434782608695652</v>
      </c>
      <c r="EC238" s="11" t="n">
        <f aca="false">(DX238/DS238)</f>
        <v>0</v>
      </c>
      <c r="ED238" s="11" t="n">
        <f aca="false">(DY238/DT238)</f>
        <v>0</v>
      </c>
      <c r="EE238" s="11" t="n">
        <f aca="false">(DZ238/DU238)</f>
        <v>0</v>
      </c>
      <c r="EF238" s="11" t="n">
        <f aca="false">(EA238/DV238)</f>
        <v>0.0108695652173913</v>
      </c>
      <c r="EG238" s="11" t="n">
        <f aca="false">(100*EF238)</f>
        <v>1.08695652173913</v>
      </c>
      <c r="EH238" s="9" t="n">
        <v>1</v>
      </c>
      <c r="EI238" s="9" t="n">
        <v>7</v>
      </c>
      <c r="EJ238" s="9" t="n">
        <v>6</v>
      </c>
      <c r="EK238" s="19" t="n">
        <v>6</v>
      </c>
      <c r="EL238" s="9" t="n">
        <v>4</v>
      </c>
      <c r="EM238" s="9" t="n">
        <f aca="false">(EI238+EJ238+EK238+EL238)/4</f>
        <v>5.75</v>
      </c>
      <c r="EN238" s="9" t="n">
        <f aca="false">(EI238/DR238)</f>
        <v>0.304347826086957</v>
      </c>
      <c r="EO238" s="9" t="n">
        <f aca="false">(EJ238/DS238)</f>
        <v>0.181818181818182</v>
      </c>
      <c r="EP238" s="9" t="n">
        <f aca="false">(EK238/DT238)</f>
        <v>0.3</v>
      </c>
      <c r="EQ238" s="9" t="n">
        <f aca="false">(EL238/DU238)</f>
        <v>0.25</v>
      </c>
      <c r="ER238" s="9" t="n">
        <f aca="false">EM238/DV238</f>
        <v>0.25</v>
      </c>
      <c r="ES238" s="9" t="n">
        <f aca="false">(100*ER238)</f>
        <v>25</v>
      </c>
      <c r="ET238" s="9" t="n">
        <v>2</v>
      </c>
      <c r="EU238" s="18" t="n">
        <v>0</v>
      </c>
      <c r="EV238" s="9" t="n">
        <v>0</v>
      </c>
      <c r="EW238" s="9" t="n">
        <v>0</v>
      </c>
      <c r="EX238" s="9" t="n">
        <v>0</v>
      </c>
      <c r="EY238" s="11" t="n">
        <f aca="false">(EU238+EV238+EW238+EX238)/4</f>
        <v>0</v>
      </c>
      <c r="EZ238" s="11" t="n">
        <f aca="false">(EU238/DR238)</f>
        <v>0</v>
      </c>
      <c r="FA238" s="11" t="n">
        <f aca="false">(EV238/DS238)</f>
        <v>0</v>
      </c>
      <c r="FB238" s="11" t="n">
        <f aca="false">(EW238/DT238)</f>
        <v>0</v>
      </c>
      <c r="FC238" s="11" t="n">
        <f aca="false">(EX238/DU238)</f>
        <v>0</v>
      </c>
      <c r="FD238" s="11" t="n">
        <f aca="false">(EY238/DV238)</f>
        <v>0</v>
      </c>
      <c r="FE238" s="11" t="n">
        <f aca="false">(100*FD238)</f>
        <v>0</v>
      </c>
      <c r="FF238" s="9" t="n">
        <v>0</v>
      </c>
      <c r="FG238" s="9" t="n">
        <v>18</v>
      </c>
      <c r="FH238" s="9" t="n">
        <v>35</v>
      </c>
      <c r="FI238" s="9" t="n">
        <v>20</v>
      </c>
      <c r="FJ238" s="9" t="n">
        <v>40</v>
      </c>
      <c r="FK238" s="11" t="n">
        <f aca="false">(FG238+FH238+FI238+FJ238)/4</f>
        <v>28.25</v>
      </c>
      <c r="FL238" s="11" t="n">
        <f aca="false">(FG238/DR238)</f>
        <v>0.782608695652174</v>
      </c>
      <c r="FM238" s="11" t="n">
        <f aca="false">(FH238/DS238)</f>
        <v>1.06060606060606</v>
      </c>
      <c r="FN238" s="11" t="n">
        <f aca="false">(FI238/DT238)</f>
        <v>1</v>
      </c>
      <c r="FO238" s="11" t="n">
        <f aca="false">(FJ238/DU238)</f>
        <v>2.5</v>
      </c>
      <c r="FP238" s="11" t="n">
        <f aca="false">(FK238/DV238)</f>
        <v>1.22826086956522</v>
      </c>
      <c r="FQ238" s="11" t="n">
        <f aca="false">(100*FP238)</f>
        <v>122.826086956522</v>
      </c>
      <c r="FR238" s="9" t="n">
        <v>3</v>
      </c>
      <c r="FS238" s="9" t="n">
        <v>64.3</v>
      </c>
      <c r="FT238" s="9" t="n">
        <v>59.4</v>
      </c>
      <c r="FU238" s="9" t="n">
        <v>63.1</v>
      </c>
      <c r="FV238" s="9" t="n">
        <v>47.9</v>
      </c>
      <c r="FW238" s="11" t="n">
        <f aca="false">(FS238+FT238+FU238+FV238)/4</f>
        <v>58.675</v>
      </c>
      <c r="FX238" s="9" t="n">
        <v>1</v>
      </c>
      <c r="FY238" s="9" t="n">
        <v>0</v>
      </c>
      <c r="FZ238" s="9" t="n">
        <v>0</v>
      </c>
      <c r="GA238" s="9" t="n">
        <v>0</v>
      </c>
      <c r="GB238" s="11" t="n">
        <f aca="false">(FX238+FY238+FZ238+GA238)/4</f>
        <v>0.25</v>
      </c>
      <c r="GC238" s="9" t="n">
        <v>1</v>
      </c>
      <c r="GD238" s="9" t="n">
        <v>1</v>
      </c>
      <c r="GE238" s="9" t="n">
        <v>1</v>
      </c>
      <c r="GF238" s="9" t="n">
        <v>1</v>
      </c>
      <c r="GG238" s="11" t="n">
        <f aca="false">(GC238+GD238+GE238+GF238)/4</f>
        <v>1</v>
      </c>
      <c r="GH238" s="9" t="n">
        <v>1</v>
      </c>
      <c r="GI238" s="9" t="n">
        <v>1</v>
      </c>
      <c r="GJ238" s="9" t="n">
        <v>1</v>
      </c>
      <c r="GK238" s="9" t="n">
        <v>1</v>
      </c>
      <c r="GL238" s="11" t="n">
        <f aca="false">(GH238+GI238+GJ238+GK238)/4</f>
        <v>1</v>
      </c>
      <c r="GM238" s="9" t="n">
        <v>48</v>
      </c>
      <c r="GN238" s="9" t="n">
        <v>184</v>
      </c>
      <c r="GO238" s="9" t="n">
        <v>63</v>
      </c>
      <c r="GP238" s="9" t="n">
        <v>155</v>
      </c>
      <c r="GQ238" s="11" t="n">
        <f aca="false">(GM238+GN238+GO238+GP238)/4</f>
        <v>112.5</v>
      </c>
      <c r="GR238" s="9" t="n">
        <v>24</v>
      </c>
      <c r="GS238" s="9" t="n">
        <v>27</v>
      </c>
      <c r="GT238" s="9" t="n">
        <v>23</v>
      </c>
      <c r="GU238" s="9" t="n">
        <v>26</v>
      </c>
      <c r="GV238" s="11" t="n">
        <f aca="false">(GR238+GS238+GT238+GU238)/4</f>
        <v>25</v>
      </c>
      <c r="GW238" s="9" t="n">
        <v>1</v>
      </c>
      <c r="GX238" s="9" t="n">
        <v>0</v>
      </c>
      <c r="GY238" s="9" t="n">
        <v>0</v>
      </c>
      <c r="GZ238" s="9" t="n">
        <v>0</v>
      </c>
      <c r="HA238" s="11" t="n">
        <f aca="false">(GW238+GX238+GY238+GZ238)/4</f>
        <v>0.25</v>
      </c>
      <c r="HB238" s="9"/>
      <c r="HC238" s="9" t="n">
        <f aca="false">(GX238/GS238)</f>
        <v>0</v>
      </c>
      <c r="HD238" s="9" t="n">
        <f aca="false">(GY238/GT238)</f>
        <v>0</v>
      </c>
      <c r="HE238" s="9" t="n">
        <f aca="false">(GZ238/GU238)/4</f>
        <v>0</v>
      </c>
      <c r="HF238" s="9" t="n">
        <f aca="false">(HB238+HC238+HD238+HE238)/4</f>
        <v>0</v>
      </c>
      <c r="HG238" s="9" t="n">
        <f aca="false">(100*HF238)</f>
        <v>0</v>
      </c>
      <c r="HH238" s="18" t="n">
        <v>0</v>
      </c>
      <c r="HI238" s="9" t="n">
        <v>2</v>
      </c>
      <c r="HJ238" s="9" t="n">
        <v>9</v>
      </c>
      <c r="HK238" s="9" t="n">
        <v>4</v>
      </c>
      <c r="HL238" s="19" t="n">
        <v>8</v>
      </c>
      <c r="HM238" s="9" t="n">
        <f aca="false">(HI238+HJ238+HK238+HL238)/4</f>
        <v>5.75</v>
      </c>
      <c r="HN238" s="9" t="n">
        <f aca="false">(HI238/GR238)</f>
        <v>0.0833333333333333</v>
      </c>
      <c r="HO238" s="9" t="n">
        <f aca="false">(HJ238/GS238)</f>
        <v>0.333333333333333</v>
      </c>
      <c r="HP238" s="9" t="n">
        <f aca="false">(HK238/GT238)</f>
        <v>0.173913043478261</v>
      </c>
      <c r="HQ238" s="9" t="n">
        <f aca="false">(HL238/GU238)</f>
        <v>0.307692307692308</v>
      </c>
      <c r="HR238" s="9" t="n">
        <f aca="false">(HM238/GV238)</f>
        <v>0.23</v>
      </c>
      <c r="HS238" s="9" t="n">
        <f aca="false">(100*HR238)</f>
        <v>23</v>
      </c>
      <c r="HT238" s="18" t="n">
        <v>2</v>
      </c>
      <c r="HU238" s="9" t="n">
        <v>0</v>
      </c>
      <c r="HV238" s="9" t="n">
        <v>0</v>
      </c>
      <c r="HW238" s="9" t="n">
        <v>0</v>
      </c>
      <c r="HX238" s="19" t="n">
        <v>0</v>
      </c>
      <c r="HY238" s="9" t="n">
        <f aca="false">(HU238+HV238+HW238+HX238)/4</f>
        <v>0</v>
      </c>
      <c r="HZ238" s="9" t="n">
        <f aca="false">(HU238/GR238)</f>
        <v>0</v>
      </c>
      <c r="IA238" s="9" t="n">
        <f aca="false">HV238/GS238</f>
        <v>0</v>
      </c>
      <c r="IB238" s="9" t="n">
        <f aca="false">(HW238/GT238)</f>
        <v>0</v>
      </c>
      <c r="IC238" s="9" t="n">
        <f aca="false">(HX238/GU238)</f>
        <v>0</v>
      </c>
      <c r="ID238" s="9" t="n">
        <f aca="false">(HY238/GV238)</f>
        <v>0</v>
      </c>
      <c r="IE238" s="9" t="n">
        <f aca="false">(100*ID238)</f>
        <v>0</v>
      </c>
      <c r="IF238" s="18" t="n">
        <v>0</v>
      </c>
      <c r="IG238" s="9" t="n">
        <v>6</v>
      </c>
      <c r="IH238" s="9" t="n">
        <v>10</v>
      </c>
      <c r="II238" s="19" t="n">
        <v>8</v>
      </c>
      <c r="IJ238" s="9" t="n">
        <v>4</v>
      </c>
      <c r="IK238" s="9" t="n">
        <f aca="false">(IG238+IH238+II238+IJ238)/4</f>
        <v>7</v>
      </c>
      <c r="IL238" s="9" t="n">
        <f aca="false">(IG238/GM238)</f>
        <v>0.125</v>
      </c>
      <c r="IM238" s="9" t="n">
        <f aca="false">(IH238/GN238)</f>
        <v>0.0543478260869565</v>
      </c>
      <c r="IN238" s="9" t="n">
        <f aca="false">(II238/GO238)</f>
        <v>0.126984126984127</v>
      </c>
      <c r="IO238" s="9" t="n">
        <f aca="false">(IJ238/GP238)</f>
        <v>0.0258064516129032</v>
      </c>
      <c r="IP238" s="9" t="n">
        <f aca="false">(IK238/GQ238)</f>
        <v>0.0622222222222222</v>
      </c>
      <c r="IQ238" s="9" t="n">
        <f aca="false">(100*IP238)</f>
        <v>6.22222222222222</v>
      </c>
      <c r="IR238" s="18" t="n">
        <v>1</v>
      </c>
      <c r="IS238" s="9" t="n">
        <v>60.8</v>
      </c>
      <c r="IT238" s="9" t="n">
        <v>54.4</v>
      </c>
      <c r="IU238" s="19" t="n">
        <v>55.4</v>
      </c>
      <c r="IV238" s="9" t="n">
        <v>67.1</v>
      </c>
      <c r="IW238" s="9" t="n">
        <f aca="false">(IS238+IT238+IU238+IV238)/4</f>
        <v>59.425</v>
      </c>
      <c r="IX238" s="16" t="n">
        <v>45211</v>
      </c>
      <c r="IY238" s="10" t="s">
        <v>268</v>
      </c>
    </row>
    <row r="239" customFormat="false" ht="15.75" hidden="false" customHeight="true" outlineLevel="0" collapsed="false">
      <c r="A239" s="9" t="s">
        <v>343</v>
      </c>
      <c r="B239" s="10" t="s">
        <v>799</v>
      </c>
      <c r="C239" s="44" t="s">
        <v>727</v>
      </c>
      <c r="D239" s="44" t="n">
        <v>4</v>
      </c>
      <c r="E239" s="44" t="n">
        <v>80</v>
      </c>
      <c r="F239" s="44" t="s">
        <v>800</v>
      </c>
      <c r="G239" s="44" t="s">
        <v>291</v>
      </c>
      <c r="H239" s="44" t="n">
        <v>21</v>
      </c>
      <c r="I239" s="44" t="n">
        <v>5</v>
      </c>
      <c r="J239" s="45" t="s">
        <v>264</v>
      </c>
      <c r="K239" s="13" t="s">
        <v>778</v>
      </c>
      <c r="L239" s="13" t="s">
        <v>779</v>
      </c>
      <c r="M239" s="14" t="n">
        <v>1310</v>
      </c>
      <c r="N239" s="15" t="n">
        <v>45135</v>
      </c>
      <c r="O239" s="10" t="s">
        <v>267</v>
      </c>
      <c r="P239" s="9"/>
      <c r="Q239" s="9" t="n">
        <v>33.05</v>
      </c>
      <c r="R239" s="9" t="n">
        <v>8</v>
      </c>
      <c r="S239" s="9" t="n">
        <v>-12</v>
      </c>
      <c r="T239" s="9" t="n">
        <v>60</v>
      </c>
      <c r="U239" s="9"/>
      <c r="V239" s="9" t="n">
        <f aca="false">(12/100)</f>
        <v>0.12</v>
      </c>
      <c r="W239" s="9"/>
      <c r="X239" s="9" t="n">
        <v>0</v>
      </c>
      <c r="Y239" s="9" t="n">
        <v>0</v>
      </c>
      <c r="Z239" s="9" t="n">
        <v>0</v>
      </c>
      <c r="AA239" s="9" t="n">
        <v>0</v>
      </c>
      <c r="AB239" s="11" t="n">
        <f aca="false">(X239+Y239+Z239+AA239)/4</f>
        <v>0</v>
      </c>
      <c r="AC239" s="9" t="n">
        <v>1</v>
      </c>
      <c r="AD239" s="9" t="n">
        <v>1</v>
      </c>
      <c r="AE239" s="9" t="n">
        <v>1</v>
      </c>
      <c r="AF239" s="9" t="n">
        <v>1</v>
      </c>
      <c r="AG239" s="11" t="n">
        <f aca="false">(AC239+AD239+AE239+AF239)/4</f>
        <v>1</v>
      </c>
      <c r="AH239" s="9" t="n">
        <v>1</v>
      </c>
      <c r="AI239" s="9" t="n">
        <v>1</v>
      </c>
      <c r="AJ239" s="9" t="n">
        <v>1</v>
      </c>
      <c r="AK239" s="9" t="n">
        <v>1</v>
      </c>
      <c r="AL239" s="11" t="n">
        <f aca="false">(AH239+AI239+AJ239+AK239)/4</f>
        <v>1</v>
      </c>
      <c r="AM239" s="9" t="n">
        <v>107</v>
      </c>
      <c r="AN239" s="9" t="n">
        <v>49</v>
      </c>
      <c r="AO239" s="9" t="n">
        <v>18</v>
      </c>
      <c r="AP239" s="9" t="n">
        <v>21</v>
      </c>
      <c r="AQ239" s="11" t="n">
        <f aca="false">(AM239+AN239+AO239+AP239)/4</f>
        <v>48.75</v>
      </c>
      <c r="AR239" s="9" t="n">
        <v>16</v>
      </c>
      <c r="AS239" s="9" t="n">
        <v>14</v>
      </c>
      <c r="AT239" s="9" t="n">
        <v>9</v>
      </c>
      <c r="AU239" s="9" t="n">
        <v>19</v>
      </c>
      <c r="AV239" s="11" t="n">
        <f aca="false">(AR239+AS239+AT239+AU239)/4</f>
        <v>14.5</v>
      </c>
      <c r="AW239" s="9" t="n">
        <v>0</v>
      </c>
      <c r="AX239" s="9" t="n">
        <v>0</v>
      </c>
      <c r="AY239" s="9" t="n">
        <v>0</v>
      </c>
      <c r="AZ239" s="9" t="n">
        <v>0</v>
      </c>
      <c r="BA239" s="11" t="n">
        <f aca="false">(AW239+AX239+AY239+AZ239)/4</f>
        <v>0</v>
      </c>
      <c r="BB239" s="11" t="n">
        <f aca="false">(AW239/AR239)</f>
        <v>0</v>
      </c>
      <c r="BC239" s="11" t="n">
        <f aca="false">(AX239/AS239)</f>
        <v>0</v>
      </c>
      <c r="BD239" s="11" t="n">
        <f aca="false">(AY239/AT239)</f>
        <v>0</v>
      </c>
      <c r="BE239" s="11" t="n">
        <f aca="false">(AZ239/AU239)</f>
        <v>0</v>
      </c>
      <c r="BF239" s="11" t="n">
        <f aca="false">(BA239/AV239)</f>
        <v>0</v>
      </c>
      <c r="BG239" s="11" t="n">
        <f aca="false">(BF239*100)</f>
        <v>0</v>
      </c>
      <c r="BH239" s="9" t="n">
        <v>0</v>
      </c>
      <c r="BI239" s="9" t="n">
        <v>10</v>
      </c>
      <c r="BJ239" s="9" t="n">
        <v>4</v>
      </c>
      <c r="BK239" s="9" t="n">
        <v>7</v>
      </c>
      <c r="BL239" s="9" t="n">
        <v>4</v>
      </c>
      <c r="BM239" s="11" t="n">
        <f aca="false">(BI239+BJ239+BK239+BL239)/4</f>
        <v>6.25</v>
      </c>
      <c r="BN239" s="11" t="n">
        <f aca="false">(BI239/AR239)</f>
        <v>0.625</v>
      </c>
      <c r="BO239" s="11" t="n">
        <f aca="false">(BJ239/AS239)</f>
        <v>0.285714285714286</v>
      </c>
      <c r="BP239" s="11" t="n">
        <f aca="false">(BK239/AT239)</f>
        <v>0.777777777777778</v>
      </c>
      <c r="BQ239" s="11" t="n">
        <f aca="false">(BL239/AU239)</f>
        <v>0.210526315789474</v>
      </c>
      <c r="BR239" s="11" t="n">
        <f aca="false">(BM239/AV239)</f>
        <v>0.431034482758621</v>
      </c>
      <c r="BS239" s="11" t="n">
        <f aca="false">(100*BR239)</f>
        <v>43.1034482758621</v>
      </c>
      <c r="BT239" s="9" t="n">
        <v>3</v>
      </c>
      <c r="BU239" s="9" t="n">
        <v>0</v>
      </c>
      <c r="BV239" s="9" t="n">
        <v>0</v>
      </c>
      <c r="BW239" s="9" t="n">
        <v>0</v>
      </c>
      <c r="BX239" s="9" t="n">
        <v>0</v>
      </c>
      <c r="BY239" s="11" t="n">
        <f aca="false">(BU239+BV239+BW239+BX239)/4</f>
        <v>0</v>
      </c>
      <c r="BZ239" s="11" t="n">
        <f aca="false">(BU239/AR239)</f>
        <v>0</v>
      </c>
      <c r="CA239" s="11" t="n">
        <f aca="false">(BV239/AS239)</f>
        <v>0</v>
      </c>
      <c r="CB239" s="11" t="n">
        <f aca="false">(BW239/AT239)</f>
        <v>0</v>
      </c>
      <c r="CC239" s="11" t="n">
        <f aca="false">(BX239/AU239)</f>
        <v>0</v>
      </c>
      <c r="CD239" s="11" t="n">
        <f aca="false">(BY239/AV239)</f>
        <v>0</v>
      </c>
      <c r="CE239" s="11" t="n">
        <f aca="false">(100*CD239)</f>
        <v>0</v>
      </c>
      <c r="CF239" s="9" t="n">
        <v>0</v>
      </c>
      <c r="CG239" s="9" t="n">
        <v>22</v>
      </c>
      <c r="CH239" s="9" t="n">
        <v>21</v>
      </c>
      <c r="CI239" s="9" t="n">
        <v>6</v>
      </c>
      <c r="CJ239" s="9" t="n">
        <v>11</v>
      </c>
      <c r="CK239" s="11" t="n">
        <f aca="false">(CG239+CH239+CI239+CJ239)/4</f>
        <v>15</v>
      </c>
      <c r="CL239" s="11" t="n">
        <f aca="false">(CG239/AM239)</f>
        <v>0.205607476635514</v>
      </c>
      <c r="CM239" s="11" t="n">
        <f aca="false">(CH239/AN239)</f>
        <v>0.428571428571429</v>
      </c>
      <c r="CN239" s="11" t="n">
        <f aca="false">(CI239/AO239)</f>
        <v>0.333333333333333</v>
      </c>
      <c r="CO239" s="9" t="n">
        <f aca="false">(CJ239/AP239)</f>
        <v>0.523809523809524</v>
      </c>
      <c r="CP239" s="9" t="n">
        <f aca="false">(CK239/AQ239)</f>
        <v>0.307692307692308</v>
      </c>
      <c r="CQ239" s="9" t="n">
        <f aca="false">(100*CP239)</f>
        <v>30.7692307692308</v>
      </c>
      <c r="CR239" s="18" t="n">
        <v>3</v>
      </c>
      <c r="CS239" s="9" t="n">
        <v>59.4</v>
      </c>
      <c r="CT239" s="9" t="n">
        <v>65.3</v>
      </c>
      <c r="CU239" s="9" t="n">
        <v>55</v>
      </c>
      <c r="CV239" s="9" t="n">
        <v>62.7</v>
      </c>
      <c r="CW239" s="11" t="n">
        <f aca="false">(CS239+CT239+CU239+CV239)/4</f>
        <v>60.6</v>
      </c>
      <c r="CX239" s="9" t="n">
        <v>0</v>
      </c>
      <c r="CY239" s="9" t="n">
        <v>0</v>
      </c>
      <c r="CZ239" s="9" t="n">
        <v>0</v>
      </c>
      <c r="DA239" s="9" t="n">
        <v>0</v>
      </c>
      <c r="DB239" s="11" t="n">
        <f aca="false">(CX239+CY239+CZ239+DA239)/4</f>
        <v>0</v>
      </c>
      <c r="DC239" s="9" t="n">
        <v>1</v>
      </c>
      <c r="DD239" s="9" t="n">
        <v>1</v>
      </c>
      <c r="DE239" s="9" t="n">
        <v>1</v>
      </c>
      <c r="DF239" s="9" t="n">
        <v>1</v>
      </c>
      <c r="DG239" s="11" t="n">
        <f aca="false">(DC239+DD239+DE239+DF239)/4</f>
        <v>1</v>
      </c>
      <c r="DH239" s="9" t="n">
        <v>1</v>
      </c>
      <c r="DI239" s="9" t="n">
        <v>1</v>
      </c>
      <c r="DJ239" s="9" t="n">
        <v>1</v>
      </c>
      <c r="DK239" s="9" t="n">
        <v>1</v>
      </c>
      <c r="DL239" s="11" t="n">
        <f aca="false">(DH239+DI239+DJ239+DK239)/4</f>
        <v>1</v>
      </c>
      <c r="DM239" s="9" t="n">
        <v>113</v>
      </c>
      <c r="DN239" s="9" t="n">
        <v>43</v>
      </c>
      <c r="DO239" s="9" t="n">
        <v>139</v>
      </c>
      <c r="DP239" s="9" t="n">
        <v>182</v>
      </c>
      <c r="DQ239" s="11" t="n">
        <f aca="false">(DM239+DN239+DO239+DP239)/4</f>
        <v>119.25</v>
      </c>
      <c r="DR239" s="9" t="n">
        <v>39</v>
      </c>
      <c r="DS239" s="9" t="n">
        <v>32</v>
      </c>
      <c r="DT239" s="9" t="n">
        <v>935</v>
      </c>
      <c r="DU239" s="9" t="n">
        <v>19</v>
      </c>
      <c r="DV239" s="11" t="n">
        <f aca="false">(DR239+DS239+DT239+DU239)/4</f>
        <v>256.25</v>
      </c>
      <c r="DW239" s="9" t="n">
        <v>0</v>
      </c>
      <c r="DX239" s="9" t="n">
        <v>0</v>
      </c>
      <c r="DY239" s="9" t="n">
        <v>0</v>
      </c>
      <c r="DZ239" s="9" t="n">
        <v>0</v>
      </c>
      <c r="EA239" s="11" t="n">
        <f aca="false">(DW239+DX239+DY239+DZ239)/4</f>
        <v>0</v>
      </c>
      <c r="EB239" s="11" t="n">
        <f aca="false">(DW239/DR239)</f>
        <v>0</v>
      </c>
      <c r="EC239" s="11" t="n">
        <f aca="false">(DX239/DS239)</f>
        <v>0</v>
      </c>
      <c r="ED239" s="11" t="n">
        <f aca="false">(DY239/DT239)</f>
        <v>0</v>
      </c>
      <c r="EE239" s="11" t="n">
        <f aca="false">(DZ239/DU239)</f>
        <v>0</v>
      </c>
      <c r="EF239" s="11" t="n">
        <f aca="false">(EA239/DV239)</f>
        <v>0</v>
      </c>
      <c r="EG239" s="11" t="n">
        <f aca="false">(100*EF239)</f>
        <v>0</v>
      </c>
      <c r="EH239" s="9" t="n">
        <v>0</v>
      </c>
      <c r="EI239" s="9" t="n">
        <v>16</v>
      </c>
      <c r="EJ239" s="9" t="n">
        <v>19</v>
      </c>
      <c r="EK239" s="19" t="n">
        <v>13</v>
      </c>
      <c r="EL239" s="9" t="n">
        <v>6</v>
      </c>
      <c r="EM239" s="9" t="n">
        <f aca="false">(EI239+EJ239+EK239+EL239)/4</f>
        <v>13.5</v>
      </c>
      <c r="EN239" s="9" t="n">
        <f aca="false">(EI239/DR239)</f>
        <v>0.41025641025641</v>
      </c>
      <c r="EO239" s="9" t="n">
        <f aca="false">(EJ239/DS239)</f>
        <v>0.59375</v>
      </c>
      <c r="EP239" s="9" t="n">
        <f aca="false">(EK239/DT239)</f>
        <v>0.013903743315508</v>
      </c>
      <c r="EQ239" s="9" t="n">
        <f aca="false">(EL239/DU239)</f>
        <v>0.315789473684211</v>
      </c>
      <c r="ER239" s="9" t="n">
        <f aca="false">EM239/DV239</f>
        <v>0.0526829268292683</v>
      </c>
      <c r="ES239" s="9" t="n">
        <f aca="false">(100*ER239)</f>
        <v>5.26829268292683</v>
      </c>
      <c r="ET239" s="9" t="n">
        <v>1</v>
      </c>
      <c r="EU239" s="18" t="n">
        <v>0</v>
      </c>
      <c r="EV239" s="9" t="n">
        <v>0</v>
      </c>
      <c r="EW239" s="9" t="n">
        <v>0</v>
      </c>
      <c r="EX239" s="9" t="n">
        <v>0</v>
      </c>
      <c r="EY239" s="11" t="n">
        <f aca="false">(EU239+EV239+EW239+EX239)/4</f>
        <v>0</v>
      </c>
      <c r="EZ239" s="11" t="n">
        <f aca="false">(EU239/DR239)</f>
        <v>0</v>
      </c>
      <c r="FA239" s="11" t="n">
        <f aca="false">(EV239/DS239)</f>
        <v>0</v>
      </c>
      <c r="FB239" s="11" t="n">
        <f aca="false">(EW239/DT239)</f>
        <v>0</v>
      </c>
      <c r="FC239" s="11" t="n">
        <f aca="false">(EX239/DU239)</f>
        <v>0</v>
      </c>
      <c r="FD239" s="11" t="n">
        <f aca="false">(EY239/DV239)</f>
        <v>0</v>
      </c>
      <c r="FE239" s="11" t="n">
        <f aca="false">(100*FD239)</f>
        <v>0</v>
      </c>
      <c r="FF239" s="9" t="n">
        <v>0</v>
      </c>
      <c r="FG239" s="9" t="n">
        <v>12</v>
      </c>
      <c r="FH239" s="9" t="n">
        <v>5</v>
      </c>
      <c r="FI239" s="9" t="n">
        <v>22</v>
      </c>
      <c r="FJ239" s="9" t="n">
        <v>29</v>
      </c>
      <c r="FK239" s="11" t="n">
        <f aca="false">(FG239+FH239+FI239+FJ239)/4</f>
        <v>17</v>
      </c>
      <c r="FL239" s="11" t="n">
        <f aca="false">(FG239/DR239)</f>
        <v>0.307692307692308</v>
      </c>
      <c r="FM239" s="11" t="n">
        <f aca="false">(FH239/DS239)</f>
        <v>0.15625</v>
      </c>
      <c r="FN239" s="11" t="n">
        <f aca="false">(FI239/DT239)</f>
        <v>0.0235294117647059</v>
      </c>
      <c r="FO239" s="11" t="n">
        <f aca="false">(FJ239/DU239)</f>
        <v>1.52631578947368</v>
      </c>
      <c r="FP239" s="11" t="n">
        <f aca="false">(FK239/DV239)</f>
        <v>0.0663414634146342</v>
      </c>
      <c r="FQ239" s="11" t="n">
        <f aca="false">(100*FP239)</f>
        <v>6.63414634146342</v>
      </c>
      <c r="FR239" s="9" t="n">
        <v>1</v>
      </c>
      <c r="FS239" s="9" t="n">
        <v>77.3</v>
      </c>
      <c r="FT239" s="9" t="n">
        <v>62.1</v>
      </c>
      <c r="FU239" s="9" t="n">
        <v>56.7</v>
      </c>
      <c r="FV239" s="9" t="n">
        <v>61.1</v>
      </c>
      <c r="FW239" s="11" t="n">
        <f aca="false">(FS239+FT239+FU239+FV239)/4</f>
        <v>64.3</v>
      </c>
      <c r="FX239" s="9" t="n">
        <v>0</v>
      </c>
      <c r="FY239" s="9" t="n">
        <v>0</v>
      </c>
      <c r="FZ239" s="9" t="n">
        <v>0</v>
      </c>
      <c r="GA239" s="9" t="n">
        <v>0</v>
      </c>
      <c r="GB239" s="11" t="n">
        <f aca="false">(FX239+FY239+FZ239+GA239)/4</f>
        <v>0</v>
      </c>
      <c r="GC239" s="9" t="n">
        <v>1</v>
      </c>
      <c r="GD239" s="9" t="n">
        <v>1</v>
      </c>
      <c r="GE239" s="9" t="n">
        <v>1</v>
      </c>
      <c r="GF239" s="9" t="n">
        <v>1</v>
      </c>
      <c r="GG239" s="11" t="n">
        <f aca="false">(GC239+GD239+GE239+GF239)/4</f>
        <v>1</v>
      </c>
      <c r="GH239" s="9" t="n">
        <v>1</v>
      </c>
      <c r="GI239" s="9" t="n">
        <v>1</v>
      </c>
      <c r="GJ239" s="9" t="n">
        <v>1</v>
      </c>
      <c r="GK239" s="9" t="n">
        <v>1</v>
      </c>
      <c r="GL239" s="11" t="n">
        <f aca="false">(GH239+GI239+GJ239+GK239)/4</f>
        <v>1</v>
      </c>
      <c r="GM239" s="9" t="n">
        <v>150</v>
      </c>
      <c r="GN239" s="9" t="n">
        <v>154</v>
      </c>
      <c r="GO239" s="9" t="n">
        <v>112</v>
      </c>
      <c r="GP239" s="9" t="n">
        <v>89</v>
      </c>
      <c r="GQ239" s="11" t="n">
        <f aca="false">(GM239+GN239+GO239+GP239)/4</f>
        <v>126.25</v>
      </c>
      <c r="GR239" s="9" t="n">
        <v>11</v>
      </c>
      <c r="GS239" s="9" t="n">
        <v>22</v>
      </c>
      <c r="GT239" s="9" t="n">
        <v>19</v>
      </c>
      <c r="GU239" s="9" t="n">
        <v>14</v>
      </c>
      <c r="GV239" s="11" t="n">
        <f aca="false">(GR239+GS239+GT239+GU239)/4</f>
        <v>16.5</v>
      </c>
      <c r="GW239" s="9" t="n">
        <v>0</v>
      </c>
      <c r="GX239" s="9" t="n">
        <v>0</v>
      </c>
      <c r="GY239" s="9" t="n">
        <v>0</v>
      </c>
      <c r="GZ239" s="9" t="n">
        <v>0</v>
      </c>
      <c r="HA239" s="11" t="n">
        <f aca="false">(GW239+GX239+GY239+GZ239)/4</f>
        <v>0</v>
      </c>
      <c r="HB239" s="9"/>
      <c r="HC239" s="9" t="n">
        <f aca="false">(GX239/GS239)</f>
        <v>0</v>
      </c>
      <c r="HD239" s="9" t="n">
        <f aca="false">(GY239/GT239)</f>
        <v>0</v>
      </c>
      <c r="HE239" s="9" t="n">
        <f aca="false">(GZ239/GU239)/4</f>
        <v>0</v>
      </c>
      <c r="HF239" s="9" t="n">
        <f aca="false">(HB239+HC239+HD239+HE239)/4</f>
        <v>0</v>
      </c>
      <c r="HG239" s="9" t="n">
        <f aca="false">(100*HF239)</f>
        <v>0</v>
      </c>
      <c r="HH239" s="18" t="n">
        <v>0</v>
      </c>
      <c r="HI239" s="9" t="n">
        <v>5</v>
      </c>
      <c r="HJ239" s="9" t="n">
        <v>6</v>
      </c>
      <c r="HK239" s="9" t="n">
        <v>5</v>
      </c>
      <c r="HL239" s="19" t="n">
        <v>3</v>
      </c>
      <c r="HM239" s="9" t="n">
        <f aca="false">(HI239+HJ239+HK239+HL239)/4</f>
        <v>4.75</v>
      </c>
      <c r="HN239" s="9" t="n">
        <f aca="false">(HI239/GR239)</f>
        <v>0.454545454545455</v>
      </c>
      <c r="HO239" s="9" t="n">
        <f aca="false">(HJ239/GS239)</f>
        <v>0.272727272727273</v>
      </c>
      <c r="HP239" s="9" t="n">
        <f aca="false">(HK239/GT239)</f>
        <v>0.263157894736842</v>
      </c>
      <c r="HQ239" s="9" t="n">
        <f aca="false">(HL239/GU239)</f>
        <v>0.214285714285714</v>
      </c>
      <c r="HR239" s="9" t="n">
        <f aca="false">(HM239/GV239)</f>
        <v>0.287878787878788</v>
      </c>
      <c r="HS239" s="9" t="n">
        <f aca="false">(100*HR239)</f>
        <v>28.7878787878788</v>
      </c>
      <c r="HT239" s="18" t="n">
        <v>2</v>
      </c>
      <c r="HU239" s="9" t="n">
        <v>0</v>
      </c>
      <c r="HV239" s="9" t="n">
        <v>0</v>
      </c>
      <c r="HW239" s="9" t="n">
        <v>0</v>
      </c>
      <c r="HX239" s="19" t="n">
        <v>0</v>
      </c>
      <c r="HY239" s="9" t="n">
        <f aca="false">(HU239+HV239+HW239+HX239)/4</f>
        <v>0</v>
      </c>
      <c r="HZ239" s="9" t="n">
        <f aca="false">(HU239/GR239)</f>
        <v>0</v>
      </c>
      <c r="IA239" s="9" t="n">
        <f aca="false">HV239/GS239</f>
        <v>0</v>
      </c>
      <c r="IB239" s="9" t="n">
        <f aca="false">(HW239/GT239)</f>
        <v>0</v>
      </c>
      <c r="IC239" s="9" t="n">
        <f aca="false">(HX239/GU239)</f>
        <v>0</v>
      </c>
      <c r="ID239" s="9" t="n">
        <f aca="false">(HY239/GV239)</f>
        <v>0</v>
      </c>
      <c r="IE239" s="9" t="n">
        <f aca="false">(100*ID239)</f>
        <v>0</v>
      </c>
      <c r="IF239" s="18" t="n">
        <v>0</v>
      </c>
      <c r="IG239" s="9" t="n">
        <v>34</v>
      </c>
      <c r="IH239" s="9" t="n">
        <v>26</v>
      </c>
      <c r="II239" s="19" t="n">
        <v>20</v>
      </c>
      <c r="IJ239" s="9" t="n">
        <v>6</v>
      </c>
      <c r="IK239" s="9" t="n">
        <f aca="false">(IG239+IH239+II239+IJ239)/4</f>
        <v>21.5</v>
      </c>
      <c r="IL239" s="9" t="n">
        <f aca="false">(IG239/GM239)</f>
        <v>0.226666666666667</v>
      </c>
      <c r="IM239" s="9" t="n">
        <f aca="false">(IH239/GN239)</f>
        <v>0.168831168831169</v>
      </c>
      <c r="IN239" s="9" t="n">
        <f aca="false">(II239/GO239)</f>
        <v>0.178571428571429</v>
      </c>
      <c r="IO239" s="9" t="n">
        <f aca="false">(IJ239/GP239)</f>
        <v>0.0674157303370787</v>
      </c>
      <c r="IP239" s="9" t="n">
        <f aca="false">(IK239/GQ239)</f>
        <v>0.17029702970297</v>
      </c>
      <c r="IQ239" s="9" t="n">
        <f aca="false">(100*IP239)</f>
        <v>17.029702970297</v>
      </c>
      <c r="IR239" s="18" t="n">
        <v>2</v>
      </c>
      <c r="IS239" s="9" t="n">
        <v>63.5</v>
      </c>
      <c r="IT239" s="9" t="n">
        <v>48.3</v>
      </c>
      <c r="IU239" s="19" t="n">
        <v>70.2</v>
      </c>
      <c r="IV239" s="9" t="n">
        <v>62.6</v>
      </c>
      <c r="IW239" s="9" t="n">
        <f aca="false">(IS239+IT239+IU239+IV239)/4</f>
        <v>61.15</v>
      </c>
      <c r="IX239" s="16" t="n">
        <v>45211</v>
      </c>
      <c r="IY239" s="10" t="s">
        <v>268</v>
      </c>
    </row>
    <row r="240" customFormat="false" ht="15.75" hidden="false" customHeight="true" outlineLevel="0" collapsed="false">
      <c r="A240" s="9" t="s">
        <v>343</v>
      </c>
      <c r="B240" s="10" t="s">
        <v>799</v>
      </c>
      <c r="C240" s="10" t="s">
        <v>727</v>
      </c>
      <c r="D240" s="9" t="n">
        <v>4</v>
      </c>
      <c r="E240" s="9" t="n">
        <v>80</v>
      </c>
      <c r="F240" s="10" t="s">
        <v>801</v>
      </c>
      <c r="G240" s="10" t="s">
        <v>320</v>
      </c>
      <c r="H240" s="9" t="n">
        <v>21</v>
      </c>
      <c r="I240" s="9" t="n">
        <v>11</v>
      </c>
      <c r="J240" s="12" t="s">
        <v>270</v>
      </c>
      <c r="K240" s="20"/>
      <c r="L240" s="20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 t="n">
        <v>1</v>
      </c>
      <c r="Y240" s="9" t="n">
        <v>0</v>
      </c>
      <c r="Z240" s="9" t="n">
        <v>0</v>
      </c>
      <c r="AA240" s="9" t="n">
        <v>0</v>
      </c>
      <c r="AB240" s="11" t="n">
        <f aca="false">(X240+Y240+Z240+AA240)/4</f>
        <v>0.25</v>
      </c>
      <c r="AC240" s="9" t="n">
        <v>0</v>
      </c>
      <c r="AD240" s="9" t="n">
        <v>1</v>
      </c>
      <c r="AE240" s="9" t="n">
        <v>1</v>
      </c>
      <c r="AF240" s="9" t="n">
        <v>1</v>
      </c>
      <c r="AG240" s="11" t="n">
        <f aca="false">(AC240+AD240+AE240+AF240)/4</f>
        <v>0.75</v>
      </c>
      <c r="AH240" s="9" t="n">
        <v>0</v>
      </c>
      <c r="AI240" s="9" t="n">
        <v>1</v>
      </c>
      <c r="AJ240" s="9" t="n">
        <v>1</v>
      </c>
      <c r="AK240" s="9" t="n">
        <v>1</v>
      </c>
      <c r="AL240" s="11" t="n">
        <f aca="false">(AH240+AI240+AJ240+AK240)/4</f>
        <v>0.75</v>
      </c>
      <c r="AM240" s="9" t="n">
        <v>54</v>
      </c>
      <c r="AN240" s="9" t="n">
        <v>107</v>
      </c>
      <c r="AO240" s="9" t="n">
        <v>173</v>
      </c>
      <c r="AP240" s="9" t="n">
        <v>83</v>
      </c>
      <c r="AQ240" s="11" t="n">
        <f aca="false">(AM240+AN240+AO240+AP240)/4</f>
        <v>104.25</v>
      </c>
      <c r="AR240" s="9" t="n">
        <v>45</v>
      </c>
      <c r="AS240" s="9" t="n">
        <v>28</v>
      </c>
      <c r="AT240" s="9" t="n">
        <v>38</v>
      </c>
      <c r="AU240" s="9" t="n">
        <v>14</v>
      </c>
      <c r="AV240" s="11" t="n">
        <f aca="false">(AR240+AS240+AT240+AU240)/4</f>
        <v>31.25</v>
      </c>
      <c r="AW240" s="9" t="n">
        <v>4</v>
      </c>
      <c r="AX240" s="9" t="n">
        <v>0</v>
      </c>
      <c r="AY240" s="9" t="n">
        <v>0</v>
      </c>
      <c r="AZ240" s="9" t="n">
        <v>0</v>
      </c>
      <c r="BA240" s="11" t="n">
        <f aca="false">(AW240+AX240+AY240+AZ240)/4</f>
        <v>1</v>
      </c>
      <c r="BB240" s="11" t="n">
        <f aca="false">(AW240/AR240)</f>
        <v>0.0888888888888889</v>
      </c>
      <c r="BC240" s="11" t="n">
        <f aca="false">(AX240/AS240)</f>
        <v>0</v>
      </c>
      <c r="BD240" s="11" t="n">
        <f aca="false">(AY240/AT240)</f>
        <v>0</v>
      </c>
      <c r="BE240" s="11" t="n">
        <f aca="false">(AZ240/AU240)</f>
        <v>0</v>
      </c>
      <c r="BF240" s="11" t="n">
        <f aca="false">(BA240/AV240)</f>
        <v>0.032</v>
      </c>
      <c r="BG240" s="11" t="n">
        <f aca="false">(BF240*100)</f>
        <v>3.2</v>
      </c>
      <c r="BH240" s="9" t="n">
        <v>3</v>
      </c>
      <c r="BI240" s="9" t="n">
        <v>0</v>
      </c>
      <c r="BJ240" s="9" t="n">
        <v>2</v>
      </c>
      <c r="BK240" s="9" t="n">
        <v>8</v>
      </c>
      <c r="BL240" s="9" t="n">
        <v>8</v>
      </c>
      <c r="BM240" s="11" t="n">
        <f aca="false">(BI240+BJ240+BK240+BL240)/4</f>
        <v>4.5</v>
      </c>
      <c r="BN240" s="11" t="n">
        <f aca="false">(BI240/AR240)</f>
        <v>0</v>
      </c>
      <c r="BO240" s="11" t="n">
        <f aca="false">(BJ240/AS240)</f>
        <v>0.0714285714285714</v>
      </c>
      <c r="BP240" s="11" t="n">
        <f aca="false">(BK240/AT240)</f>
        <v>0.210526315789474</v>
      </c>
      <c r="BQ240" s="11" t="n">
        <f aca="false">(BL240/AU240)</f>
        <v>0.571428571428571</v>
      </c>
      <c r="BR240" s="11" t="n">
        <f aca="false">(BM240/AV240)</f>
        <v>0.144</v>
      </c>
      <c r="BS240" s="11" t="n">
        <f aca="false">(100*BR240)</f>
        <v>14.4</v>
      </c>
      <c r="BT240" s="9" t="n">
        <v>2</v>
      </c>
      <c r="BU240" s="9" t="n">
        <v>0</v>
      </c>
      <c r="BV240" s="9" t="n">
        <v>0</v>
      </c>
      <c r="BW240" s="9" t="n">
        <v>0</v>
      </c>
      <c r="BX240" s="9" t="n">
        <v>0</v>
      </c>
      <c r="BY240" s="11" t="n">
        <f aca="false">(BU240+BV240+BW240+BX240)/4</f>
        <v>0</v>
      </c>
      <c r="BZ240" s="11" t="n">
        <f aca="false">(BU240/AR240)</f>
        <v>0</v>
      </c>
      <c r="CA240" s="11" t="n">
        <f aca="false">(BV240/AS240)</f>
        <v>0</v>
      </c>
      <c r="CB240" s="11" t="n">
        <f aca="false">(BW240/AT240)</f>
        <v>0</v>
      </c>
      <c r="CC240" s="11" t="n">
        <f aca="false">(BX240/AU240)</f>
        <v>0</v>
      </c>
      <c r="CD240" s="11" t="n">
        <f aca="false">(BY240/AV240)</f>
        <v>0</v>
      </c>
      <c r="CE240" s="11" t="n">
        <f aca="false">(100*CD240)</f>
        <v>0</v>
      </c>
      <c r="CF240" s="9" t="n">
        <v>0</v>
      </c>
      <c r="CG240" s="9" t="n">
        <v>0</v>
      </c>
      <c r="CH240" s="9" t="n">
        <v>8</v>
      </c>
      <c r="CI240" s="9" t="n">
        <v>10</v>
      </c>
      <c r="CJ240" s="9" t="n">
        <v>15</v>
      </c>
      <c r="CK240" s="9" t="n">
        <v>28</v>
      </c>
      <c r="CL240" s="11" t="n">
        <f aca="false">(CG240/AM240)</f>
        <v>0</v>
      </c>
      <c r="CM240" s="9" t="n">
        <v>22</v>
      </c>
      <c r="CN240" s="19" t="n">
        <v>11</v>
      </c>
      <c r="CO240" s="9" t="n">
        <f aca="false">(CJ240/AP240)</f>
        <v>0.180722891566265</v>
      </c>
      <c r="CP240" s="9" t="n">
        <f aca="false">(CK240/AQ240)</f>
        <v>0.268585131894484</v>
      </c>
      <c r="CQ240" s="9" t="n">
        <f aca="false">(100*CP240)</f>
        <v>26.8585131894484</v>
      </c>
      <c r="CR240" s="18" t="n">
        <v>2</v>
      </c>
      <c r="CS240" s="9" t="n">
        <v>73.1</v>
      </c>
      <c r="CT240" s="9" t="n">
        <v>70.3</v>
      </c>
      <c r="CU240" s="9" t="n">
        <v>45.2</v>
      </c>
      <c r="CV240" s="9" t="n">
        <v>70.3</v>
      </c>
      <c r="CW240" s="11" t="n">
        <f aca="false">(CS240+CT240+CU240+CV240)/4</f>
        <v>64.725</v>
      </c>
      <c r="CX240" s="9" t="n">
        <v>0</v>
      </c>
      <c r="CY240" s="9" t="n">
        <v>0</v>
      </c>
      <c r="CZ240" s="9" t="n">
        <v>1</v>
      </c>
      <c r="DA240" s="9" t="n">
        <v>0</v>
      </c>
      <c r="DB240" s="11" t="n">
        <f aca="false">(CX240+CY240+CZ240+DA240)/4</f>
        <v>0.25</v>
      </c>
      <c r="DC240" s="9" t="n">
        <v>1</v>
      </c>
      <c r="DD240" s="9" t="n">
        <v>0</v>
      </c>
      <c r="DE240" s="9" t="n">
        <v>1</v>
      </c>
      <c r="DF240" s="9" t="n">
        <v>0</v>
      </c>
      <c r="DG240" s="11" t="n">
        <f aca="false">(DC240+DD240+DE240+DF240)/4</f>
        <v>0.5</v>
      </c>
      <c r="DH240" s="9" t="n">
        <v>1</v>
      </c>
      <c r="DI240" s="9" t="n">
        <v>1</v>
      </c>
      <c r="DJ240" s="9" t="n">
        <v>1</v>
      </c>
      <c r="DK240" s="9" t="n">
        <v>0</v>
      </c>
      <c r="DL240" s="11" t="n">
        <f aca="false">(DH240+DI240+DJ240+DK240)/4</f>
        <v>0.75</v>
      </c>
      <c r="DM240" s="9" t="n">
        <v>170</v>
      </c>
      <c r="DN240" s="9" t="n">
        <v>26</v>
      </c>
      <c r="DO240" s="9" t="n">
        <v>103</v>
      </c>
      <c r="DP240" s="9" t="n">
        <v>68</v>
      </c>
      <c r="DQ240" s="11" t="n">
        <f aca="false">(DM240+DN240+DO240+DP240)/4</f>
        <v>91.75</v>
      </c>
      <c r="DR240" s="9" t="n">
        <v>48</v>
      </c>
      <c r="DS240" s="9" t="n">
        <v>9</v>
      </c>
      <c r="DT240" s="9" t="n">
        <v>19</v>
      </c>
      <c r="DU240" s="9" t="n">
        <v>17</v>
      </c>
      <c r="DV240" s="11" t="n">
        <f aca="false">(DR240+DS240+DT240+DU240)/4</f>
        <v>23.25</v>
      </c>
      <c r="DW240" s="9" t="n">
        <v>0</v>
      </c>
      <c r="DX240" s="9" t="n">
        <v>0</v>
      </c>
      <c r="DY240" s="9" t="n">
        <v>1</v>
      </c>
      <c r="DZ240" s="9" t="n">
        <v>0</v>
      </c>
      <c r="EA240" s="11" t="n">
        <f aca="false">(DW240+DX240+DY240+DZ240)/4</f>
        <v>0.25</v>
      </c>
      <c r="EB240" s="11" t="n">
        <f aca="false">(DW240/DR240)</f>
        <v>0</v>
      </c>
      <c r="EC240" s="11" t="n">
        <f aca="false">(DX240/DS240)</f>
        <v>0</v>
      </c>
      <c r="ED240" s="11" t="n">
        <f aca="false">(DY240/DT240)</f>
        <v>0.0526315789473684</v>
      </c>
      <c r="EE240" s="11" t="n">
        <f aca="false">(DZ240/DU240)</f>
        <v>0</v>
      </c>
      <c r="EF240" s="11" t="n">
        <f aca="false">(EA240/DV240)</f>
        <v>0.010752688172043</v>
      </c>
      <c r="EG240" s="11" t="n">
        <f aca="false">(100*EF240)</f>
        <v>1.0752688172043</v>
      </c>
      <c r="EH240" s="9" t="n">
        <v>1</v>
      </c>
      <c r="EI240" s="9" t="n">
        <v>3</v>
      </c>
      <c r="EJ240" s="9" t="n">
        <v>0</v>
      </c>
      <c r="EK240" s="19" t="n">
        <v>1</v>
      </c>
      <c r="EL240" s="9" t="n">
        <v>0</v>
      </c>
      <c r="EM240" s="9" t="n">
        <f aca="false">(EI240+EJ240+EK240+EL240)/4</f>
        <v>1</v>
      </c>
      <c r="EN240" s="9" t="n">
        <f aca="false">(EI240/DR240)</f>
        <v>0.0625</v>
      </c>
      <c r="EO240" s="9" t="n">
        <f aca="false">(EJ240/DS240)</f>
        <v>0</v>
      </c>
      <c r="EP240" s="9" t="n">
        <f aca="false">(EK240/DT240)</f>
        <v>0.0526315789473684</v>
      </c>
      <c r="EQ240" s="9" t="n">
        <f aca="false">(EL240/DU240)</f>
        <v>0</v>
      </c>
      <c r="ER240" s="9" t="n">
        <f aca="false">EM240/DV240</f>
        <v>0.043010752688172</v>
      </c>
      <c r="ES240" s="9" t="n">
        <f aca="false">(100*ER240)</f>
        <v>4.30107526881721</v>
      </c>
      <c r="ET240" s="9" t="n">
        <v>1</v>
      </c>
      <c r="EU240" s="18" t="n">
        <v>0</v>
      </c>
      <c r="EV240" s="9" t="n">
        <v>3</v>
      </c>
      <c r="EW240" s="9" t="n">
        <v>1</v>
      </c>
      <c r="EX240" s="9" t="n">
        <v>0</v>
      </c>
      <c r="EY240" s="11" t="n">
        <f aca="false">(EU240+EV240+EW240+EX240)/4</f>
        <v>1</v>
      </c>
      <c r="EZ240" s="11" t="n">
        <f aca="false">(EU240/DR240)</f>
        <v>0</v>
      </c>
      <c r="FA240" s="11" t="n">
        <f aca="false">(EV240/DS240)</f>
        <v>0.333333333333333</v>
      </c>
      <c r="FB240" s="11" t="n">
        <f aca="false">(EW240/DT240)</f>
        <v>0.0526315789473684</v>
      </c>
      <c r="FC240" s="11" t="n">
        <f aca="false">(EX240/DU240)</f>
        <v>0</v>
      </c>
      <c r="FD240" s="11" t="n">
        <f aca="false">(EY240/DV240)</f>
        <v>0.043010752688172</v>
      </c>
      <c r="FE240" s="11" t="n">
        <f aca="false">(100*FD240)</f>
        <v>4.30107526881721</v>
      </c>
      <c r="FF240" s="9" t="n">
        <v>1</v>
      </c>
      <c r="FG240" s="9" t="n">
        <v>30</v>
      </c>
      <c r="FH240" s="9" t="n">
        <v>0</v>
      </c>
      <c r="FI240" s="9" t="n">
        <v>0</v>
      </c>
      <c r="FJ240" s="9" t="n">
        <v>0</v>
      </c>
      <c r="FK240" s="11" t="n">
        <f aca="false">(FG240+FH240+FI240+FJ240)/4</f>
        <v>7.5</v>
      </c>
      <c r="FL240" s="11" t="n">
        <f aca="false">(FG240/DR240)</f>
        <v>0.625</v>
      </c>
      <c r="FM240" s="11" t="n">
        <f aca="false">(FH240/DS240)</f>
        <v>0</v>
      </c>
      <c r="FN240" s="11" t="n">
        <f aca="false">(FI240/DT240)</f>
        <v>0</v>
      </c>
      <c r="FO240" s="11" t="n">
        <f aca="false">(FJ240/DU240)</f>
        <v>0</v>
      </c>
      <c r="FP240" s="11" t="n">
        <f aca="false">(FK240/DV240)</f>
        <v>0.32258064516129</v>
      </c>
      <c r="FQ240" s="11" t="n">
        <f aca="false">(100*FP240)</f>
        <v>32.258064516129</v>
      </c>
      <c r="FR240" s="9" t="n">
        <v>3</v>
      </c>
      <c r="FS240" s="9" t="n">
        <v>42.8</v>
      </c>
      <c r="FT240" s="9" t="n">
        <v>48.7</v>
      </c>
      <c r="FU240" s="9" t="n">
        <v>49.7</v>
      </c>
      <c r="FV240" s="9" t="n">
        <v>48.8</v>
      </c>
      <c r="FW240" s="11" t="n">
        <f aca="false">(FS240+FT240+FU240+FV240)/4</f>
        <v>47.5</v>
      </c>
      <c r="FX240" s="9" t="n">
        <v>0</v>
      </c>
      <c r="FY240" s="9" t="n">
        <v>0</v>
      </c>
      <c r="FZ240" s="9" t="n">
        <v>0</v>
      </c>
      <c r="GA240" s="9" t="n">
        <v>0</v>
      </c>
      <c r="GB240" s="11" t="n">
        <f aca="false">(FX240+FY240+FZ240+GA240)/4</f>
        <v>0</v>
      </c>
      <c r="GC240" s="9" t="n">
        <v>1</v>
      </c>
      <c r="GD240" s="9" t="n">
        <v>1</v>
      </c>
      <c r="GE240" s="9" t="n">
        <v>1</v>
      </c>
      <c r="GF240" s="9" t="n">
        <v>1</v>
      </c>
      <c r="GG240" s="11" t="n">
        <f aca="false">(GC240+GD240+GE240+GF240)/4</f>
        <v>1</v>
      </c>
      <c r="GH240" s="9" t="n">
        <v>1</v>
      </c>
      <c r="GI240" s="9" t="n">
        <v>1</v>
      </c>
      <c r="GJ240" s="9" t="n">
        <v>1</v>
      </c>
      <c r="GK240" s="9" t="n">
        <v>1</v>
      </c>
      <c r="GL240" s="11" t="n">
        <f aca="false">(GH240+GI240+GJ240+GK240)/4</f>
        <v>1</v>
      </c>
      <c r="GM240" s="9" t="n">
        <v>68</v>
      </c>
      <c r="GN240" s="9" t="n">
        <v>226</v>
      </c>
      <c r="GO240" s="9" t="n">
        <v>63</v>
      </c>
      <c r="GP240" s="9" t="n">
        <v>141</v>
      </c>
      <c r="GQ240" s="11" t="n">
        <f aca="false">(GM240+GN240+GO240+GP240)/4</f>
        <v>124.5</v>
      </c>
      <c r="GR240" s="9" t="n">
        <v>23</v>
      </c>
      <c r="GS240" s="9" t="n">
        <v>38</v>
      </c>
      <c r="GT240" s="9" t="n">
        <v>28</v>
      </c>
      <c r="GU240" s="9" t="n">
        <v>22</v>
      </c>
      <c r="GV240" s="11" t="n">
        <f aca="false">(GR240+GS240+GT240+GU240)/4</f>
        <v>27.75</v>
      </c>
      <c r="GW240" s="9" t="n">
        <v>0</v>
      </c>
      <c r="GX240" s="9" t="n">
        <v>0</v>
      </c>
      <c r="GY240" s="9" t="n">
        <v>0</v>
      </c>
      <c r="GZ240" s="9" t="n">
        <v>0</v>
      </c>
      <c r="HA240" s="11" t="n">
        <f aca="false">(GW240+GX240+GY240+GZ240)/4</f>
        <v>0</v>
      </c>
      <c r="HB240" s="9"/>
      <c r="HC240" s="9" t="n">
        <f aca="false">(GX240/GS240)</f>
        <v>0</v>
      </c>
      <c r="HD240" s="9" t="n">
        <f aca="false">(GY240/GT240)</f>
        <v>0</v>
      </c>
      <c r="HE240" s="9" t="n">
        <f aca="false">(GZ240/GU240)/4</f>
        <v>0</v>
      </c>
      <c r="HF240" s="9" t="n">
        <f aca="false">(HB240+HC240+HD240+HE240)/4</f>
        <v>0</v>
      </c>
      <c r="HG240" s="9" t="n">
        <f aca="false">(100*HF240)</f>
        <v>0</v>
      </c>
      <c r="HH240" s="18" t="n">
        <v>0</v>
      </c>
      <c r="HI240" s="9" t="n">
        <v>5</v>
      </c>
      <c r="HJ240" s="9" t="n">
        <v>2</v>
      </c>
      <c r="HK240" s="9" t="n">
        <v>3</v>
      </c>
      <c r="HL240" s="19" t="n">
        <v>5</v>
      </c>
      <c r="HM240" s="9" t="n">
        <f aca="false">(HI240+HJ240+HK240+HL240)/4</f>
        <v>3.75</v>
      </c>
      <c r="HN240" s="9" t="n">
        <f aca="false">(HI240/GR240)</f>
        <v>0.217391304347826</v>
      </c>
      <c r="HO240" s="9" t="n">
        <f aca="false">(HJ240/GS240)</f>
        <v>0.0526315789473684</v>
      </c>
      <c r="HP240" s="9" t="n">
        <f aca="false">(HK240/GT240)</f>
        <v>0.107142857142857</v>
      </c>
      <c r="HQ240" s="9" t="n">
        <f aca="false">(HL240/GU240)</f>
        <v>0.227272727272727</v>
      </c>
      <c r="HR240" s="9" t="n">
        <f aca="false">(HM240/GV240)</f>
        <v>0.135135135135135</v>
      </c>
      <c r="HS240" s="9" t="n">
        <f aca="false">(100*HR240)</f>
        <v>13.5135135135135</v>
      </c>
      <c r="HT240" s="18" t="n">
        <v>2</v>
      </c>
      <c r="HU240" s="9" t="n">
        <v>0</v>
      </c>
      <c r="HV240" s="9" t="n">
        <v>0</v>
      </c>
      <c r="HW240" s="9" t="n">
        <v>0</v>
      </c>
      <c r="HX240" s="19" t="n">
        <v>0</v>
      </c>
      <c r="HY240" s="9" t="n">
        <f aca="false">(HU240+HV240+HW240+HX240)/4</f>
        <v>0</v>
      </c>
      <c r="HZ240" s="9" t="n">
        <f aca="false">(HU240/GR240)</f>
        <v>0</v>
      </c>
      <c r="IA240" s="9" t="n">
        <f aca="false">HV240/GS240</f>
        <v>0</v>
      </c>
      <c r="IB240" s="9" t="n">
        <f aca="false">(HW240/GT240)</f>
        <v>0</v>
      </c>
      <c r="IC240" s="9" t="n">
        <f aca="false">(HX240/GU240)</f>
        <v>0</v>
      </c>
      <c r="ID240" s="9" t="n">
        <f aca="false">(HY240/GV240)</f>
        <v>0</v>
      </c>
      <c r="IE240" s="9" t="n">
        <f aca="false">(100*ID240)</f>
        <v>0</v>
      </c>
      <c r="IF240" s="18" t="n">
        <v>0</v>
      </c>
      <c r="IG240" s="9" t="n">
        <v>6</v>
      </c>
      <c r="IH240" s="9" t="n">
        <v>5</v>
      </c>
      <c r="II240" s="19" t="n">
        <v>40</v>
      </c>
      <c r="IJ240" s="9" t="n">
        <v>10</v>
      </c>
      <c r="IK240" s="9" t="n">
        <f aca="false">(IG240+IH240+II240+IJ240)/4</f>
        <v>15.25</v>
      </c>
      <c r="IL240" s="9" t="n">
        <f aca="false">(IG240/GM240)</f>
        <v>0.0882352941176471</v>
      </c>
      <c r="IM240" s="9" t="n">
        <f aca="false">(IH240/GN240)</f>
        <v>0.0221238938053097</v>
      </c>
      <c r="IN240" s="9" t="n">
        <f aca="false">(II240/GO240)</f>
        <v>0.634920634920635</v>
      </c>
      <c r="IO240" s="9" t="n">
        <f aca="false">(IJ240/GP240)</f>
        <v>0.0709219858156028</v>
      </c>
      <c r="IP240" s="9" t="n">
        <f aca="false">(IK240/GQ240)</f>
        <v>0.122489959839357</v>
      </c>
      <c r="IQ240" s="9" t="n">
        <f aca="false">(100*IP240)</f>
        <v>12.2489959839357</v>
      </c>
      <c r="IR240" s="18" t="n">
        <v>2</v>
      </c>
      <c r="IS240" s="9" t="n">
        <v>48.2</v>
      </c>
      <c r="IT240" s="9" t="n">
        <v>49.1</v>
      </c>
      <c r="IU240" s="19" t="n">
        <v>52.3</v>
      </c>
      <c r="IV240" s="9" t="n">
        <v>55.4</v>
      </c>
      <c r="IW240" s="9" t="n">
        <f aca="false">(IS240+IT240+IU240+IV240)/4</f>
        <v>51.25</v>
      </c>
      <c r="IX240" s="16" t="n">
        <v>45211</v>
      </c>
      <c r="IY240" s="10" t="s">
        <v>268</v>
      </c>
    </row>
    <row r="241" customFormat="false" ht="15.75" hidden="false" customHeight="true" outlineLevel="0" collapsed="false">
      <c r="A241" s="9" t="s">
        <v>343</v>
      </c>
      <c r="B241" s="10" t="s">
        <v>799</v>
      </c>
      <c r="C241" s="10" t="s">
        <v>727</v>
      </c>
      <c r="D241" s="9" t="n">
        <v>4</v>
      </c>
      <c r="E241" s="9" t="n">
        <v>80</v>
      </c>
      <c r="F241" s="10" t="s">
        <v>802</v>
      </c>
      <c r="G241" s="10" t="s">
        <v>275</v>
      </c>
      <c r="H241" s="9" t="n">
        <v>21</v>
      </c>
      <c r="I241" s="9" t="n">
        <v>20</v>
      </c>
      <c r="J241" s="10" t="s">
        <v>272</v>
      </c>
      <c r="K241" s="20"/>
      <c r="L241" s="20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 t="n">
        <v>0</v>
      </c>
      <c r="Y241" s="9" t="n">
        <v>0</v>
      </c>
      <c r="Z241" s="9" t="n">
        <v>0</v>
      </c>
      <c r="AA241" s="9" t="n">
        <v>0</v>
      </c>
      <c r="AB241" s="11" t="n">
        <f aca="false">(X241+Y241+Z241+AA241)/4</f>
        <v>0</v>
      </c>
      <c r="AC241" s="9" t="n">
        <v>1</v>
      </c>
      <c r="AD241" s="9" t="n">
        <v>1</v>
      </c>
      <c r="AE241" s="9" t="n">
        <v>1</v>
      </c>
      <c r="AF241" s="9" t="n">
        <v>1</v>
      </c>
      <c r="AG241" s="11" t="n">
        <f aca="false">(AC241+AD241+AE241+AF241)/4</f>
        <v>1</v>
      </c>
      <c r="AH241" s="9" t="n">
        <v>1</v>
      </c>
      <c r="AI241" s="9" t="n">
        <v>1</v>
      </c>
      <c r="AJ241" s="9" t="n">
        <v>1</v>
      </c>
      <c r="AK241" s="9" t="n">
        <v>1</v>
      </c>
      <c r="AL241" s="11" t="n">
        <f aca="false">(AH241+AI241+AJ241+AK241)/4</f>
        <v>1</v>
      </c>
      <c r="AM241" s="9" t="n">
        <v>7</v>
      </c>
      <c r="AN241" s="9" t="n">
        <v>36</v>
      </c>
      <c r="AO241" s="9" t="n">
        <v>24</v>
      </c>
      <c r="AP241" s="9" t="n">
        <v>14</v>
      </c>
      <c r="AQ241" s="11" t="n">
        <f aca="false">(AM241+AN241+AO241+AP241)/4</f>
        <v>20.25</v>
      </c>
      <c r="AR241" s="9" t="n">
        <v>5</v>
      </c>
      <c r="AS241" s="9" t="n">
        <v>5</v>
      </c>
      <c r="AT241" s="9" t="n">
        <v>3</v>
      </c>
      <c r="AU241" s="9" t="n">
        <v>3</v>
      </c>
      <c r="AV241" s="11" t="n">
        <f aca="false">(AR241+AS241+AT241+AU241)/4</f>
        <v>4</v>
      </c>
      <c r="AW241" s="9" t="n">
        <v>0</v>
      </c>
      <c r="AX241" s="9" t="n">
        <v>0</v>
      </c>
      <c r="AY241" s="9" t="n">
        <v>0</v>
      </c>
      <c r="AZ241" s="9" t="n">
        <v>0</v>
      </c>
      <c r="BA241" s="11" t="n">
        <f aca="false">(AW241+AX241+AY241+AZ241)/4</f>
        <v>0</v>
      </c>
      <c r="BB241" s="11" t="n">
        <f aca="false">(AW241/AR241)</f>
        <v>0</v>
      </c>
      <c r="BC241" s="11" t="n">
        <f aca="false">(AX241/AS241)</f>
        <v>0</v>
      </c>
      <c r="BD241" s="11" t="n">
        <f aca="false">(AY241/AT241)</f>
        <v>0</v>
      </c>
      <c r="BE241" s="11" t="n">
        <f aca="false">(AZ241/AU241)</f>
        <v>0</v>
      </c>
      <c r="BF241" s="11" t="n">
        <f aca="false">(BA241/AV241)</f>
        <v>0</v>
      </c>
      <c r="BG241" s="11" t="n">
        <f aca="false">(BF241*100)</f>
        <v>0</v>
      </c>
      <c r="BH241" s="9" t="n">
        <v>0</v>
      </c>
      <c r="BI241" s="9" t="n">
        <v>3</v>
      </c>
      <c r="BJ241" s="9" t="n">
        <v>3</v>
      </c>
      <c r="BK241" s="9" t="n">
        <v>2</v>
      </c>
      <c r="BL241" s="9" t="n">
        <v>2</v>
      </c>
      <c r="BM241" s="11" t="n">
        <f aca="false">(BI241+BJ241+BK241+BL241)/4</f>
        <v>2.5</v>
      </c>
      <c r="BN241" s="11" t="n">
        <f aca="false">(BI241/AR241)</f>
        <v>0.6</v>
      </c>
      <c r="BO241" s="11" t="n">
        <f aca="false">(BJ241/AS241)</f>
        <v>0.6</v>
      </c>
      <c r="BP241" s="11" t="n">
        <f aca="false">(BK241/AT241)</f>
        <v>0.666666666666667</v>
      </c>
      <c r="BQ241" s="11" t="n">
        <f aca="false">(BL241/AU241)</f>
        <v>0.666666666666667</v>
      </c>
      <c r="BR241" s="11" t="n">
        <f aca="false">(BM241/AV241)</f>
        <v>0.625</v>
      </c>
      <c r="BS241" s="11" t="n">
        <f aca="false">(100*BR241)</f>
        <v>62.5</v>
      </c>
      <c r="BT241" s="9" t="n">
        <v>3</v>
      </c>
      <c r="BU241" s="9" t="n">
        <v>0</v>
      </c>
      <c r="BV241" s="9" t="n">
        <v>0</v>
      </c>
      <c r="BW241" s="9" t="n">
        <v>0</v>
      </c>
      <c r="BX241" s="9" t="n">
        <v>0</v>
      </c>
      <c r="BY241" s="11" t="n">
        <f aca="false">(BU241+BV241+BW241+BX241)/4</f>
        <v>0</v>
      </c>
      <c r="BZ241" s="11" t="n">
        <f aca="false">(BU241/AR241)</f>
        <v>0</v>
      </c>
      <c r="CA241" s="11" t="n">
        <f aca="false">(BV241/AS241)</f>
        <v>0</v>
      </c>
      <c r="CB241" s="11" t="n">
        <f aca="false">(BW241/AT241)</f>
        <v>0</v>
      </c>
      <c r="CC241" s="11" t="n">
        <f aca="false">(BX241/AU241)</f>
        <v>0</v>
      </c>
      <c r="CD241" s="11" t="n">
        <f aca="false">(BY241/AV241)</f>
        <v>0</v>
      </c>
      <c r="CE241" s="11" t="n">
        <f aca="false">(100*CD241)</f>
        <v>0</v>
      </c>
      <c r="CF241" s="9" t="n">
        <v>0</v>
      </c>
      <c r="CG241" s="9" t="n">
        <v>3</v>
      </c>
      <c r="CH241" s="9" t="n">
        <v>10</v>
      </c>
      <c r="CI241" s="9" t="n">
        <v>6</v>
      </c>
      <c r="CJ241" s="9" t="n">
        <v>8</v>
      </c>
      <c r="CK241" s="9"/>
      <c r="CL241" s="9"/>
      <c r="CM241" s="9"/>
      <c r="CN241" s="19"/>
      <c r="CO241" s="9" t="n">
        <f aca="false">(CJ241/AP241)</f>
        <v>0.571428571428571</v>
      </c>
      <c r="CP241" s="9" t="n">
        <f aca="false">(CK241/AQ241)</f>
        <v>0</v>
      </c>
      <c r="CQ241" s="9" t="n">
        <f aca="false">(100*CP241)</f>
        <v>0</v>
      </c>
      <c r="CR241" s="18" t="n">
        <v>0</v>
      </c>
      <c r="CS241" s="9" t="n">
        <v>42.9</v>
      </c>
      <c r="CT241" s="9" t="n">
        <v>55.3</v>
      </c>
      <c r="CU241" s="9" t="n">
        <v>38.7</v>
      </c>
      <c r="CV241" s="9" t="n">
        <v>52.3</v>
      </c>
      <c r="CW241" s="11" t="n">
        <f aca="false">(CS241+CT241+CU241+CV241)/4</f>
        <v>47.3</v>
      </c>
      <c r="CX241" s="9" t="n">
        <v>0</v>
      </c>
      <c r="CY241" s="9" t="n">
        <v>0</v>
      </c>
      <c r="CZ241" s="9" t="n">
        <v>0</v>
      </c>
      <c r="DA241" s="9" t="n">
        <v>0</v>
      </c>
      <c r="DB241" s="11" t="n">
        <f aca="false">(CX241+CY241+CZ241+DA241)/4</f>
        <v>0</v>
      </c>
      <c r="DC241" s="9" t="n">
        <v>1</v>
      </c>
      <c r="DD241" s="9" t="n">
        <v>1</v>
      </c>
      <c r="DE241" s="9" t="n">
        <v>0</v>
      </c>
      <c r="DF241" s="9" t="n">
        <v>1</v>
      </c>
      <c r="DG241" s="11" t="n">
        <f aca="false">(DC241+DD241+DE241+DF241)/4</f>
        <v>0.75</v>
      </c>
      <c r="DH241" s="9" t="n">
        <v>1</v>
      </c>
      <c r="DI241" s="9" t="n">
        <v>1</v>
      </c>
      <c r="DJ241" s="9" t="n">
        <v>1</v>
      </c>
      <c r="DK241" s="9" t="n">
        <v>1</v>
      </c>
      <c r="DL241" s="11" t="n">
        <f aca="false">(DH241+DI241+DJ241+DK241)/4</f>
        <v>1</v>
      </c>
      <c r="DM241" s="11" t="n">
        <v>44</v>
      </c>
      <c r="DN241" s="11" t="n">
        <v>39</v>
      </c>
      <c r="DO241" s="11" t="n">
        <v>145</v>
      </c>
      <c r="DP241" s="11" t="n">
        <v>100</v>
      </c>
      <c r="DQ241" s="11" t="n">
        <f aca="false">(DM241+DN241+DO241+DP241)/4</f>
        <v>82</v>
      </c>
      <c r="DR241" s="9" t="n">
        <v>3</v>
      </c>
      <c r="DS241" s="9" t="n">
        <v>6</v>
      </c>
      <c r="DT241" s="9" t="n">
        <v>15</v>
      </c>
      <c r="DU241" s="9" t="n">
        <v>6</v>
      </c>
      <c r="DV241" s="11" t="n">
        <f aca="false">(DR241+DS241+DT241+DU241)/4</f>
        <v>7.5</v>
      </c>
      <c r="DW241" s="9" t="n">
        <v>0</v>
      </c>
      <c r="DX241" s="9" t="n">
        <v>0</v>
      </c>
      <c r="DY241" s="9" t="n">
        <v>0</v>
      </c>
      <c r="DZ241" s="9" t="n">
        <v>0</v>
      </c>
      <c r="EA241" s="11" t="n">
        <f aca="false">(DW241+DX241+DY241+DZ241)/4</f>
        <v>0</v>
      </c>
      <c r="EB241" s="11" t="n">
        <f aca="false">(DW241/DR241)</f>
        <v>0</v>
      </c>
      <c r="EC241" s="11" t="n">
        <f aca="false">(DX241/DS241)</f>
        <v>0</v>
      </c>
      <c r="ED241" s="11" t="n">
        <f aca="false">(DY241/DT241)</f>
        <v>0</v>
      </c>
      <c r="EE241" s="11" t="n">
        <f aca="false">(DZ241/DU241)</f>
        <v>0</v>
      </c>
      <c r="EF241" s="11" t="n">
        <f aca="false">(EA241/DV241)</f>
        <v>0</v>
      </c>
      <c r="EG241" s="11" t="n">
        <f aca="false">(100*EF241)</f>
        <v>0</v>
      </c>
      <c r="EH241" s="9" t="n">
        <v>0</v>
      </c>
      <c r="EI241" s="9" t="n">
        <v>1</v>
      </c>
      <c r="EJ241" s="9" t="n">
        <v>2</v>
      </c>
      <c r="EK241" s="19" t="n">
        <v>0</v>
      </c>
      <c r="EL241" s="9" t="n">
        <v>4</v>
      </c>
      <c r="EM241" s="9" t="n">
        <f aca="false">(EI241+EJ241+EK241+EL241)/4</f>
        <v>1.75</v>
      </c>
      <c r="EN241" s="9" t="n">
        <f aca="false">(EI241/DR241)</f>
        <v>0.333333333333333</v>
      </c>
      <c r="EO241" s="9" t="n">
        <f aca="false">(EJ241/DS241)</f>
        <v>0.333333333333333</v>
      </c>
      <c r="EP241" s="9" t="n">
        <f aca="false">(EK241/DT241)</f>
        <v>0</v>
      </c>
      <c r="EQ241" s="9" t="n">
        <f aca="false">(EL241/DU241)</f>
        <v>0.666666666666667</v>
      </c>
      <c r="ER241" s="9" t="n">
        <f aca="false">EM241/DV241</f>
        <v>0.233333333333333</v>
      </c>
      <c r="ES241" s="9" t="n">
        <f aca="false">(100*ER241)</f>
        <v>23.3333333333333</v>
      </c>
      <c r="ET241" s="9" t="n">
        <v>3</v>
      </c>
      <c r="EU241" s="18" t="n">
        <v>0</v>
      </c>
      <c r="EV241" s="9" t="n">
        <v>1</v>
      </c>
      <c r="EW241" s="9" t="n">
        <v>0</v>
      </c>
      <c r="EX241" s="9" t="n">
        <v>0</v>
      </c>
      <c r="EY241" s="11" t="n">
        <f aca="false">(EU241+EV241+EW241+EX241)/4</f>
        <v>0.25</v>
      </c>
      <c r="EZ241" s="11" t="n">
        <f aca="false">(EU241/DR241)</f>
        <v>0</v>
      </c>
      <c r="FA241" s="11" t="n">
        <f aca="false">(EV241/DS241)</f>
        <v>0.166666666666667</v>
      </c>
      <c r="FB241" s="11" t="n">
        <f aca="false">(EW241/DT241)</f>
        <v>0</v>
      </c>
      <c r="FC241" s="11" t="n">
        <f aca="false">(EX241/DU241)</f>
        <v>0</v>
      </c>
      <c r="FD241" s="11" t="n">
        <f aca="false">(EY241/DV241)</f>
        <v>0.0333333333333333</v>
      </c>
      <c r="FE241" s="11" t="n">
        <f aca="false">(100*FD241)</f>
        <v>3.33333333333333</v>
      </c>
      <c r="FF241" s="9" t="n">
        <v>1</v>
      </c>
      <c r="FG241" s="9" t="n">
        <v>6</v>
      </c>
      <c r="FH241" s="9" t="n">
        <v>0</v>
      </c>
      <c r="FI241" s="9" t="n">
        <v>18</v>
      </c>
      <c r="FJ241" s="9" t="n">
        <v>12</v>
      </c>
      <c r="FK241" s="11" t="n">
        <f aca="false">(FG241+FH241+FI241+FJ241)/4</f>
        <v>9</v>
      </c>
      <c r="FL241" s="11" t="n">
        <f aca="false">(FG241/DR241)</f>
        <v>2</v>
      </c>
      <c r="FM241" s="11" t="n">
        <f aca="false">(FH241/DS241)</f>
        <v>0</v>
      </c>
      <c r="FN241" s="11" t="n">
        <f aca="false">(FI241/DT241)</f>
        <v>1.2</v>
      </c>
      <c r="FO241" s="11" t="n">
        <f aca="false">(FJ241/DU241)</f>
        <v>2</v>
      </c>
      <c r="FP241" s="11" t="n">
        <f aca="false">(FK241/DV241)</f>
        <v>1.2</v>
      </c>
      <c r="FQ241" s="11" t="n">
        <f aca="false">(100*FP241)</f>
        <v>120</v>
      </c>
      <c r="FR241" s="9" t="n">
        <v>3</v>
      </c>
      <c r="FS241" s="9" t="n">
        <v>37.5</v>
      </c>
      <c r="FT241" s="9" t="n">
        <v>42.3</v>
      </c>
      <c r="FU241" s="9" t="n">
        <v>46.9</v>
      </c>
      <c r="FV241" s="9" t="n">
        <v>47.4</v>
      </c>
      <c r="FW241" s="11" t="n">
        <f aca="false">(FS241+FT241+FU241+FV241)/4</f>
        <v>43.525</v>
      </c>
      <c r="FX241" s="9" t="n">
        <v>0</v>
      </c>
      <c r="FY241" s="9" t="n">
        <v>0</v>
      </c>
      <c r="FZ241" s="9" t="n">
        <v>0</v>
      </c>
      <c r="GA241" s="9" t="n">
        <v>0</v>
      </c>
      <c r="GB241" s="11" t="n">
        <f aca="false">(FX241+FY241+FZ241+GA241)/4</f>
        <v>0</v>
      </c>
      <c r="GC241" s="9" t="n">
        <v>1</v>
      </c>
      <c r="GD241" s="9" t="n">
        <v>1</v>
      </c>
      <c r="GE241" s="9" t="n">
        <v>1</v>
      </c>
      <c r="GF241" s="9" t="n">
        <v>1</v>
      </c>
      <c r="GG241" s="11" t="n">
        <f aca="false">(GC241+GD241+GE241+GF241)/4</f>
        <v>1</v>
      </c>
      <c r="GH241" s="9" t="n">
        <v>1</v>
      </c>
      <c r="GI241" s="9" t="n">
        <v>1</v>
      </c>
      <c r="GJ241" s="9" t="n">
        <v>1</v>
      </c>
      <c r="GK241" s="9" t="n">
        <v>1</v>
      </c>
      <c r="GL241" s="11" t="n">
        <f aca="false">(GH241+GI241+GJ241+GK241)/4</f>
        <v>1</v>
      </c>
      <c r="GM241" s="9" t="n">
        <v>182</v>
      </c>
      <c r="GN241" s="9" t="n">
        <v>63</v>
      </c>
      <c r="GO241" s="9" t="n">
        <v>43</v>
      </c>
      <c r="GP241" s="9" t="n">
        <v>64</v>
      </c>
      <c r="GQ241" s="11" t="n">
        <f aca="false">(GM241+GN241+GO241+GP241)/4</f>
        <v>88</v>
      </c>
      <c r="GR241" s="9" t="n">
        <v>6</v>
      </c>
      <c r="GS241" s="9" t="n">
        <v>13</v>
      </c>
      <c r="GT241" s="9" t="n">
        <v>4</v>
      </c>
      <c r="GU241" s="9" t="n">
        <v>14</v>
      </c>
      <c r="GV241" s="11" t="n">
        <f aca="false">(GR241+GS241+GT241+GU241)/4</f>
        <v>9.25</v>
      </c>
      <c r="GW241" s="9" t="n">
        <v>0</v>
      </c>
      <c r="GX241" s="9" t="n">
        <v>0</v>
      </c>
      <c r="GY241" s="9" t="n">
        <v>0</v>
      </c>
      <c r="GZ241" s="9" t="n">
        <v>0</v>
      </c>
      <c r="HA241" s="11" t="n">
        <f aca="false">(GW241+GX241+GY241+GZ241)/4</f>
        <v>0</v>
      </c>
      <c r="HB241" s="9"/>
      <c r="HC241" s="9" t="n">
        <f aca="false">(GX241/GS241)</f>
        <v>0</v>
      </c>
      <c r="HD241" s="9" t="n">
        <f aca="false">(GY241/GT241)</f>
        <v>0</v>
      </c>
      <c r="HE241" s="9" t="n">
        <f aca="false">(GZ241/GU241)/4</f>
        <v>0</v>
      </c>
      <c r="HF241" s="9" t="n">
        <f aca="false">(HB241+HC241+HD241+HE241)/4</f>
        <v>0</v>
      </c>
      <c r="HG241" s="9" t="n">
        <f aca="false">(100*HF241)</f>
        <v>0</v>
      </c>
      <c r="HH241" s="18" t="n">
        <v>0</v>
      </c>
      <c r="HI241" s="9" t="n">
        <v>3</v>
      </c>
      <c r="HJ241" s="9" t="n">
        <v>3</v>
      </c>
      <c r="HK241" s="9" t="n">
        <v>4</v>
      </c>
      <c r="HL241" s="19" t="n">
        <v>3</v>
      </c>
      <c r="HM241" s="9" t="n">
        <f aca="false">(HI241+HJ241+HK241+HL241)/4</f>
        <v>3.25</v>
      </c>
      <c r="HN241" s="9" t="n">
        <f aca="false">(HI241/GR241)</f>
        <v>0.5</v>
      </c>
      <c r="HO241" s="9" t="n">
        <f aca="false">(HJ241/GS241)</f>
        <v>0.230769230769231</v>
      </c>
      <c r="HP241" s="9" t="n">
        <f aca="false">(HK241/GT241)</f>
        <v>1</v>
      </c>
      <c r="HQ241" s="9" t="n">
        <f aca="false">(HL241/GU241)</f>
        <v>0.214285714285714</v>
      </c>
      <c r="HR241" s="9" t="n">
        <f aca="false">(HM241/GV241)</f>
        <v>0.351351351351351</v>
      </c>
      <c r="HS241" s="9" t="n">
        <f aca="false">(100*HR241)</f>
        <v>35.1351351351351</v>
      </c>
      <c r="HT241" s="18" t="n">
        <v>3</v>
      </c>
      <c r="HU241" s="9" t="n">
        <v>0</v>
      </c>
      <c r="HV241" s="9" t="n">
        <v>0</v>
      </c>
      <c r="HW241" s="9" t="n">
        <v>0</v>
      </c>
      <c r="HX241" s="19" t="n">
        <v>0</v>
      </c>
      <c r="HY241" s="9" t="n">
        <f aca="false">(HU241+HV241+HW241+HX241)/4</f>
        <v>0</v>
      </c>
      <c r="HZ241" s="9" t="n">
        <f aca="false">(HU241/GR241)</f>
        <v>0</v>
      </c>
      <c r="IA241" s="9" t="n">
        <f aca="false">HV241/GS241</f>
        <v>0</v>
      </c>
      <c r="IB241" s="9" t="n">
        <f aca="false">(HW241/GT241)</f>
        <v>0</v>
      </c>
      <c r="IC241" s="9" t="n">
        <f aca="false">(HX241/GU241)</f>
        <v>0</v>
      </c>
      <c r="ID241" s="9" t="n">
        <f aca="false">(HY241/GV241)</f>
        <v>0</v>
      </c>
      <c r="IE241" s="9" t="n">
        <f aca="false">(100*ID241)</f>
        <v>0</v>
      </c>
      <c r="IF241" s="18" t="n">
        <v>0</v>
      </c>
      <c r="IG241" s="9" t="n">
        <v>20</v>
      </c>
      <c r="IH241" s="9" t="n">
        <v>5</v>
      </c>
      <c r="II241" s="19" t="n">
        <v>4</v>
      </c>
      <c r="IJ241" s="9" t="n">
        <v>3</v>
      </c>
      <c r="IK241" s="9" t="n">
        <f aca="false">(IG241+IH241+II241+IJ241)/4</f>
        <v>8</v>
      </c>
      <c r="IL241" s="9" t="n">
        <f aca="false">(IG241/GM241)</f>
        <v>0.10989010989011</v>
      </c>
      <c r="IM241" s="9" t="n">
        <f aca="false">(IH241/GN241)</f>
        <v>0.0793650793650794</v>
      </c>
      <c r="IN241" s="9" t="n">
        <f aca="false">(II241/GO241)</f>
        <v>0.0930232558139535</v>
      </c>
      <c r="IO241" s="9" t="n">
        <f aca="false">(IJ241/GP241)</f>
        <v>0.046875</v>
      </c>
      <c r="IP241" s="9" t="n">
        <f aca="false">(IK241/GQ241)</f>
        <v>0.0909090909090909</v>
      </c>
      <c r="IQ241" s="9" t="n">
        <f aca="false">(100*IP241)</f>
        <v>9.09090909090909</v>
      </c>
      <c r="IR241" s="18" t="n">
        <v>1</v>
      </c>
      <c r="IS241" s="9" t="n">
        <v>48.7</v>
      </c>
      <c r="IT241" s="9" t="n">
        <v>57.7</v>
      </c>
      <c r="IU241" s="19" t="n">
        <v>26.2</v>
      </c>
      <c r="IV241" s="9" t="n">
        <v>48.7</v>
      </c>
      <c r="IW241" s="9" t="n">
        <f aca="false">(IS241+IT241+IU241+IV241)/4</f>
        <v>45.325</v>
      </c>
      <c r="IX241" s="16" t="n">
        <v>45211</v>
      </c>
      <c r="IY241" s="10" t="s">
        <v>268</v>
      </c>
    </row>
    <row r="242" customFormat="false" ht="15.75" hidden="false" customHeight="true" outlineLevel="0" collapsed="false">
      <c r="A242" s="9" t="s">
        <v>343</v>
      </c>
      <c r="B242" s="10" t="s">
        <v>803</v>
      </c>
      <c r="C242" s="10" t="s">
        <v>727</v>
      </c>
      <c r="D242" s="9" t="n">
        <v>5</v>
      </c>
      <c r="E242" s="9" t="n">
        <v>81</v>
      </c>
      <c r="F242" s="10" t="s">
        <v>804</v>
      </c>
      <c r="G242" s="10" t="s">
        <v>275</v>
      </c>
      <c r="H242" s="9" t="n">
        <v>21</v>
      </c>
      <c r="I242" s="9" t="n">
        <v>3</v>
      </c>
      <c r="J242" s="12" t="s">
        <v>264</v>
      </c>
      <c r="K242" s="13" t="s">
        <v>805</v>
      </c>
      <c r="L242" s="13" t="s">
        <v>806</v>
      </c>
      <c r="M242" s="14" t="n">
        <v>1305</v>
      </c>
      <c r="N242" s="15" t="n">
        <v>45135</v>
      </c>
      <c r="O242" s="10" t="s">
        <v>267</v>
      </c>
      <c r="P242" s="9"/>
      <c r="Q242" s="9" t="n">
        <v>15.29</v>
      </c>
      <c r="R242" s="9" t="n">
        <v>10</v>
      </c>
      <c r="S242" s="9" t="n">
        <v>-15</v>
      </c>
      <c r="T242" s="9" t="n">
        <v>110</v>
      </c>
      <c r="U242" s="9"/>
      <c r="V242" s="9" t="n">
        <v>1.35</v>
      </c>
      <c r="W242" s="22" t="s">
        <v>807</v>
      </c>
      <c r="X242" s="9" t="n">
        <v>0</v>
      </c>
      <c r="Y242" s="9" t="n">
        <v>0</v>
      </c>
      <c r="Z242" s="9" t="n">
        <v>1</v>
      </c>
      <c r="AA242" s="9" t="n">
        <v>0</v>
      </c>
      <c r="AB242" s="11" t="n">
        <f aca="false">(X242+Y242+Z242+AA242)/4</f>
        <v>0.25</v>
      </c>
      <c r="AC242" s="9" t="n">
        <v>1</v>
      </c>
      <c r="AD242" s="9" t="n">
        <v>1</v>
      </c>
      <c r="AE242" s="9" t="n">
        <v>1</v>
      </c>
      <c r="AF242" s="9" t="n">
        <v>1</v>
      </c>
      <c r="AG242" s="11" t="n">
        <f aca="false">(AC242+AD242+AE242+AF242)/4</f>
        <v>1</v>
      </c>
      <c r="AH242" s="9" t="n">
        <v>1</v>
      </c>
      <c r="AI242" s="9" t="n">
        <v>1</v>
      </c>
      <c r="AJ242" s="9" t="n">
        <v>1</v>
      </c>
      <c r="AK242" s="9" t="n">
        <v>1</v>
      </c>
      <c r="AL242" s="11" t="n">
        <f aca="false">(AH242+AI242+AJ242+AK242)/4</f>
        <v>1</v>
      </c>
      <c r="AM242" s="9" t="n">
        <v>84</v>
      </c>
      <c r="AN242" s="9" t="n">
        <v>49</v>
      </c>
      <c r="AO242" s="9" t="n">
        <v>128</v>
      </c>
      <c r="AP242" s="9" t="n">
        <v>114</v>
      </c>
      <c r="AQ242" s="11" t="n">
        <f aca="false">(AM242+AN242+AO242+AP242)/4</f>
        <v>93.75</v>
      </c>
      <c r="AR242" s="9" t="n">
        <v>19</v>
      </c>
      <c r="AS242" s="9" t="n">
        <v>8</v>
      </c>
      <c r="AT242" s="9" t="n">
        <v>7</v>
      </c>
      <c r="AU242" s="9" t="n">
        <v>3</v>
      </c>
      <c r="AV242" s="11" t="n">
        <f aca="false">(AR242+AS242+AT242+AU242)/4</f>
        <v>9.25</v>
      </c>
      <c r="AW242" s="9" t="n">
        <v>0</v>
      </c>
      <c r="AX242" s="9" t="n">
        <v>0</v>
      </c>
      <c r="AY242" s="9" t="n">
        <v>1</v>
      </c>
      <c r="AZ242" s="9" t="n">
        <v>0</v>
      </c>
      <c r="BA242" s="11" t="n">
        <f aca="false">(AW242+AX242+AY242+AZ242)/4</f>
        <v>0.25</v>
      </c>
      <c r="BB242" s="11" t="n">
        <f aca="false">(AW242/AR242)</f>
        <v>0</v>
      </c>
      <c r="BC242" s="11" t="n">
        <f aca="false">(AX242/AS242)</f>
        <v>0</v>
      </c>
      <c r="BD242" s="11" t="n">
        <f aca="false">(AY242/AT242)</f>
        <v>0.142857142857143</v>
      </c>
      <c r="BE242" s="11" t="n">
        <f aca="false">(AZ242/AU242)</f>
        <v>0</v>
      </c>
      <c r="BF242" s="11" t="n">
        <f aca="false">(BA242/AV242)</f>
        <v>0.027027027027027</v>
      </c>
      <c r="BG242" s="11" t="n">
        <f aca="false">(BF242*100)</f>
        <v>2.7027027027027</v>
      </c>
      <c r="BH242" s="9" t="n">
        <v>1</v>
      </c>
      <c r="BI242" s="9" t="n">
        <v>8</v>
      </c>
      <c r="BJ242" s="9" t="n">
        <v>2</v>
      </c>
      <c r="BK242" s="9" t="n">
        <v>4</v>
      </c>
      <c r="BL242" s="9" t="n">
        <v>3</v>
      </c>
      <c r="BM242" s="11" t="n">
        <f aca="false">(BI242+BJ242+BK242+BL242)/4</f>
        <v>4.25</v>
      </c>
      <c r="BN242" s="11" t="n">
        <f aca="false">(BI242/AR242)</f>
        <v>0.421052631578947</v>
      </c>
      <c r="BO242" s="11" t="n">
        <f aca="false">(BJ242/AS242)</f>
        <v>0.25</v>
      </c>
      <c r="BP242" s="11" t="n">
        <f aca="false">(BK242/AT242)</f>
        <v>0.571428571428571</v>
      </c>
      <c r="BQ242" s="11" t="n">
        <f aca="false">(BL242/AU242)</f>
        <v>1</v>
      </c>
      <c r="BR242" s="11" t="n">
        <f aca="false">(BM242/AV242)</f>
        <v>0.45945945945946</v>
      </c>
      <c r="BS242" s="11" t="n">
        <f aca="false">(100*BR242)</f>
        <v>45.945945945946</v>
      </c>
      <c r="BT242" s="9" t="n">
        <v>3</v>
      </c>
      <c r="BU242" s="9" t="n">
        <v>0</v>
      </c>
      <c r="BV242" s="9" t="n">
        <v>0</v>
      </c>
      <c r="BW242" s="9" t="n">
        <v>0</v>
      </c>
      <c r="BX242" s="9" t="n">
        <v>0</v>
      </c>
      <c r="BY242" s="11" t="n">
        <f aca="false">(BU242+BV242+BW242+BX242)/4</f>
        <v>0</v>
      </c>
      <c r="BZ242" s="11" t="n">
        <f aca="false">(BU242/AR242)</f>
        <v>0</v>
      </c>
      <c r="CA242" s="11" t="n">
        <f aca="false">(BV242/AS242)</f>
        <v>0</v>
      </c>
      <c r="CB242" s="11" t="n">
        <f aca="false">(BW242/AT242)</f>
        <v>0</v>
      </c>
      <c r="CC242" s="11" t="n">
        <f aca="false">(BX242/AU242)</f>
        <v>0</v>
      </c>
      <c r="CD242" s="11" t="n">
        <f aca="false">(BY242/AV242)</f>
        <v>0</v>
      </c>
      <c r="CE242" s="11" t="n">
        <f aca="false">(100*CD242)</f>
        <v>0</v>
      </c>
      <c r="CF242" s="9" t="n">
        <v>0</v>
      </c>
      <c r="CG242" s="9" t="n">
        <v>7</v>
      </c>
      <c r="CH242" s="9" t="n">
        <v>7</v>
      </c>
      <c r="CI242" s="9" t="n">
        <v>28</v>
      </c>
      <c r="CJ242" s="9" t="n">
        <v>15</v>
      </c>
      <c r="CK242" s="9"/>
      <c r="CL242" s="9"/>
      <c r="CM242" s="9"/>
      <c r="CN242" s="19"/>
      <c r="CO242" s="9" t="n">
        <f aca="false">(CJ242/AP242)</f>
        <v>0.131578947368421</v>
      </c>
      <c r="CP242" s="9" t="n">
        <f aca="false">(CK242/AQ242)</f>
        <v>0</v>
      </c>
      <c r="CQ242" s="9" t="n">
        <f aca="false">(100*CP242)</f>
        <v>0</v>
      </c>
      <c r="CR242" s="18" t="n">
        <v>0</v>
      </c>
      <c r="CS242" s="9" t="n">
        <v>69.9</v>
      </c>
      <c r="CT242" s="9" t="n">
        <v>52.2</v>
      </c>
      <c r="CU242" s="9" t="n">
        <v>54.6</v>
      </c>
      <c r="CV242" s="9" t="n">
        <v>58.1</v>
      </c>
      <c r="CW242" s="11" t="n">
        <f aca="false">(CS242+CT242+CU242+CV242)/4</f>
        <v>58.7</v>
      </c>
      <c r="CX242" s="9" t="n">
        <v>0</v>
      </c>
      <c r="CY242" s="9" t="n">
        <v>0</v>
      </c>
      <c r="CZ242" s="9" t="n">
        <v>0</v>
      </c>
      <c r="DA242" s="9" t="n">
        <v>0</v>
      </c>
      <c r="DB242" s="11" t="n">
        <f aca="false">(CX242+CY242+CZ242+DA242)/4</f>
        <v>0</v>
      </c>
      <c r="DC242" s="9" t="n">
        <v>1</v>
      </c>
      <c r="DD242" s="9" t="n">
        <v>1</v>
      </c>
      <c r="DE242" s="9" t="n">
        <v>1</v>
      </c>
      <c r="DF242" s="9" t="n">
        <v>1</v>
      </c>
      <c r="DG242" s="11" t="n">
        <f aca="false">(DC242+DD242+DE242+DF242)/4</f>
        <v>1</v>
      </c>
      <c r="DH242" s="9" t="n">
        <v>1</v>
      </c>
      <c r="DI242" s="9" t="n">
        <v>1</v>
      </c>
      <c r="DJ242" s="9" t="n">
        <v>1</v>
      </c>
      <c r="DK242" s="9" t="n">
        <v>1</v>
      </c>
      <c r="DL242" s="11" t="n">
        <f aca="false">(DH242+DI242+DJ242+DK242)/4</f>
        <v>1</v>
      </c>
      <c r="DM242" s="9" t="n">
        <v>122</v>
      </c>
      <c r="DN242" s="9" t="n">
        <v>150</v>
      </c>
      <c r="DO242" s="9" t="n">
        <v>96</v>
      </c>
      <c r="DP242" s="9" t="n">
        <v>165</v>
      </c>
      <c r="DQ242" s="11" t="n">
        <f aca="false">(DM242+DN242+DO242+DP242)/4</f>
        <v>133.25</v>
      </c>
      <c r="DR242" s="9" t="n">
        <v>25</v>
      </c>
      <c r="DS242" s="9" t="n">
        <v>13</v>
      </c>
      <c r="DT242" s="9" t="n">
        <v>5</v>
      </c>
      <c r="DU242" s="9" t="n">
        <v>8</v>
      </c>
      <c r="DV242" s="11" t="n">
        <f aca="false">(DR242+DS242+DT242+DU242)/4</f>
        <v>12.75</v>
      </c>
      <c r="DW242" s="9" t="n">
        <v>0</v>
      </c>
      <c r="DX242" s="9" t="n">
        <v>0</v>
      </c>
      <c r="DY242" s="9" t="n">
        <v>0</v>
      </c>
      <c r="DZ242" s="9" t="n">
        <v>0</v>
      </c>
      <c r="EA242" s="11" t="n">
        <f aca="false">(DW242+DX242+DY242+DZ242)/4</f>
        <v>0</v>
      </c>
      <c r="EB242" s="11" t="n">
        <f aca="false">(DW242/DR242)</f>
        <v>0</v>
      </c>
      <c r="EC242" s="11" t="n">
        <f aca="false">(DX242/DS242)</f>
        <v>0</v>
      </c>
      <c r="ED242" s="11" t="n">
        <f aca="false">(DY242/DT242)</f>
        <v>0</v>
      </c>
      <c r="EE242" s="11" t="n">
        <f aca="false">(DZ242/DU242)</f>
        <v>0</v>
      </c>
      <c r="EF242" s="11" t="n">
        <f aca="false">(EA242/DV242)</f>
        <v>0</v>
      </c>
      <c r="EG242" s="11" t="n">
        <f aca="false">(100*EF242)</f>
        <v>0</v>
      </c>
      <c r="EH242" s="9" t="n">
        <v>0</v>
      </c>
      <c r="EI242" s="9" t="n">
        <v>12</v>
      </c>
      <c r="EJ242" s="9" t="n">
        <v>7</v>
      </c>
      <c r="EK242" s="19" t="n">
        <v>4</v>
      </c>
      <c r="EL242" s="9" t="n">
        <v>6</v>
      </c>
      <c r="EM242" s="9" t="n">
        <f aca="false">(EI242+EJ242+EK242+EL242)/4</f>
        <v>7.25</v>
      </c>
      <c r="EN242" s="9" t="n">
        <f aca="false">(EI242/DR242)</f>
        <v>0.48</v>
      </c>
      <c r="EO242" s="9" t="n">
        <f aca="false">(EJ242/DS242)</f>
        <v>0.538461538461538</v>
      </c>
      <c r="EP242" s="9" t="n">
        <f aca="false">(EK242/DT242)</f>
        <v>0.8</v>
      </c>
      <c r="EQ242" s="9" t="n">
        <f aca="false">(EL242/DU242)</f>
        <v>0.75</v>
      </c>
      <c r="ER242" s="9" t="n">
        <f aca="false">EM242/DV242</f>
        <v>0.568627450980392</v>
      </c>
      <c r="ES242" s="9" t="n">
        <f aca="false">(100*ER242)</f>
        <v>56.8627450980392</v>
      </c>
      <c r="ET242" s="9" t="n">
        <v>3</v>
      </c>
      <c r="EU242" s="18" t="n">
        <v>0</v>
      </c>
      <c r="EV242" s="9" t="n">
        <v>0</v>
      </c>
      <c r="EW242" s="9" t="n">
        <v>0</v>
      </c>
      <c r="EX242" s="9" t="n">
        <v>0</v>
      </c>
      <c r="EY242" s="11" t="n">
        <f aca="false">(EU242+EV242+EW242+EX242)/4</f>
        <v>0</v>
      </c>
      <c r="EZ242" s="11" t="n">
        <f aca="false">(EU242/DR242)</f>
        <v>0</v>
      </c>
      <c r="FA242" s="11" t="n">
        <f aca="false">(EV242/DS242)</f>
        <v>0</v>
      </c>
      <c r="FB242" s="11" t="n">
        <f aca="false">(EW242/DT242)</f>
        <v>0</v>
      </c>
      <c r="FC242" s="11" t="n">
        <f aca="false">(EX242/DU242)</f>
        <v>0</v>
      </c>
      <c r="FD242" s="11" t="n">
        <f aca="false">(EY242/DV242)</f>
        <v>0</v>
      </c>
      <c r="FE242" s="11" t="n">
        <f aca="false">(100*FD242)</f>
        <v>0</v>
      </c>
      <c r="FF242" s="9" t="n">
        <v>0</v>
      </c>
      <c r="FG242" s="9" t="n">
        <v>10</v>
      </c>
      <c r="FH242" s="9" t="n">
        <v>22</v>
      </c>
      <c r="FI242" s="9" t="n">
        <v>5</v>
      </c>
      <c r="FJ242" s="9" t="n">
        <v>2</v>
      </c>
      <c r="FK242" s="11" t="n">
        <f aca="false">(FG242+FH242+FI242+FJ242)/4</f>
        <v>9.75</v>
      </c>
      <c r="FL242" s="11" t="n">
        <f aca="false">(FG242/DR242)</f>
        <v>0.4</v>
      </c>
      <c r="FM242" s="11" t="n">
        <f aca="false">(FH242/DS242)</f>
        <v>1.69230769230769</v>
      </c>
      <c r="FN242" s="11" t="n">
        <f aca="false">(FI242/DT242)</f>
        <v>1</v>
      </c>
      <c r="FO242" s="11" t="n">
        <f aca="false">(FJ242/DU242)</f>
        <v>0.25</v>
      </c>
      <c r="FP242" s="11" t="n">
        <f aca="false">(FK242/DV242)</f>
        <v>0.764705882352941</v>
      </c>
      <c r="FQ242" s="11" t="n">
        <f aca="false">(100*FP242)</f>
        <v>76.4705882352941</v>
      </c>
      <c r="FR242" s="9" t="n">
        <v>3</v>
      </c>
      <c r="FS242" s="9" t="n">
        <v>66.9</v>
      </c>
      <c r="FT242" s="9" t="n">
        <v>64.6</v>
      </c>
      <c r="FU242" s="9" t="n">
        <v>54.5</v>
      </c>
      <c r="FV242" s="9" t="n">
        <v>42.9</v>
      </c>
      <c r="FW242" s="11" t="n">
        <f aca="false">(FS242+FT242+FU242+FV242)/4</f>
        <v>57.225</v>
      </c>
      <c r="FX242" s="9" t="n">
        <v>0</v>
      </c>
      <c r="FY242" s="9" t="n">
        <v>0</v>
      </c>
      <c r="FZ242" s="9" t="n">
        <v>0</v>
      </c>
      <c r="GA242" s="9" t="n">
        <v>0</v>
      </c>
      <c r="GB242" s="11" t="n">
        <f aca="false">(FX242+FY242+FZ242+GA242)/4</f>
        <v>0</v>
      </c>
      <c r="GC242" s="9" t="n">
        <v>1</v>
      </c>
      <c r="GD242" s="9" t="n">
        <v>1</v>
      </c>
      <c r="GE242" s="9" t="n">
        <v>1</v>
      </c>
      <c r="GF242" s="9" t="n">
        <v>1</v>
      </c>
      <c r="GG242" s="11" t="n">
        <f aca="false">(GC242+GD242+GE242+GF242)/4</f>
        <v>1</v>
      </c>
      <c r="GH242" s="9" t="n">
        <v>1</v>
      </c>
      <c r="GI242" s="9" t="n">
        <v>1</v>
      </c>
      <c r="GJ242" s="9" t="n">
        <v>1</v>
      </c>
      <c r="GK242" s="9" t="n">
        <v>1</v>
      </c>
      <c r="GL242" s="11" t="n">
        <f aca="false">(GH242+GI242+GJ242+GK242)/4</f>
        <v>1</v>
      </c>
      <c r="GM242" s="9" t="n">
        <v>137</v>
      </c>
      <c r="GN242" s="9" t="n">
        <v>151</v>
      </c>
      <c r="GO242" s="9" t="n">
        <v>104</v>
      </c>
      <c r="GP242" s="9" t="n">
        <v>77</v>
      </c>
      <c r="GQ242" s="11" t="n">
        <f aca="false">(GM242+GN242+GO242+GP242)/4</f>
        <v>117.25</v>
      </c>
      <c r="GR242" s="9" t="n">
        <v>12</v>
      </c>
      <c r="GS242" s="9" t="n">
        <v>11</v>
      </c>
      <c r="GT242" s="9" t="n">
        <v>6</v>
      </c>
      <c r="GU242" s="9" t="n">
        <v>25</v>
      </c>
      <c r="GV242" s="11" t="n">
        <f aca="false">(GR242+GS242+GT242+GU242)/4</f>
        <v>13.5</v>
      </c>
      <c r="GW242" s="9" t="n">
        <v>0</v>
      </c>
      <c r="GX242" s="9" t="n">
        <v>0</v>
      </c>
      <c r="GY242" s="9" t="n">
        <v>0</v>
      </c>
      <c r="GZ242" s="9" t="n">
        <v>0</v>
      </c>
      <c r="HA242" s="11" t="n">
        <f aca="false">(GW242+GX242+GY242+GZ242)/4</f>
        <v>0</v>
      </c>
      <c r="HB242" s="9"/>
      <c r="HC242" s="9" t="n">
        <f aca="false">(GX242/GS242)</f>
        <v>0</v>
      </c>
      <c r="HD242" s="9" t="n">
        <f aca="false">(GY242/GT242)</f>
        <v>0</v>
      </c>
      <c r="HE242" s="9" t="n">
        <f aca="false">(GZ242/GU242)/4</f>
        <v>0</v>
      </c>
      <c r="HF242" s="9" t="n">
        <f aca="false">(HB242+HC242+HD242+HE242)/4</f>
        <v>0</v>
      </c>
      <c r="HG242" s="9" t="n">
        <f aca="false">(100*HF242)</f>
        <v>0</v>
      </c>
      <c r="HH242" s="18" t="n">
        <v>0</v>
      </c>
      <c r="HI242" s="9" t="n">
        <v>5</v>
      </c>
      <c r="HJ242" s="9" t="n">
        <v>5</v>
      </c>
      <c r="HK242" s="9" t="n">
        <v>6</v>
      </c>
      <c r="HL242" s="19" t="n">
        <v>10</v>
      </c>
      <c r="HM242" s="9" t="n">
        <f aca="false">(HI242+HJ242+HK242+HL242)/4</f>
        <v>6.5</v>
      </c>
      <c r="HN242" s="9" t="n">
        <f aca="false">(HI242/GR242)</f>
        <v>0.416666666666667</v>
      </c>
      <c r="HO242" s="9" t="n">
        <f aca="false">(HJ242/GS242)</f>
        <v>0.454545454545455</v>
      </c>
      <c r="HP242" s="9" t="n">
        <f aca="false">(HK242/GT242)</f>
        <v>1</v>
      </c>
      <c r="HQ242" s="9" t="n">
        <f aca="false">(HL242/GU242)</f>
        <v>0.4</v>
      </c>
      <c r="HR242" s="9" t="n">
        <f aca="false">(HM242/GV242)</f>
        <v>0.481481481481481</v>
      </c>
      <c r="HS242" s="9" t="n">
        <f aca="false">(100*HR242)</f>
        <v>48.1481481481481</v>
      </c>
      <c r="HT242" s="18" t="n">
        <v>3</v>
      </c>
      <c r="HU242" s="9" t="n">
        <v>0</v>
      </c>
      <c r="HV242" s="9" t="n">
        <v>0</v>
      </c>
      <c r="HW242" s="9" t="n">
        <v>0</v>
      </c>
      <c r="HX242" s="19" t="n">
        <v>0</v>
      </c>
      <c r="HY242" s="9" t="n">
        <f aca="false">(HU242+HV242+HW242+HX242)/4</f>
        <v>0</v>
      </c>
      <c r="HZ242" s="9" t="n">
        <f aca="false">(HU242/GR242)</f>
        <v>0</v>
      </c>
      <c r="IA242" s="9" t="n">
        <f aca="false">HV242/GS242</f>
        <v>0</v>
      </c>
      <c r="IB242" s="9" t="n">
        <f aca="false">(HW242/GT242)</f>
        <v>0</v>
      </c>
      <c r="IC242" s="9" t="n">
        <f aca="false">(HX242/GU242)</f>
        <v>0</v>
      </c>
      <c r="ID242" s="9" t="n">
        <f aca="false">(HY242/GV242)</f>
        <v>0</v>
      </c>
      <c r="IE242" s="9" t="n">
        <f aca="false">(100*ID242)</f>
        <v>0</v>
      </c>
      <c r="IF242" s="18" t="n">
        <v>0</v>
      </c>
      <c r="IG242" s="9" t="n">
        <v>4</v>
      </c>
      <c r="IH242" s="9" t="n">
        <v>3</v>
      </c>
      <c r="II242" s="19" t="n">
        <v>4</v>
      </c>
      <c r="IJ242" s="9" t="n">
        <v>1</v>
      </c>
      <c r="IK242" s="9" t="n">
        <f aca="false">(IG242+IH242+II242+IJ242)/4</f>
        <v>3</v>
      </c>
      <c r="IL242" s="9" t="n">
        <f aca="false">(IG242/GM242)</f>
        <v>0.0291970802919708</v>
      </c>
      <c r="IM242" s="9" t="n">
        <f aca="false">(IH242/GN242)</f>
        <v>0.0198675496688742</v>
      </c>
      <c r="IN242" s="9" t="n">
        <f aca="false">(II242/GO242)</f>
        <v>0.0384615384615385</v>
      </c>
      <c r="IO242" s="9" t="n">
        <f aca="false">(IJ242/GP242)</f>
        <v>0.012987012987013</v>
      </c>
      <c r="IP242" s="9" t="n">
        <f aca="false">(IK242/GQ242)</f>
        <v>0.0255863539445629</v>
      </c>
      <c r="IQ242" s="9" t="n">
        <f aca="false">(100*IP242)</f>
        <v>2.55863539445629</v>
      </c>
      <c r="IR242" s="18" t="n">
        <v>1</v>
      </c>
      <c r="IS242" s="9" t="n">
        <v>46.4</v>
      </c>
      <c r="IT242" s="9" t="n">
        <v>45.1</v>
      </c>
      <c r="IU242" s="19" t="n">
        <v>55.8</v>
      </c>
      <c r="IV242" s="9" t="n">
        <v>66.1</v>
      </c>
      <c r="IW242" s="9" t="n">
        <f aca="false">(IS242+IT242+IU242+IV242)/4</f>
        <v>53.35</v>
      </c>
      <c r="IX242" s="16" t="n">
        <v>45241</v>
      </c>
      <c r="IY242" s="42" t="s">
        <v>268</v>
      </c>
    </row>
    <row r="243" customFormat="false" ht="15.75" hidden="false" customHeight="true" outlineLevel="0" collapsed="false">
      <c r="A243" s="9" t="s">
        <v>343</v>
      </c>
      <c r="B243" s="10" t="s">
        <v>803</v>
      </c>
      <c r="C243" s="10" t="s">
        <v>727</v>
      </c>
      <c r="D243" s="9" t="n">
        <v>5</v>
      </c>
      <c r="E243" s="9" t="n">
        <v>81</v>
      </c>
      <c r="F243" s="10" t="s">
        <v>808</v>
      </c>
      <c r="G243" s="10" t="s">
        <v>291</v>
      </c>
      <c r="H243" s="9" t="n">
        <v>21</v>
      </c>
      <c r="I243" s="9" t="n">
        <v>10</v>
      </c>
      <c r="J243" s="12" t="s">
        <v>270</v>
      </c>
      <c r="K243" s="20"/>
      <c r="L243" s="20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 t="n">
        <v>0</v>
      </c>
      <c r="Y243" s="9" t="n">
        <v>0</v>
      </c>
      <c r="Z243" s="9" t="n">
        <v>0</v>
      </c>
      <c r="AA243" s="9" t="n">
        <v>0</v>
      </c>
      <c r="AB243" s="11" t="n">
        <f aca="false">(X243+Y243+Z243+AA243)/4</f>
        <v>0</v>
      </c>
      <c r="AC243" s="9" t="n">
        <v>1</v>
      </c>
      <c r="AD243" s="9" t="n">
        <v>1</v>
      </c>
      <c r="AE243" s="9" t="n">
        <v>1</v>
      </c>
      <c r="AF243" s="9" t="n">
        <v>1</v>
      </c>
      <c r="AG243" s="11" t="n">
        <f aca="false">(AC243+AD243+AE243+AF243)/4</f>
        <v>1</v>
      </c>
      <c r="AH243" s="9" t="n">
        <v>1</v>
      </c>
      <c r="AI243" s="9" t="n">
        <v>1</v>
      </c>
      <c r="AJ243" s="9" t="n">
        <v>1</v>
      </c>
      <c r="AK243" s="9" t="n">
        <v>1</v>
      </c>
      <c r="AL243" s="11" t="n">
        <f aca="false">(AH243+AI243+AJ243+AK243)/4</f>
        <v>1</v>
      </c>
      <c r="AM243" s="9" t="n">
        <v>26</v>
      </c>
      <c r="AN243" s="9" t="n">
        <v>46</v>
      </c>
      <c r="AO243" s="9" t="n">
        <v>34</v>
      </c>
      <c r="AP243" s="9" t="n">
        <v>8</v>
      </c>
      <c r="AQ243" s="11" t="n">
        <f aca="false">(AM243+AN243+AO243+AP243)/4</f>
        <v>28.5</v>
      </c>
      <c r="AR243" s="9" t="n">
        <v>33</v>
      </c>
      <c r="AS243" s="9" t="n">
        <v>26</v>
      </c>
      <c r="AT243" s="9" t="n">
        <v>29</v>
      </c>
      <c r="AU243" s="9" t="n">
        <v>18</v>
      </c>
      <c r="AV243" s="11" t="n">
        <f aca="false">(AR243+AS243+AT243+AU243)/4</f>
        <v>26.5</v>
      </c>
      <c r="AW243" s="9" t="n">
        <v>0</v>
      </c>
      <c r="AX243" s="9" t="n">
        <v>0</v>
      </c>
      <c r="AY243" s="9" t="n">
        <v>0</v>
      </c>
      <c r="AZ243" s="9" t="n">
        <v>0</v>
      </c>
      <c r="BA243" s="11" t="n">
        <f aca="false">(AW243+AX243+AY243+AZ243)/4</f>
        <v>0</v>
      </c>
      <c r="BB243" s="11" t="n">
        <f aca="false">(AW243/AR243)</f>
        <v>0</v>
      </c>
      <c r="BC243" s="11" t="n">
        <f aca="false">(AX243/AS243)</f>
        <v>0</v>
      </c>
      <c r="BD243" s="11" t="n">
        <f aca="false">(AY243/AT243)</f>
        <v>0</v>
      </c>
      <c r="BE243" s="11" t="n">
        <f aca="false">(AZ243/AU243)</f>
        <v>0</v>
      </c>
      <c r="BF243" s="11" t="n">
        <f aca="false">(BA243/AV243)</f>
        <v>0</v>
      </c>
      <c r="BG243" s="11" t="n">
        <f aca="false">(BF243*100)</f>
        <v>0</v>
      </c>
      <c r="BH243" s="9" t="n">
        <v>0</v>
      </c>
      <c r="BI243" s="9" t="n">
        <v>3</v>
      </c>
      <c r="BJ243" s="9" t="n">
        <v>3</v>
      </c>
      <c r="BK243" s="9" t="n">
        <v>8</v>
      </c>
      <c r="BL243" s="9" t="n">
        <v>4</v>
      </c>
      <c r="BM243" s="11" t="n">
        <f aca="false">(BI243+BJ243+BK243+BL243)/4</f>
        <v>4.5</v>
      </c>
      <c r="BN243" s="11" t="n">
        <f aca="false">(BI243/AR243)</f>
        <v>0.0909090909090909</v>
      </c>
      <c r="BO243" s="11" t="n">
        <f aca="false">(BJ243/AS243)</f>
        <v>0.115384615384615</v>
      </c>
      <c r="BP243" s="11" t="n">
        <f aca="false">(BK243/AT243)</f>
        <v>0.275862068965517</v>
      </c>
      <c r="BQ243" s="11" t="n">
        <f aca="false">(BL243/AU243)</f>
        <v>0.222222222222222</v>
      </c>
      <c r="BR243" s="11" t="n">
        <f aca="false">(BM243/AV243)</f>
        <v>0.169811320754717</v>
      </c>
      <c r="BS243" s="11" t="n">
        <f aca="false">(100*BR243)</f>
        <v>16.9811320754717</v>
      </c>
      <c r="BT243" s="9" t="n">
        <v>2</v>
      </c>
      <c r="BU243" s="9" t="n">
        <v>0</v>
      </c>
      <c r="BV243" s="9" t="n">
        <v>0</v>
      </c>
      <c r="BW243" s="9" t="n">
        <v>0</v>
      </c>
      <c r="BX243" s="9" t="n">
        <v>0</v>
      </c>
      <c r="BY243" s="11" t="n">
        <f aca="false">(BU243+BV243+BW243+BX243)/4</f>
        <v>0</v>
      </c>
      <c r="BZ243" s="11" t="n">
        <f aca="false">(BU243/AR243)</f>
        <v>0</v>
      </c>
      <c r="CA243" s="11" t="n">
        <f aca="false">(BV243/AS243)</f>
        <v>0</v>
      </c>
      <c r="CB243" s="11" t="n">
        <f aca="false">(BW243/AT243)</f>
        <v>0</v>
      </c>
      <c r="CC243" s="11" t="n">
        <f aca="false">(BX243/AU243)</f>
        <v>0</v>
      </c>
      <c r="CD243" s="11" t="n">
        <f aca="false">(BY243/AV243)</f>
        <v>0</v>
      </c>
      <c r="CE243" s="11" t="n">
        <f aca="false">(100*CD243)</f>
        <v>0</v>
      </c>
      <c r="CF243" s="9" t="n">
        <v>0</v>
      </c>
      <c r="CG243" s="9" t="n">
        <v>15</v>
      </c>
      <c r="CH243" s="9" t="n">
        <v>3</v>
      </c>
      <c r="CI243" s="9" t="n">
        <v>5</v>
      </c>
      <c r="CJ243" s="9" t="n">
        <v>1</v>
      </c>
      <c r="CK243" s="9"/>
      <c r="CL243" s="9"/>
      <c r="CM243" s="9"/>
      <c r="CN243" s="19"/>
      <c r="CO243" s="9" t="n">
        <f aca="false">(CJ243/AP243)</f>
        <v>0.125</v>
      </c>
      <c r="CP243" s="9" t="n">
        <f aca="false">(CK243/AQ243)</f>
        <v>0</v>
      </c>
      <c r="CQ243" s="9" t="n">
        <f aca="false">(100*CP243)</f>
        <v>0</v>
      </c>
      <c r="CR243" s="18" t="n">
        <v>0</v>
      </c>
      <c r="CS243" s="9" t="n">
        <v>54.8</v>
      </c>
      <c r="CT243" s="9" t="n">
        <v>57.7</v>
      </c>
      <c r="CU243" s="9" t="n">
        <v>54.5</v>
      </c>
      <c r="CV243" s="9" t="n">
        <v>67.8</v>
      </c>
      <c r="CW243" s="11" t="n">
        <f aca="false">(CS243+CT243+CU243+CV243)/4</f>
        <v>58.7</v>
      </c>
      <c r="CX243" s="9" t="n">
        <v>0</v>
      </c>
      <c r="CY243" s="9" t="n">
        <v>0</v>
      </c>
      <c r="CZ243" s="9" t="n">
        <v>1</v>
      </c>
      <c r="DA243" s="9" t="n">
        <v>0</v>
      </c>
      <c r="DB243" s="11" t="n">
        <f aca="false">(CX243+CY243+CZ243+DA243)/4</f>
        <v>0.25</v>
      </c>
      <c r="DC243" s="9" t="n">
        <v>1</v>
      </c>
      <c r="DD243" s="9" t="n">
        <v>1</v>
      </c>
      <c r="DE243" s="9" t="n">
        <v>1</v>
      </c>
      <c r="DF243" s="9" t="n">
        <v>1</v>
      </c>
      <c r="DG243" s="11" t="n">
        <f aca="false">(DC243+DD243+DE243+DF243)/4</f>
        <v>1</v>
      </c>
      <c r="DH243" s="9" t="n">
        <v>1</v>
      </c>
      <c r="DI243" s="9" t="n">
        <v>1</v>
      </c>
      <c r="DJ243" s="9" t="n">
        <v>1</v>
      </c>
      <c r="DK243" s="9" t="n">
        <v>1</v>
      </c>
      <c r="DL243" s="11" t="n">
        <f aca="false">(DH243+DI243+DJ243+DK243)/4</f>
        <v>1</v>
      </c>
      <c r="DM243" s="9" t="n">
        <v>46</v>
      </c>
      <c r="DN243" s="9" t="n">
        <v>86</v>
      </c>
      <c r="DO243" s="9" t="n">
        <v>116</v>
      </c>
      <c r="DP243" s="9" t="n">
        <v>75</v>
      </c>
      <c r="DQ243" s="11" t="n">
        <f aca="false">(DM243+DN243+DO243+DP243)/4</f>
        <v>80.75</v>
      </c>
      <c r="DR243" s="9" t="n">
        <v>11</v>
      </c>
      <c r="DS243" s="9" t="n">
        <v>16</v>
      </c>
      <c r="DT243" s="9" t="n">
        <v>32</v>
      </c>
      <c r="DU243" s="9" t="n">
        <v>22</v>
      </c>
      <c r="DV243" s="11" t="n">
        <f aca="false">(DR243+DS243+DT243+DU243)/4</f>
        <v>20.25</v>
      </c>
      <c r="DW243" s="9" t="n">
        <v>0</v>
      </c>
      <c r="DX243" s="9" t="n">
        <v>0</v>
      </c>
      <c r="DY243" s="9" t="n">
        <v>1</v>
      </c>
      <c r="DZ243" s="9" t="n">
        <v>0</v>
      </c>
      <c r="EA243" s="11" t="n">
        <f aca="false">(DW243+DX243+DY243+DZ243)/4</f>
        <v>0.25</v>
      </c>
      <c r="EB243" s="11" t="n">
        <f aca="false">(DW243/DR243)</f>
        <v>0</v>
      </c>
      <c r="EC243" s="11" t="n">
        <f aca="false">(DX243/DS243)</f>
        <v>0</v>
      </c>
      <c r="ED243" s="11" t="n">
        <f aca="false">(DY243/DT243)</f>
        <v>0.03125</v>
      </c>
      <c r="EE243" s="11" t="n">
        <f aca="false">(DZ243/DU243)</f>
        <v>0</v>
      </c>
      <c r="EF243" s="11" t="n">
        <f aca="false">(EA243/DV243)</f>
        <v>0.0123456790123457</v>
      </c>
      <c r="EG243" s="11" t="n">
        <f aca="false">(100*EF243)</f>
        <v>1.23456790123457</v>
      </c>
      <c r="EH243" s="9" t="n">
        <v>1</v>
      </c>
      <c r="EI243" s="9" t="n">
        <v>2</v>
      </c>
      <c r="EJ243" s="9" t="n">
        <v>3</v>
      </c>
      <c r="EK243" s="19" t="n">
        <v>4</v>
      </c>
      <c r="EL243" s="9" t="n">
        <v>1</v>
      </c>
      <c r="EM243" s="9" t="n">
        <f aca="false">(EI243+EJ243+EK243+EL243)/4</f>
        <v>2.5</v>
      </c>
      <c r="EN243" s="9" t="n">
        <f aca="false">(EI243/DR243)</f>
        <v>0.181818181818182</v>
      </c>
      <c r="EO243" s="9" t="n">
        <f aca="false">(EJ243/DS243)</f>
        <v>0.1875</v>
      </c>
      <c r="EP243" s="9" t="n">
        <f aca="false">(EK243/DT243)</f>
        <v>0.125</v>
      </c>
      <c r="EQ243" s="9" t="n">
        <f aca="false">(EL243/DU243)</f>
        <v>0.0454545454545455</v>
      </c>
      <c r="ER243" s="9" t="n">
        <f aca="false">EM243/DV243</f>
        <v>0.123456790123457</v>
      </c>
      <c r="ES243" s="9" t="n">
        <f aca="false">(100*ER243)</f>
        <v>12.3456790123457</v>
      </c>
      <c r="ET243" s="9" t="n">
        <v>2</v>
      </c>
      <c r="EU243" s="18" t="n">
        <v>0</v>
      </c>
      <c r="EV243" s="9" t="n">
        <v>0</v>
      </c>
      <c r="EW243" s="9" t="n">
        <v>0</v>
      </c>
      <c r="EX243" s="9" t="n">
        <v>0</v>
      </c>
      <c r="EY243" s="11" t="n">
        <f aca="false">(EU243+EV243+EW243+EX243)/4</f>
        <v>0</v>
      </c>
      <c r="EZ243" s="11" t="n">
        <f aca="false">(EU243/DR243)</f>
        <v>0</v>
      </c>
      <c r="FA243" s="11" t="n">
        <f aca="false">(EV243/DS243)</f>
        <v>0</v>
      </c>
      <c r="FB243" s="11" t="n">
        <f aca="false">(EW243/DT243)</f>
        <v>0</v>
      </c>
      <c r="FC243" s="11" t="n">
        <f aca="false">(EX243/DU243)</f>
        <v>0</v>
      </c>
      <c r="FD243" s="11" t="n">
        <f aca="false">(EY243/DV243)</f>
        <v>0</v>
      </c>
      <c r="FE243" s="11" t="n">
        <f aca="false">(100*FD243)</f>
        <v>0</v>
      </c>
      <c r="FF243" s="9" t="n">
        <v>0</v>
      </c>
      <c r="FG243" s="9" t="n">
        <v>13</v>
      </c>
      <c r="FH243" s="9" t="n">
        <v>7</v>
      </c>
      <c r="FI243" s="9" t="n">
        <v>7</v>
      </c>
      <c r="FJ243" s="9" t="n">
        <v>1</v>
      </c>
      <c r="FK243" s="11" t="n">
        <f aca="false">(FG243+FH243+FI243+FJ243)/4</f>
        <v>7</v>
      </c>
      <c r="FL243" s="11" t="n">
        <f aca="false">(FG243/DR243)</f>
        <v>1.18181818181818</v>
      </c>
      <c r="FM243" s="11" t="n">
        <f aca="false">(FH243/DS243)</f>
        <v>0.4375</v>
      </c>
      <c r="FN243" s="11" t="n">
        <f aca="false">(FI243/DT243)</f>
        <v>0.21875</v>
      </c>
      <c r="FO243" s="11" t="n">
        <f aca="false">(FJ243/DU243)</f>
        <v>0.0454545454545455</v>
      </c>
      <c r="FP243" s="11" t="n">
        <f aca="false">(FK243/DV243)</f>
        <v>0.345679012345679</v>
      </c>
      <c r="FQ243" s="11" t="n">
        <f aca="false">(100*FP243)</f>
        <v>34.5679012345679</v>
      </c>
      <c r="FR243" s="9" t="n">
        <v>3</v>
      </c>
      <c r="FS243" s="9" t="n">
        <v>60.7</v>
      </c>
      <c r="FT243" s="9" t="n">
        <v>52.4</v>
      </c>
      <c r="FU243" s="9" t="n">
        <v>55.5</v>
      </c>
      <c r="FV243" s="9" t="n">
        <v>57.8</v>
      </c>
      <c r="FW243" s="11" t="n">
        <f aca="false">(FS243+FT243+FU243+FV243)/4</f>
        <v>56.6</v>
      </c>
      <c r="FX243" s="9" t="n">
        <v>0</v>
      </c>
      <c r="FY243" s="9" t="n">
        <v>0</v>
      </c>
      <c r="FZ243" s="9" t="n">
        <v>0</v>
      </c>
      <c r="GA243" s="9" t="n">
        <v>1</v>
      </c>
      <c r="GB243" s="11" t="n">
        <f aca="false">(FX243+FY243+FZ243+GA243)/4</f>
        <v>0.25</v>
      </c>
      <c r="GC243" s="9" t="n">
        <v>1</v>
      </c>
      <c r="GD243" s="9" t="n">
        <v>1</v>
      </c>
      <c r="GE243" s="9" t="n">
        <v>0</v>
      </c>
      <c r="GF243" s="9" t="n">
        <v>1</v>
      </c>
      <c r="GG243" s="11" t="n">
        <f aca="false">(GC243+GD243+GE243+GF243)/4</f>
        <v>0.75</v>
      </c>
      <c r="GH243" s="9" t="n">
        <v>1</v>
      </c>
      <c r="GI243" s="9" t="n">
        <v>1</v>
      </c>
      <c r="GJ243" s="9" t="n">
        <v>1</v>
      </c>
      <c r="GK243" s="9" t="n">
        <v>1</v>
      </c>
      <c r="GL243" s="11" t="n">
        <f aca="false">(GH243+GI243+GJ243+GK243)/4</f>
        <v>1</v>
      </c>
      <c r="GM243" s="9" t="n">
        <v>27</v>
      </c>
      <c r="GN243" s="9" t="n">
        <v>109</v>
      </c>
      <c r="GO243" s="9" t="n">
        <v>23</v>
      </c>
      <c r="GP243" s="9" t="n">
        <v>78</v>
      </c>
      <c r="GQ243" s="11" t="n">
        <f aca="false">(GM243+GN243+GO243+GP243)/4</f>
        <v>59.25</v>
      </c>
      <c r="GR243" s="9" t="n">
        <v>20</v>
      </c>
      <c r="GS243" s="9" t="n">
        <v>13</v>
      </c>
      <c r="GT243" s="9" t="n">
        <v>23</v>
      </c>
      <c r="GU243" s="9" t="n">
        <v>16</v>
      </c>
      <c r="GV243" s="11" t="n">
        <f aca="false">(GR243+GS243+GT243+GU243)/4</f>
        <v>18</v>
      </c>
      <c r="GW243" s="9" t="n">
        <v>0</v>
      </c>
      <c r="GX243" s="9" t="n">
        <v>0</v>
      </c>
      <c r="GY243" s="9" t="n">
        <v>0</v>
      </c>
      <c r="GZ243" s="9" t="n">
        <v>2</v>
      </c>
      <c r="HA243" s="11" t="n">
        <f aca="false">(GW243+GX243+GY243+GZ243)/4</f>
        <v>0.5</v>
      </c>
      <c r="HB243" s="9"/>
      <c r="HC243" s="9" t="n">
        <f aca="false">(GX243/GS243)</f>
        <v>0</v>
      </c>
      <c r="HD243" s="9" t="n">
        <f aca="false">(GY243/GT243)</f>
        <v>0</v>
      </c>
      <c r="HE243" s="9" t="n">
        <f aca="false">(GZ243/GU243)/4</f>
        <v>0.03125</v>
      </c>
      <c r="HF243" s="9" t="n">
        <f aca="false">(HB243+HC243+HD243+HE243)/4</f>
        <v>0.0078125</v>
      </c>
      <c r="HG243" s="9" t="n">
        <f aca="false">(100*HF243)</f>
        <v>0.78125</v>
      </c>
      <c r="HH243" s="18" t="n">
        <v>1</v>
      </c>
      <c r="HI243" s="9" t="n">
        <v>2</v>
      </c>
      <c r="HJ243" s="9" t="n">
        <v>3</v>
      </c>
      <c r="HK243" s="9" t="n">
        <v>0</v>
      </c>
      <c r="HL243" s="19" t="n">
        <v>2</v>
      </c>
      <c r="HM243" s="9" t="n">
        <f aca="false">(HI243+HJ243+HK243+HL243)/4</f>
        <v>1.75</v>
      </c>
      <c r="HN243" s="9" t="n">
        <f aca="false">(HI243/GR243)</f>
        <v>0.1</v>
      </c>
      <c r="HO243" s="9" t="n">
        <f aca="false">(HJ243/GS243)</f>
        <v>0.230769230769231</v>
      </c>
      <c r="HP243" s="9" t="n">
        <f aca="false">(HK243/GT243)</f>
        <v>0</v>
      </c>
      <c r="HQ243" s="9" t="n">
        <f aca="false">(HL243/GU243)</f>
        <v>0.125</v>
      </c>
      <c r="HR243" s="9" t="n">
        <f aca="false">(HM243/GV243)</f>
        <v>0.0972222222222222</v>
      </c>
      <c r="HS243" s="9" t="n">
        <f aca="false">(100*HR243)</f>
        <v>9.72222222222222</v>
      </c>
      <c r="HT243" s="18" t="n">
        <v>1</v>
      </c>
      <c r="HU243" s="9" t="n">
        <v>0</v>
      </c>
      <c r="HV243" s="9" t="n">
        <v>0</v>
      </c>
      <c r="HW243" s="9" t="n">
        <v>0</v>
      </c>
      <c r="HX243" s="19" t="n">
        <v>2</v>
      </c>
      <c r="HY243" s="9" t="n">
        <f aca="false">(HU243+HV243+HW243+HX243)/4</f>
        <v>0.5</v>
      </c>
      <c r="HZ243" s="9" t="n">
        <f aca="false">(HU243/GR243)</f>
        <v>0</v>
      </c>
      <c r="IA243" s="9" t="n">
        <f aca="false">HV243/GS243</f>
        <v>0</v>
      </c>
      <c r="IB243" s="9" t="n">
        <f aca="false">(HW243/GT243)</f>
        <v>0</v>
      </c>
      <c r="IC243" s="9" t="n">
        <f aca="false">(HX243/GU243)</f>
        <v>0.125</v>
      </c>
      <c r="ID243" s="9" t="n">
        <f aca="false">(HY243/GV243)</f>
        <v>0.0277777777777778</v>
      </c>
      <c r="IE243" s="9" t="n">
        <f aca="false">(100*ID243)</f>
        <v>2.77777777777778</v>
      </c>
      <c r="IF243" s="18" t="n">
        <v>1</v>
      </c>
      <c r="IG243" s="9" t="n">
        <v>4</v>
      </c>
      <c r="IH243" s="9" t="n">
        <v>22</v>
      </c>
      <c r="II243" s="19" t="n">
        <v>2</v>
      </c>
      <c r="IJ243" s="9" t="n">
        <v>0</v>
      </c>
      <c r="IK243" s="9" t="n">
        <f aca="false">(IG243+IH243+II243+IJ243)/4</f>
        <v>7</v>
      </c>
      <c r="IL243" s="9" t="n">
        <f aca="false">(IG243/GM243)</f>
        <v>0.148148148148148</v>
      </c>
      <c r="IM243" s="9" t="n">
        <f aca="false">(IH243/GN243)</f>
        <v>0.201834862385321</v>
      </c>
      <c r="IN243" s="9" t="n">
        <f aca="false">(II243/GO243)</f>
        <v>0.0869565217391304</v>
      </c>
      <c r="IO243" s="9" t="n">
        <f aca="false">(IJ243/GP243)</f>
        <v>0</v>
      </c>
      <c r="IP243" s="9" t="n">
        <f aca="false">(IK243/GQ243)</f>
        <v>0.118143459915612</v>
      </c>
      <c r="IQ243" s="9" t="n">
        <f aca="false">(100*IP243)</f>
        <v>11.8143459915612</v>
      </c>
      <c r="IR243" s="18" t="n">
        <v>2</v>
      </c>
      <c r="IS243" s="9" t="n">
        <v>61.8</v>
      </c>
      <c r="IT243" s="9" t="n">
        <v>59.7</v>
      </c>
      <c r="IU243" s="19" t="n">
        <v>62</v>
      </c>
      <c r="IV243" s="9" t="n">
        <v>57.6</v>
      </c>
      <c r="IW243" s="9" t="n">
        <f aca="false">(IS243+IT243+IU243+IV243)/4</f>
        <v>60.275</v>
      </c>
      <c r="IX243" s="16" t="n">
        <v>45205</v>
      </c>
      <c r="IY243" s="42" t="s">
        <v>268</v>
      </c>
    </row>
    <row r="244" customFormat="false" ht="15.75" hidden="false" customHeight="true" outlineLevel="0" collapsed="false">
      <c r="A244" s="9" t="s">
        <v>343</v>
      </c>
      <c r="B244" s="10" t="s">
        <v>803</v>
      </c>
      <c r="C244" s="10" t="s">
        <v>727</v>
      </c>
      <c r="D244" s="9" t="n">
        <v>5</v>
      </c>
      <c r="E244" s="9" t="n">
        <v>81</v>
      </c>
      <c r="F244" s="10" t="s">
        <v>809</v>
      </c>
      <c r="G244" s="10" t="s">
        <v>275</v>
      </c>
      <c r="H244" s="9" t="n">
        <v>21</v>
      </c>
      <c r="I244" s="9" t="n">
        <v>20</v>
      </c>
      <c r="J244" s="10" t="s">
        <v>272</v>
      </c>
      <c r="K244" s="20"/>
      <c r="L244" s="20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 t="n">
        <v>0</v>
      </c>
      <c r="Y244" s="9" t="n">
        <v>0</v>
      </c>
      <c r="Z244" s="9" t="n">
        <v>0</v>
      </c>
      <c r="AA244" s="9" t="n">
        <v>0</v>
      </c>
      <c r="AB244" s="11" t="n">
        <f aca="false">(X244+Y244+Z244+AA244)/4</f>
        <v>0</v>
      </c>
      <c r="AC244" s="9" t="n">
        <v>1</v>
      </c>
      <c r="AD244" s="9" t="n">
        <v>1</v>
      </c>
      <c r="AE244" s="9" t="n">
        <v>1</v>
      </c>
      <c r="AF244" s="9" t="n">
        <v>1</v>
      </c>
      <c r="AG244" s="11" t="n">
        <f aca="false">(AC244+AD244+AE244+AF244)/4</f>
        <v>1</v>
      </c>
      <c r="AH244" s="9" t="n">
        <v>1</v>
      </c>
      <c r="AI244" s="9" t="n">
        <v>1</v>
      </c>
      <c r="AJ244" s="9" t="n">
        <v>1</v>
      </c>
      <c r="AK244" s="9" t="n">
        <v>1</v>
      </c>
      <c r="AL244" s="11" t="n">
        <f aca="false">(AH244+AI244+AJ244+AK244)/4</f>
        <v>1</v>
      </c>
      <c r="AM244" s="9" t="n">
        <v>13</v>
      </c>
      <c r="AN244" s="9" t="n">
        <v>11</v>
      </c>
      <c r="AO244" s="9" t="n">
        <v>36</v>
      </c>
      <c r="AP244" s="9" t="n">
        <v>24</v>
      </c>
      <c r="AQ244" s="11" t="n">
        <f aca="false">(AM244+AN244+AO244+AP244)/4</f>
        <v>21</v>
      </c>
      <c r="AR244" s="9" t="n">
        <v>11</v>
      </c>
      <c r="AS244" s="9" t="n">
        <v>14</v>
      </c>
      <c r="AT244" s="9" t="n">
        <v>9</v>
      </c>
      <c r="AU244" s="9" t="n">
        <v>6</v>
      </c>
      <c r="AV244" s="11" t="n">
        <f aca="false">(AR244+AS244+AT244+AU244)/4</f>
        <v>10</v>
      </c>
      <c r="AW244" s="9" t="n">
        <v>0</v>
      </c>
      <c r="AX244" s="9" t="n">
        <v>0</v>
      </c>
      <c r="AY244" s="9" t="n">
        <v>0</v>
      </c>
      <c r="AZ244" s="9" t="n">
        <v>0</v>
      </c>
      <c r="BA244" s="11" t="n">
        <f aca="false">(AW244+AX244+AY244+AZ244)/4</f>
        <v>0</v>
      </c>
      <c r="BB244" s="11" t="n">
        <f aca="false">(AW244/AR244)</f>
        <v>0</v>
      </c>
      <c r="BC244" s="11" t="n">
        <f aca="false">(AX244/AS244)</f>
        <v>0</v>
      </c>
      <c r="BD244" s="11" t="n">
        <f aca="false">(AY244/AT244)</f>
        <v>0</v>
      </c>
      <c r="BE244" s="11" t="n">
        <f aca="false">(AZ244/AU244)</f>
        <v>0</v>
      </c>
      <c r="BF244" s="11" t="n">
        <f aca="false">(BA244/AV244)</f>
        <v>0</v>
      </c>
      <c r="BG244" s="11" t="n">
        <f aca="false">(BF244*100)</f>
        <v>0</v>
      </c>
      <c r="BH244" s="9" t="n">
        <v>0</v>
      </c>
      <c r="BI244" s="9" t="n">
        <v>5</v>
      </c>
      <c r="BJ244" s="9" t="n">
        <v>9</v>
      </c>
      <c r="BK244" s="9" t="n">
        <v>4</v>
      </c>
      <c r="BL244" s="9" t="n">
        <v>6</v>
      </c>
      <c r="BM244" s="11" t="n">
        <f aca="false">(BI244+BJ244+BK244+BL244)/4</f>
        <v>6</v>
      </c>
      <c r="BN244" s="11" t="n">
        <f aca="false">(BI244/AR244)</f>
        <v>0.454545454545455</v>
      </c>
      <c r="BO244" s="11" t="n">
        <f aca="false">(BJ244/AS244)</f>
        <v>0.642857142857143</v>
      </c>
      <c r="BP244" s="11" t="n">
        <f aca="false">(BK244/AT244)</f>
        <v>0.444444444444444</v>
      </c>
      <c r="BQ244" s="11" t="n">
        <f aca="false">(BL244/AU244)</f>
        <v>1</v>
      </c>
      <c r="BR244" s="11" t="n">
        <f aca="false">(BM244/AV244)</f>
        <v>0.6</v>
      </c>
      <c r="BS244" s="11" t="n">
        <f aca="false">(100*BR244)</f>
        <v>60</v>
      </c>
      <c r="BT244" s="9" t="n">
        <v>3</v>
      </c>
      <c r="BU244" s="9" t="n">
        <v>0</v>
      </c>
      <c r="BV244" s="9" t="n">
        <v>0</v>
      </c>
      <c r="BW244" s="9" t="n">
        <v>0</v>
      </c>
      <c r="BX244" s="9" t="n">
        <v>0</v>
      </c>
      <c r="BY244" s="11" t="n">
        <f aca="false">(BU244+BV244+BW244+BX244)/4</f>
        <v>0</v>
      </c>
      <c r="BZ244" s="11" t="n">
        <f aca="false">(BU244/AR244)</f>
        <v>0</v>
      </c>
      <c r="CA244" s="11" t="n">
        <f aca="false">(BV244/AS244)</f>
        <v>0</v>
      </c>
      <c r="CB244" s="11" t="n">
        <f aca="false">(BW244/AT244)</f>
        <v>0</v>
      </c>
      <c r="CC244" s="11" t="n">
        <f aca="false">(BX244/AU244)</f>
        <v>0</v>
      </c>
      <c r="CD244" s="11" t="n">
        <f aca="false">(BY244/AV244)</f>
        <v>0</v>
      </c>
      <c r="CE244" s="11" t="n">
        <f aca="false">(100*CD244)</f>
        <v>0</v>
      </c>
      <c r="CF244" s="9" t="n">
        <v>0</v>
      </c>
      <c r="CG244" s="9" t="n">
        <v>3</v>
      </c>
      <c r="CH244" s="9" t="n">
        <v>6</v>
      </c>
      <c r="CI244" s="9" t="n">
        <v>3</v>
      </c>
      <c r="CJ244" s="9" t="n">
        <v>3</v>
      </c>
      <c r="CK244" s="9"/>
      <c r="CL244" s="9"/>
      <c r="CM244" s="9"/>
      <c r="CN244" s="19"/>
      <c r="CO244" s="9" t="n">
        <f aca="false">(CJ244/AP244)</f>
        <v>0.125</v>
      </c>
      <c r="CP244" s="9" t="n">
        <f aca="false">(CK244/AQ244)</f>
        <v>0</v>
      </c>
      <c r="CQ244" s="9" t="n">
        <f aca="false">(100*CP244)</f>
        <v>0</v>
      </c>
      <c r="CR244" s="18" t="n">
        <v>0</v>
      </c>
      <c r="CS244" s="9" t="n">
        <v>70.9</v>
      </c>
      <c r="CT244" s="9" t="n">
        <v>60.5</v>
      </c>
      <c r="CU244" s="11" t="n">
        <v>67.5</v>
      </c>
      <c r="CV244" s="9" t="n">
        <v>61.2</v>
      </c>
      <c r="CW244" s="11" t="n">
        <f aca="false">(CS244+CT244+CU244+CV244)/4</f>
        <v>65.025</v>
      </c>
      <c r="CX244" s="9" t="n">
        <v>0</v>
      </c>
      <c r="CY244" s="9" t="n">
        <v>0</v>
      </c>
      <c r="CZ244" s="9" t="n">
        <v>0</v>
      </c>
      <c r="DA244" s="9" t="n">
        <v>0</v>
      </c>
      <c r="DB244" s="11" t="n">
        <f aca="false">(CX244+CY244+CZ244+DA244)/4</f>
        <v>0</v>
      </c>
      <c r="DC244" s="9" t="n">
        <v>1</v>
      </c>
      <c r="DD244" s="9" t="n">
        <v>1</v>
      </c>
      <c r="DE244" s="9" t="n">
        <v>1</v>
      </c>
      <c r="DF244" s="9" t="n">
        <v>1</v>
      </c>
      <c r="DG244" s="11" t="n">
        <f aca="false">(DC244+DD244+DE244+DF244)/4</f>
        <v>1</v>
      </c>
      <c r="DH244" s="9" t="n">
        <v>1</v>
      </c>
      <c r="DI244" s="9" t="n">
        <v>1</v>
      </c>
      <c r="DJ244" s="9" t="n">
        <v>1</v>
      </c>
      <c r="DK244" s="9" t="n">
        <v>1</v>
      </c>
      <c r="DL244" s="11" t="n">
        <f aca="false">(DH244+DI244+DJ244+DK244)/4</f>
        <v>1</v>
      </c>
      <c r="DM244" s="11" t="n">
        <v>78</v>
      </c>
      <c r="DN244" s="9" t="n">
        <v>175</v>
      </c>
      <c r="DO244" s="9" t="n">
        <v>181</v>
      </c>
      <c r="DP244" s="9" t="n">
        <v>101</v>
      </c>
      <c r="DQ244" s="11" t="n">
        <f aca="false">(DM244+DN244+DO244+DP244)/4</f>
        <v>133.75</v>
      </c>
      <c r="DR244" s="9" t="n">
        <v>16</v>
      </c>
      <c r="DS244" s="9" t="n">
        <v>9</v>
      </c>
      <c r="DT244" s="9" t="n">
        <v>10</v>
      </c>
      <c r="DU244" s="9" t="n">
        <v>8</v>
      </c>
      <c r="DV244" s="11" t="n">
        <f aca="false">(DR244+DS244+DT244+DU244)/4</f>
        <v>10.75</v>
      </c>
      <c r="DW244" s="9" t="n">
        <v>0</v>
      </c>
      <c r="DX244" s="9" t="n">
        <v>0</v>
      </c>
      <c r="DY244" s="9" t="n">
        <v>0</v>
      </c>
      <c r="DZ244" s="9" t="n">
        <v>0</v>
      </c>
      <c r="EA244" s="11" t="n">
        <f aca="false">(DW244+DX244+DY244+DZ244)/4</f>
        <v>0</v>
      </c>
      <c r="EB244" s="11" t="n">
        <f aca="false">(DW244/DR244)</f>
        <v>0</v>
      </c>
      <c r="EC244" s="11" t="n">
        <f aca="false">(DX244/DS244)</f>
        <v>0</v>
      </c>
      <c r="ED244" s="11" t="n">
        <f aca="false">(DY244/DT244)</f>
        <v>0</v>
      </c>
      <c r="EE244" s="11" t="n">
        <f aca="false">(DZ244/DU244)</f>
        <v>0</v>
      </c>
      <c r="EF244" s="11" t="n">
        <f aca="false">(EA244/DV244)</f>
        <v>0</v>
      </c>
      <c r="EG244" s="11" t="n">
        <f aca="false">(100*EF244)</f>
        <v>0</v>
      </c>
      <c r="EH244" s="9" t="n">
        <v>0</v>
      </c>
      <c r="EI244" s="9" t="n">
        <v>4</v>
      </c>
      <c r="EJ244" s="9" t="n">
        <v>7</v>
      </c>
      <c r="EK244" s="19" t="n">
        <v>4</v>
      </c>
      <c r="EL244" s="9" t="n">
        <v>5</v>
      </c>
      <c r="EM244" s="9" t="n">
        <f aca="false">(EI244+EJ244+EK244+EL244)/4</f>
        <v>5</v>
      </c>
      <c r="EN244" s="9" t="n">
        <f aca="false">(EI244/DR244)</f>
        <v>0.25</v>
      </c>
      <c r="EO244" s="9" t="n">
        <f aca="false">(EJ244/DS244)</f>
        <v>0.777777777777778</v>
      </c>
      <c r="EP244" s="9" t="n">
        <f aca="false">(EK244/DT244)</f>
        <v>0.4</v>
      </c>
      <c r="EQ244" s="9" t="n">
        <f aca="false">(EL244/DU244)</f>
        <v>0.625</v>
      </c>
      <c r="ER244" s="9" t="n">
        <f aca="false">EM244/DV244</f>
        <v>0.465116279069767</v>
      </c>
      <c r="ES244" s="9" t="n">
        <f aca="false">(100*ER244)</f>
        <v>46.5116279069767</v>
      </c>
      <c r="ET244" s="9" t="n">
        <v>3</v>
      </c>
      <c r="EU244" s="18" t="n">
        <v>0</v>
      </c>
      <c r="EV244" s="9" t="n">
        <v>0</v>
      </c>
      <c r="EW244" s="9" t="n">
        <v>0</v>
      </c>
      <c r="EX244" s="9" t="n">
        <v>0</v>
      </c>
      <c r="EY244" s="11" t="n">
        <f aca="false">(EU244+EV244+EW244+EX244)/4</f>
        <v>0</v>
      </c>
      <c r="EZ244" s="11" t="n">
        <f aca="false">(EU244/DR244)</f>
        <v>0</v>
      </c>
      <c r="FA244" s="11" t="n">
        <f aca="false">(EV244/DS244)</f>
        <v>0</v>
      </c>
      <c r="FB244" s="11" t="n">
        <f aca="false">(EW244/DT244)</f>
        <v>0</v>
      </c>
      <c r="FC244" s="11" t="n">
        <f aca="false">(EX244/DU244)</f>
        <v>0</v>
      </c>
      <c r="FD244" s="11" t="n">
        <f aca="false">(EY244/DV244)</f>
        <v>0</v>
      </c>
      <c r="FE244" s="11" t="n">
        <f aca="false">(100*FD244)</f>
        <v>0</v>
      </c>
      <c r="FF244" s="9" t="n">
        <v>0</v>
      </c>
      <c r="FG244" s="9" t="n">
        <v>6</v>
      </c>
      <c r="FH244" s="9" t="n">
        <v>3</v>
      </c>
      <c r="FI244" s="9" t="n">
        <v>3</v>
      </c>
      <c r="FJ244" s="9" t="n">
        <v>26</v>
      </c>
      <c r="FK244" s="11" t="n">
        <f aca="false">(FG244+FH244+FI244+FJ244)/4</f>
        <v>9.5</v>
      </c>
      <c r="FL244" s="11" t="n">
        <f aca="false">(FG244/DR244)</f>
        <v>0.375</v>
      </c>
      <c r="FM244" s="11" t="n">
        <f aca="false">(FH244/DS244)</f>
        <v>0.333333333333333</v>
      </c>
      <c r="FN244" s="11" t="n">
        <f aca="false">(FI244/DT244)</f>
        <v>0.3</v>
      </c>
      <c r="FO244" s="11" t="n">
        <f aca="false">(FJ244/DU244)</f>
        <v>3.25</v>
      </c>
      <c r="FP244" s="11" t="n">
        <f aca="false">(FK244/DV244)</f>
        <v>0.883720930232558</v>
      </c>
      <c r="FQ244" s="11" t="n">
        <f aca="false">(100*FP244)</f>
        <v>88.3720930232558</v>
      </c>
      <c r="FR244" s="9" t="n">
        <v>3</v>
      </c>
      <c r="FS244" s="9" t="n">
        <v>66.4</v>
      </c>
      <c r="FT244" s="9" t="n">
        <v>73.1</v>
      </c>
      <c r="FU244" s="9" t="n">
        <v>67.1</v>
      </c>
      <c r="FV244" s="9" t="n">
        <v>60.8</v>
      </c>
      <c r="FW244" s="11" t="n">
        <f aca="false">(FS244+FT244+FU244+FV244)/4</f>
        <v>66.85</v>
      </c>
      <c r="FX244" s="9" t="n">
        <v>0</v>
      </c>
      <c r="FY244" s="9" t="n">
        <v>1</v>
      </c>
      <c r="FZ244" s="9" t="n">
        <v>0</v>
      </c>
      <c r="GA244" s="9" t="n">
        <v>1</v>
      </c>
      <c r="GB244" s="11" t="n">
        <f aca="false">(FX244+FY244+FZ244+GA244)/4</f>
        <v>0.5</v>
      </c>
      <c r="GC244" s="9" t="n">
        <v>1</v>
      </c>
      <c r="GD244" s="9" t="n">
        <v>1</v>
      </c>
      <c r="GE244" s="9" t="n">
        <v>1</v>
      </c>
      <c r="GF244" s="9" t="n">
        <v>1</v>
      </c>
      <c r="GG244" s="11" t="n">
        <f aca="false">(GC244+GD244+GE244+GF244)/4</f>
        <v>1</v>
      </c>
      <c r="GH244" s="9" t="n">
        <v>1</v>
      </c>
      <c r="GI244" s="9" t="n">
        <v>1</v>
      </c>
      <c r="GJ244" s="9" t="n">
        <v>1</v>
      </c>
      <c r="GK244" s="9" t="n">
        <v>1</v>
      </c>
      <c r="GL244" s="11" t="n">
        <f aca="false">(GH244+GI244+GJ244+GK244)/4</f>
        <v>1</v>
      </c>
      <c r="GM244" s="9" t="n">
        <v>126</v>
      </c>
      <c r="GN244" s="9" t="n">
        <v>44</v>
      </c>
      <c r="GO244" s="9" t="n">
        <v>79</v>
      </c>
      <c r="GP244" s="9" t="n">
        <v>73</v>
      </c>
      <c r="GQ244" s="11" t="n">
        <f aca="false">(GM244+GN244+GO244+GP244)/4</f>
        <v>80.5</v>
      </c>
      <c r="GR244" s="9" t="n">
        <v>11</v>
      </c>
      <c r="GS244" s="9" t="n">
        <v>7</v>
      </c>
      <c r="GT244" s="9" t="n">
        <v>17</v>
      </c>
      <c r="GU244" s="9" t="n">
        <v>22</v>
      </c>
      <c r="GV244" s="11" t="n">
        <f aca="false">(GR244+GS244+GT244+GU244)/4</f>
        <v>14.25</v>
      </c>
      <c r="GW244" s="9" t="n">
        <v>0</v>
      </c>
      <c r="GX244" s="9" t="n">
        <v>1</v>
      </c>
      <c r="GY244" s="9" t="n">
        <v>0</v>
      </c>
      <c r="GZ244" s="9" t="n">
        <v>1</v>
      </c>
      <c r="HA244" s="11" t="n">
        <f aca="false">(GW244+GX244+GY244+GZ244)/4</f>
        <v>0.5</v>
      </c>
      <c r="HB244" s="9"/>
      <c r="HC244" s="9" t="n">
        <f aca="false">(GX244/GS244)</f>
        <v>0.142857142857143</v>
      </c>
      <c r="HD244" s="9" t="n">
        <f aca="false">(GY244/GT244)</f>
        <v>0</v>
      </c>
      <c r="HE244" s="9" t="n">
        <f aca="false">(GZ244/GU244)/4</f>
        <v>0.0113636363636364</v>
      </c>
      <c r="HF244" s="9" t="n">
        <f aca="false">(HB244+HC244+HD244+HE244)/4</f>
        <v>0.0385551948051948</v>
      </c>
      <c r="HG244" s="9" t="n">
        <f aca="false">(100*HF244)</f>
        <v>3.85551948051948</v>
      </c>
      <c r="HH244" s="18" t="n">
        <v>1</v>
      </c>
      <c r="HI244" s="9" t="n">
        <v>7</v>
      </c>
      <c r="HJ244" s="9" t="n">
        <v>4</v>
      </c>
      <c r="HK244" s="9" t="n">
        <v>3</v>
      </c>
      <c r="HL244" s="19" t="n">
        <v>7</v>
      </c>
      <c r="HM244" s="9" t="n">
        <f aca="false">(HI244+HJ244+HK244+HL244)/4</f>
        <v>5.25</v>
      </c>
      <c r="HN244" s="9" t="n">
        <f aca="false">(HI244/GR244)</f>
        <v>0.636363636363636</v>
      </c>
      <c r="HO244" s="9" t="n">
        <f aca="false">(HJ244/GS244)</f>
        <v>0.571428571428571</v>
      </c>
      <c r="HP244" s="9" t="n">
        <f aca="false">(HK244/GT244)</f>
        <v>0.176470588235294</v>
      </c>
      <c r="HQ244" s="9" t="n">
        <f aca="false">(HL244/GU244)</f>
        <v>0.318181818181818</v>
      </c>
      <c r="HR244" s="9" t="n">
        <f aca="false">(HM244/GV244)</f>
        <v>0.368421052631579</v>
      </c>
      <c r="HS244" s="9" t="n">
        <f aca="false">(100*HR244)</f>
        <v>36.8421052631579</v>
      </c>
      <c r="HT244" s="18" t="n">
        <v>3</v>
      </c>
      <c r="HU244" s="9" t="n">
        <v>0</v>
      </c>
      <c r="HV244" s="9" t="n">
        <v>5</v>
      </c>
      <c r="HW244" s="9" t="n">
        <v>0</v>
      </c>
      <c r="HX244" s="19" t="n">
        <v>0</v>
      </c>
      <c r="HY244" s="9" t="n">
        <f aca="false">(HU244+HV244+HW244+HX244)/4</f>
        <v>1.25</v>
      </c>
      <c r="HZ244" s="9" t="n">
        <f aca="false">(HU244/GR244)</f>
        <v>0</v>
      </c>
      <c r="IA244" s="9" t="n">
        <f aca="false">HV244/GS244</f>
        <v>0.714285714285714</v>
      </c>
      <c r="IB244" s="9" t="n">
        <f aca="false">(HW244/GT244)</f>
        <v>0</v>
      </c>
      <c r="IC244" s="9" t="n">
        <f aca="false">(HX244/GU244)</f>
        <v>0</v>
      </c>
      <c r="ID244" s="9" t="n">
        <f aca="false">(HY244/GV244)</f>
        <v>0.087719298245614</v>
      </c>
      <c r="IE244" s="9" t="n">
        <f aca="false">(100*ID244)</f>
        <v>8.7719298245614</v>
      </c>
      <c r="IF244" s="18" t="n">
        <v>1</v>
      </c>
      <c r="IG244" s="9" t="n">
        <v>9</v>
      </c>
      <c r="IH244" s="9" t="n">
        <v>0</v>
      </c>
      <c r="II244" s="19" t="n">
        <v>1</v>
      </c>
      <c r="IJ244" s="9" t="n">
        <v>2</v>
      </c>
      <c r="IK244" s="9" t="n">
        <f aca="false">(IG244+IH244+II244+IJ244)/4</f>
        <v>3</v>
      </c>
      <c r="IL244" s="9" t="n">
        <f aca="false">(IG244/GM244)</f>
        <v>0.0714285714285714</v>
      </c>
      <c r="IM244" s="9" t="n">
        <f aca="false">(IH244/GN244)</f>
        <v>0</v>
      </c>
      <c r="IN244" s="9" t="n">
        <f aca="false">(II244/GO244)</f>
        <v>0.0126582278481013</v>
      </c>
      <c r="IO244" s="9" t="n">
        <f aca="false">(IJ244/GP244)</f>
        <v>0.0273972602739726</v>
      </c>
      <c r="IP244" s="9" t="n">
        <f aca="false">(IK244/GQ244)</f>
        <v>0.0372670807453416</v>
      </c>
      <c r="IQ244" s="9" t="n">
        <f aca="false">(100*IP244)</f>
        <v>3.72670807453416</v>
      </c>
      <c r="IR244" s="18" t="n">
        <v>1</v>
      </c>
      <c r="IS244" s="9" t="n">
        <v>51.1</v>
      </c>
      <c r="IT244" s="9" t="n">
        <v>58.4</v>
      </c>
      <c r="IU244" s="19" t="n">
        <v>55</v>
      </c>
      <c r="IV244" s="9" t="n">
        <v>64</v>
      </c>
      <c r="IW244" s="9" t="n">
        <f aca="false">(IS244+IT244+IU244+IV244)/4</f>
        <v>57.125</v>
      </c>
      <c r="IX244" s="16" t="n">
        <v>45205</v>
      </c>
      <c r="IY244" s="42" t="s">
        <v>268</v>
      </c>
    </row>
    <row r="245" customFormat="false" ht="15.75" hidden="false" customHeight="true" outlineLevel="0" collapsed="false">
      <c r="A245" s="9" t="s">
        <v>370</v>
      </c>
      <c r="B245" s="10" t="s">
        <v>810</v>
      </c>
      <c r="C245" s="10" t="s">
        <v>727</v>
      </c>
      <c r="D245" s="9" t="n">
        <v>1</v>
      </c>
      <c r="E245" s="9" t="n">
        <v>82</v>
      </c>
      <c r="F245" s="10" t="s">
        <v>811</v>
      </c>
      <c r="G245" s="10" t="s">
        <v>297</v>
      </c>
      <c r="H245" s="9" t="n">
        <v>21</v>
      </c>
      <c r="I245" s="9" t="n">
        <v>3</v>
      </c>
      <c r="J245" s="12" t="s">
        <v>264</v>
      </c>
      <c r="K245" s="13" t="s">
        <v>812</v>
      </c>
      <c r="L245" s="13" t="s">
        <v>813</v>
      </c>
      <c r="M245" s="14" t="n">
        <v>1316</v>
      </c>
      <c r="N245" s="15" t="n">
        <v>45135</v>
      </c>
      <c r="O245" s="10" t="s">
        <v>267</v>
      </c>
      <c r="P245" s="9"/>
      <c r="Q245" s="9" t="n">
        <v>17.05</v>
      </c>
      <c r="R245" s="9" t="n">
        <v>10</v>
      </c>
      <c r="S245" s="9" t="n">
        <v>-16</v>
      </c>
      <c r="T245" s="9" t="n">
        <v>110</v>
      </c>
      <c r="U245" s="11"/>
      <c r="V245" s="9" t="n">
        <f aca="false">(20.1/100)</f>
        <v>0.201</v>
      </c>
      <c r="W245" s="9" t="s">
        <v>814</v>
      </c>
      <c r="X245" s="9" t="n">
        <v>0</v>
      </c>
      <c r="Y245" s="9" t="n">
        <v>0</v>
      </c>
      <c r="Z245" s="9" t="n">
        <v>0</v>
      </c>
      <c r="AA245" s="9" t="n">
        <v>0</v>
      </c>
      <c r="AB245" s="11" t="n">
        <f aca="false">(X245+Y245+Z245+AA245)/4</f>
        <v>0</v>
      </c>
      <c r="AC245" s="9" t="n">
        <v>1</v>
      </c>
      <c r="AD245" s="9" t="n">
        <v>1</v>
      </c>
      <c r="AE245" s="9" t="n">
        <v>1</v>
      </c>
      <c r="AF245" s="9" t="n">
        <v>1</v>
      </c>
      <c r="AG245" s="11" t="n">
        <f aca="false">(AC245+AD245+AE245+AF245)/4</f>
        <v>1</v>
      </c>
      <c r="AH245" s="9" t="n">
        <v>1</v>
      </c>
      <c r="AI245" s="9" t="n">
        <v>1</v>
      </c>
      <c r="AJ245" s="9" t="n">
        <v>1</v>
      </c>
      <c r="AK245" s="9" t="n">
        <v>1</v>
      </c>
      <c r="AL245" s="11" t="n">
        <f aca="false">(AH245+AI245+AJ245+AK245)/4</f>
        <v>1</v>
      </c>
      <c r="AM245" s="9" t="n">
        <v>65</v>
      </c>
      <c r="AN245" s="9" t="n">
        <v>34</v>
      </c>
      <c r="AO245" s="9" t="n">
        <v>70</v>
      </c>
      <c r="AP245" s="9" t="n">
        <v>86</v>
      </c>
      <c r="AQ245" s="11" t="n">
        <f aca="false">(AM245+AN245+AO245+AP245)/4</f>
        <v>63.75</v>
      </c>
      <c r="AR245" s="9" t="n">
        <v>12</v>
      </c>
      <c r="AS245" s="9" t="n">
        <v>24</v>
      </c>
      <c r="AT245" s="9" t="n">
        <v>52</v>
      </c>
      <c r="AU245" s="9" t="n">
        <v>39</v>
      </c>
      <c r="AV245" s="11" t="n">
        <f aca="false">(AR245+AS245+AT245+AU245)/4</f>
        <v>31.75</v>
      </c>
      <c r="AW245" s="9" t="n">
        <v>0</v>
      </c>
      <c r="AX245" s="9" t="n">
        <v>0</v>
      </c>
      <c r="AY245" s="9" t="n">
        <v>0</v>
      </c>
      <c r="AZ245" s="9" t="n">
        <v>0</v>
      </c>
      <c r="BA245" s="11" t="n">
        <f aca="false">(AW245+AX245+AY245+AZ245)/4</f>
        <v>0</v>
      </c>
      <c r="BB245" s="11" t="n">
        <f aca="false">(AW245/AR245)</f>
        <v>0</v>
      </c>
      <c r="BC245" s="11" t="n">
        <f aca="false">(AX245/AS245)</f>
        <v>0</v>
      </c>
      <c r="BD245" s="11" t="n">
        <f aca="false">(AY245/AT245)</f>
        <v>0</v>
      </c>
      <c r="BE245" s="11" t="n">
        <f aca="false">(AZ245/AU245)</f>
        <v>0</v>
      </c>
      <c r="BF245" s="11" t="n">
        <f aca="false">(BA245/AV245)</f>
        <v>0</v>
      </c>
      <c r="BG245" s="11" t="n">
        <f aca="false">(BF245*100)</f>
        <v>0</v>
      </c>
      <c r="BH245" s="9" t="n">
        <v>0</v>
      </c>
      <c r="BI245" s="9" t="n">
        <v>5</v>
      </c>
      <c r="BJ245" s="9" t="n">
        <v>8</v>
      </c>
      <c r="BK245" s="9" t="n">
        <v>8</v>
      </c>
      <c r="BL245" s="9" t="n">
        <v>12</v>
      </c>
      <c r="BM245" s="11" t="n">
        <f aca="false">(BI245+BJ245+BK245+BL245)/4</f>
        <v>8.25</v>
      </c>
      <c r="BN245" s="11" t="n">
        <f aca="false">(BI245/AR245)</f>
        <v>0.416666666666667</v>
      </c>
      <c r="BO245" s="11" t="n">
        <f aca="false">(BJ245/AS245)</f>
        <v>0.333333333333333</v>
      </c>
      <c r="BP245" s="11" t="n">
        <f aca="false">(BK245/AT245)</f>
        <v>0.153846153846154</v>
      </c>
      <c r="BQ245" s="11" t="n">
        <f aca="false">(BL245/AU245)</f>
        <v>0.307692307692308</v>
      </c>
      <c r="BR245" s="11" t="n">
        <f aca="false">(BM245/AV245)</f>
        <v>0.259842519685039</v>
      </c>
      <c r="BS245" s="11" t="n">
        <f aca="false">(100*BR245)</f>
        <v>25.9842519685039</v>
      </c>
      <c r="BT245" s="9" t="n">
        <v>2</v>
      </c>
      <c r="BU245" s="9" t="n">
        <v>3</v>
      </c>
      <c r="BV245" s="9" t="n">
        <v>0</v>
      </c>
      <c r="BW245" s="9" t="n">
        <v>0</v>
      </c>
      <c r="BX245" s="9" t="n">
        <v>0</v>
      </c>
      <c r="BY245" s="11" t="n">
        <f aca="false">(BU245+BV245+BW245+BX245)/4</f>
        <v>0.75</v>
      </c>
      <c r="BZ245" s="11" t="n">
        <f aca="false">(BU245/AR245)</f>
        <v>0.25</v>
      </c>
      <c r="CA245" s="11" t="n">
        <f aca="false">(BV245/AS245)</f>
        <v>0</v>
      </c>
      <c r="CB245" s="11" t="n">
        <f aca="false">(BW245/AT245)</f>
        <v>0</v>
      </c>
      <c r="CC245" s="11" t="n">
        <f aca="false">(BX245/AU245)</f>
        <v>0</v>
      </c>
      <c r="CD245" s="11" t="n">
        <f aca="false">(BY245/AV245)</f>
        <v>0.0236220472440945</v>
      </c>
      <c r="CE245" s="11" t="n">
        <f aca="false">(100*CD245)</f>
        <v>2.36220472440945</v>
      </c>
      <c r="CF245" s="9" t="n">
        <v>1</v>
      </c>
      <c r="CG245" s="9" t="n">
        <v>0</v>
      </c>
      <c r="CH245" s="9" t="n">
        <v>9</v>
      </c>
      <c r="CI245" s="9" t="n">
        <v>5</v>
      </c>
      <c r="CJ245" s="9" t="n">
        <v>4</v>
      </c>
      <c r="CK245" s="9"/>
      <c r="CL245" s="9"/>
      <c r="CM245" s="9"/>
      <c r="CN245" s="19"/>
      <c r="CO245" s="9" t="n">
        <f aca="false">(CJ245/AP245)</f>
        <v>0.0465116279069767</v>
      </c>
      <c r="CP245" s="9" t="n">
        <f aca="false">(CK245/AQ245)</f>
        <v>0</v>
      </c>
      <c r="CQ245" s="9" t="n">
        <f aca="false">(100*CP245)</f>
        <v>0</v>
      </c>
      <c r="CR245" s="18" t="n">
        <v>0</v>
      </c>
      <c r="CS245" s="9" t="n">
        <v>62.4</v>
      </c>
      <c r="CT245" s="9" t="n">
        <v>51.3</v>
      </c>
      <c r="CU245" s="9" t="n">
        <v>61.4</v>
      </c>
      <c r="CV245" s="9" t="n">
        <v>54.6</v>
      </c>
      <c r="CW245" s="11" t="n">
        <f aca="false">(CS245+CT245+CU245+CV245)/4</f>
        <v>57.425</v>
      </c>
      <c r="CX245" s="9" t="n">
        <v>0</v>
      </c>
      <c r="CY245" s="9" t="n">
        <v>0</v>
      </c>
      <c r="CZ245" s="9" t="n">
        <v>0</v>
      </c>
      <c r="DA245" s="9" t="n">
        <v>0</v>
      </c>
      <c r="DB245" s="11" t="n">
        <f aca="false">(CX245+CY245+CZ245+DA245)/4</f>
        <v>0</v>
      </c>
      <c r="DC245" s="9" t="n">
        <v>1</v>
      </c>
      <c r="DD245" s="9" t="n">
        <v>1</v>
      </c>
      <c r="DE245" s="9" t="n">
        <v>1</v>
      </c>
      <c r="DF245" s="9" t="n">
        <v>1</v>
      </c>
      <c r="DG245" s="11" t="n">
        <f aca="false">(DC245+DD245+DE245+DF245)/4</f>
        <v>1</v>
      </c>
      <c r="DH245" s="9" t="n">
        <v>1</v>
      </c>
      <c r="DI245" s="9" t="n">
        <v>1</v>
      </c>
      <c r="DJ245" s="9" t="n">
        <v>1</v>
      </c>
      <c r="DK245" s="9" t="n">
        <v>1</v>
      </c>
      <c r="DL245" s="11" t="n">
        <f aca="false">(DH245+DI245+DJ245+DK245)/4</f>
        <v>1</v>
      </c>
      <c r="DM245" s="9" t="n">
        <v>59</v>
      </c>
      <c r="DN245" s="9" t="n">
        <v>142</v>
      </c>
      <c r="DO245" s="9" t="n">
        <v>114</v>
      </c>
      <c r="DP245" s="9" t="n">
        <v>214</v>
      </c>
      <c r="DQ245" s="11" t="n">
        <f aca="false">(DM245+DN245+DO245+DP245)/4</f>
        <v>132.25</v>
      </c>
      <c r="DR245" s="9" t="n">
        <v>18</v>
      </c>
      <c r="DS245" s="9" t="n">
        <v>70</v>
      </c>
      <c r="DT245" s="9" t="n">
        <v>26</v>
      </c>
      <c r="DU245" s="9" t="n">
        <v>28</v>
      </c>
      <c r="DV245" s="11" t="n">
        <f aca="false">(DR245+DS245+DT245+DU245)/4</f>
        <v>35.5</v>
      </c>
      <c r="DW245" s="9" t="n">
        <v>0</v>
      </c>
      <c r="DX245" s="9" t="n">
        <v>0</v>
      </c>
      <c r="DY245" s="9" t="n">
        <v>0</v>
      </c>
      <c r="DZ245" s="9" t="n">
        <v>0</v>
      </c>
      <c r="EA245" s="11" t="n">
        <f aca="false">(DW245+DX245+DY245+DZ245)/4</f>
        <v>0</v>
      </c>
      <c r="EB245" s="11" t="n">
        <f aca="false">(DW245/DR245)</f>
        <v>0</v>
      </c>
      <c r="EC245" s="11" t="n">
        <f aca="false">(DX245/DS245)</f>
        <v>0</v>
      </c>
      <c r="ED245" s="11" t="n">
        <f aca="false">(DY245/DT245)</f>
        <v>0</v>
      </c>
      <c r="EE245" s="11" t="n">
        <f aca="false">(DZ245/DU245)</f>
        <v>0</v>
      </c>
      <c r="EF245" s="11" t="n">
        <f aca="false">(EA245/DV245)</f>
        <v>0</v>
      </c>
      <c r="EG245" s="11" t="n">
        <f aca="false">(100*EF245)</f>
        <v>0</v>
      </c>
      <c r="EH245" s="9" t="n">
        <v>0</v>
      </c>
      <c r="EI245" s="9" t="n">
        <v>2</v>
      </c>
      <c r="EJ245" s="9" t="n">
        <v>6</v>
      </c>
      <c r="EK245" s="19" t="n">
        <v>2</v>
      </c>
      <c r="EL245" s="9" t="n">
        <v>2</v>
      </c>
      <c r="EM245" s="9" t="n">
        <f aca="false">(EI245+EJ245+EK245+EL245)/4</f>
        <v>3</v>
      </c>
      <c r="EN245" s="9" t="n">
        <f aca="false">(EI245/DR245)</f>
        <v>0.111111111111111</v>
      </c>
      <c r="EO245" s="9" t="n">
        <f aca="false">(EJ245/DS245)</f>
        <v>0.0857142857142857</v>
      </c>
      <c r="EP245" s="9" t="n">
        <f aca="false">(EK245/DT245)</f>
        <v>0.0769230769230769</v>
      </c>
      <c r="EQ245" s="9" t="n">
        <f aca="false">(EL245/DU245)</f>
        <v>0.0714285714285714</v>
      </c>
      <c r="ER245" s="9" t="n">
        <f aca="false">EM245/DV245</f>
        <v>0.0845070422535211</v>
      </c>
      <c r="ES245" s="9" t="n">
        <f aca="false">(100*ER245)</f>
        <v>8.45070422535211</v>
      </c>
      <c r="ET245" s="9" t="n">
        <v>1</v>
      </c>
      <c r="EU245" s="18" t="n">
        <v>0</v>
      </c>
      <c r="EV245" s="9" t="n">
        <v>0</v>
      </c>
      <c r="EW245" s="9" t="n">
        <v>0</v>
      </c>
      <c r="EX245" s="9" t="n">
        <v>0</v>
      </c>
      <c r="EY245" s="11" t="n">
        <f aca="false">(EU245+EV245+EW245+EX245)/4</f>
        <v>0</v>
      </c>
      <c r="EZ245" s="11" t="n">
        <f aca="false">(EU245/DR245)</f>
        <v>0</v>
      </c>
      <c r="FA245" s="11" t="n">
        <f aca="false">(EV245/DS245)</f>
        <v>0</v>
      </c>
      <c r="FB245" s="11" t="n">
        <f aca="false">(EW245/DT245)</f>
        <v>0</v>
      </c>
      <c r="FC245" s="11" t="n">
        <f aca="false">(EX245/DU245)</f>
        <v>0</v>
      </c>
      <c r="FD245" s="11" t="n">
        <f aca="false">(EY245/DV245)</f>
        <v>0</v>
      </c>
      <c r="FE245" s="11" t="n">
        <f aca="false">(100*FD245)</f>
        <v>0</v>
      </c>
      <c r="FF245" s="9" t="n">
        <v>0</v>
      </c>
      <c r="FG245" s="9" t="n">
        <v>20</v>
      </c>
      <c r="FH245" s="9" t="n">
        <v>4</v>
      </c>
      <c r="FI245" s="9" t="n">
        <v>10</v>
      </c>
      <c r="FJ245" s="9" t="n">
        <v>3</v>
      </c>
      <c r="FK245" s="11" t="n">
        <f aca="false">(FG245+FH245+FI245+FJ245)/4</f>
        <v>9.25</v>
      </c>
      <c r="FL245" s="11" t="n">
        <f aca="false">(FG245/DR245)</f>
        <v>1.11111111111111</v>
      </c>
      <c r="FM245" s="11" t="n">
        <f aca="false">(FH245/DS245)</f>
        <v>0.0571428571428571</v>
      </c>
      <c r="FN245" s="11" t="n">
        <f aca="false">(FI245/DT245)</f>
        <v>0.384615384615385</v>
      </c>
      <c r="FO245" s="11" t="n">
        <f aca="false">(FJ245/DU245)</f>
        <v>0.107142857142857</v>
      </c>
      <c r="FP245" s="11" t="n">
        <f aca="false">(FK245/DV245)</f>
        <v>0.26056338028169</v>
      </c>
      <c r="FQ245" s="11" t="n">
        <f aca="false">(100*FP245)</f>
        <v>26.056338028169</v>
      </c>
      <c r="FR245" s="9" t="n">
        <v>2</v>
      </c>
      <c r="FS245" s="9" t="n">
        <v>62.7</v>
      </c>
      <c r="FT245" s="9" t="n">
        <v>44.4</v>
      </c>
      <c r="FU245" s="9" t="n">
        <v>56.2</v>
      </c>
      <c r="FV245" s="9" t="n">
        <v>60.3</v>
      </c>
      <c r="FW245" s="11" t="n">
        <f aca="false">(FS245+FT245+FU245+FV245)/4</f>
        <v>55.9</v>
      </c>
      <c r="FX245" s="9" t="n">
        <v>0</v>
      </c>
      <c r="FY245" s="9" t="n">
        <v>0</v>
      </c>
      <c r="FZ245" s="9" t="n">
        <v>0</v>
      </c>
      <c r="GA245" s="9" t="n">
        <v>0</v>
      </c>
      <c r="GB245" s="11" t="n">
        <f aca="false">(FX245+FY245+FZ245+GA245)/4</f>
        <v>0</v>
      </c>
      <c r="GC245" s="9" t="n">
        <v>1</v>
      </c>
      <c r="GD245" s="9" t="n">
        <v>1</v>
      </c>
      <c r="GE245" s="9" t="n">
        <v>1</v>
      </c>
      <c r="GF245" s="9" t="n">
        <v>1</v>
      </c>
      <c r="GG245" s="11" t="n">
        <f aca="false">(GC245+GD245+GE245+GF245)/4</f>
        <v>1</v>
      </c>
      <c r="GH245" s="9" t="n">
        <v>1</v>
      </c>
      <c r="GI245" s="9" t="n">
        <v>1</v>
      </c>
      <c r="GJ245" s="9" t="n">
        <v>0</v>
      </c>
      <c r="GK245" s="9" t="n">
        <v>1</v>
      </c>
      <c r="GL245" s="11" t="n">
        <f aca="false">(GH245+GI245+GJ245+GK245)/4</f>
        <v>0.75</v>
      </c>
      <c r="GM245" s="9" t="n">
        <v>62</v>
      </c>
      <c r="GN245" s="9" t="n">
        <v>214</v>
      </c>
      <c r="GO245" s="9" t="n">
        <v>132</v>
      </c>
      <c r="GP245" s="9" t="n">
        <v>175</v>
      </c>
      <c r="GQ245" s="11" t="n">
        <f aca="false">(GM245+GN245+GO245+GP245)/4</f>
        <v>145.75</v>
      </c>
      <c r="GR245" s="9" t="n">
        <v>17</v>
      </c>
      <c r="GS245" s="9" t="n">
        <v>2</v>
      </c>
      <c r="GT245" s="9" t="n">
        <v>17</v>
      </c>
      <c r="GU245" s="9" t="n">
        <v>18</v>
      </c>
      <c r="GV245" s="11" t="n">
        <f aca="false">(GR245+GS245+GT245+GU245)/4</f>
        <v>13.5</v>
      </c>
      <c r="GW245" s="9" t="n">
        <v>0</v>
      </c>
      <c r="GX245" s="9" t="n">
        <v>0</v>
      </c>
      <c r="GY245" s="9" t="n">
        <v>0</v>
      </c>
      <c r="GZ245" s="9" t="n">
        <v>0</v>
      </c>
      <c r="HA245" s="11" t="n">
        <f aca="false">(GW245+GX245+GY245+GZ245)/4</f>
        <v>0</v>
      </c>
      <c r="HB245" s="9"/>
      <c r="HC245" s="9" t="n">
        <f aca="false">(GX245/GS245)</f>
        <v>0</v>
      </c>
      <c r="HD245" s="9" t="n">
        <f aca="false">(GY245/GT245)</f>
        <v>0</v>
      </c>
      <c r="HE245" s="9" t="n">
        <f aca="false">(GZ245/GU245)/4</f>
        <v>0</v>
      </c>
      <c r="HF245" s="9" t="n">
        <f aca="false">(HB245+HC245+HD245+HE245)/4</f>
        <v>0</v>
      </c>
      <c r="HG245" s="9" t="n">
        <f aca="false">(100*HF245)</f>
        <v>0</v>
      </c>
      <c r="HH245" s="18"/>
      <c r="HI245" s="9" t="n">
        <v>5</v>
      </c>
      <c r="HJ245" s="9" t="n">
        <v>0</v>
      </c>
      <c r="HK245" s="9" t="n">
        <v>5</v>
      </c>
      <c r="HL245" s="19" t="n">
        <v>3</v>
      </c>
      <c r="HM245" s="9" t="n">
        <f aca="false">(HI245+HJ245+HK245+HL245)/4</f>
        <v>3.25</v>
      </c>
      <c r="HN245" s="9" t="n">
        <f aca="false">(HI245/GR245)</f>
        <v>0.294117647058824</v>
      </c>
      <c r="HO245" s="9" t="n">
        <f aca="false">(HJ245/GS245)</f>
        <v>0</v>
      </c>
      <c r="HP245" s="9" t="n">
        <f aca="false">(HK245/GT245)</f>
        <v>0.294117647058824</v>
      </c>
      <c r="HQ245" s="9" t="n">
        <f aca="false">(HL245/GU245)</f>
        <v>0.166666666666667</v>
      </c>
      <c r="HR245" s="9" t="n">
        <f aca="false">(HM245/GV245)</f>
        <v>0.240740740740741</v>
      </c>
      <c r="HS245" s="9" t="n">
        <f aca="false">(100*HR245)</f>
        <v>24.0740740740741</v>
      </c>
      <c r="HT245" s="18" t="n">
        <v>2</v>
      </c>
      <c r="HU245" s="9" t="n">
        <v>0</v>
      </c>
      <c r="HV245" s="9" t="n">
        <v>0</v>
      </c>
      <c r="HW245" s="9" t="n">
        <v>0</v>
      </c>
      <c r="HX245" s="19" t="n">
        <v>0</v>
      </c>
      <c r="HY245" s="9" t="n">
        <f aca="false">(HU245+HV245+HW245+HX245)/4</f>
        <v>0</v>
      </c>
      <c r="HZ245" s="9" t="n">
        <f aca="false">(HU245/GR245)</f>
        <v>0</v>
      </c>
      <c r="IA245" s="9" t="n">
        <f aca="false">HV245/GS245</f>
        <v>0</v>
      </c>
      <c r="IB245" s="9" t="n">
        <f aca="false">(HW245/GT245)</f>
        <v>0</v>
      </c>
      <c r="IC245" s="9" t="n">
        <f aca="false">(HX245/GU245)</f>
        <v>0</v>
      </c>
      <c r="ID245" s="9" t="n">
        <f aca="false">(HY245/GV245)</f>
        <v>0</v>
      </c>
      <c r="IE245" s="9" t="n">
        <f aca="false">(100*ID245)</f>
        <v>0</v>
      </c>
      <c r="IF245" s="18" t="n">
        <v>0</v>
      </c>
      <c r="IG245" s="9" t="n">
        <v>5</v>
      </c>
      <c r="IH245" s="9" t="n">
        <v>3</v>
      </c>
      <c r="II245" s="19" t="n">
        <v>0</v>
      </c>
      <c r="IJ245" s="9" t="n">
        <v>2</v>
      </c>
      <c r="IK245" s="9" t="n">
        <f aca="false">(IG245+IH245+II245+IJ245)/4</f>
        <v>2.5</v>
      </c>
      <c r="IL245" s="9" t="n">
        <f aca="false">(IG245/GM245)</f>
        <v>0.0806451612903226</v>
      </c>
      <c r="IM245" s="9" t="n">
        <f aca="false">(IH245/GN245)</f>
        <v>0.014018691588785</v>
      </c>
      <c r="IN245" s="9" t="n">
        <f aca="false">(II245/GO245)</f>
        <v>0</v>
      </c>
      <c r="IO245" s="9" t="n">
        <f aca="false">(IJ245/GP245)</f>
        <v>0.0114285714285714</v>
      </c>
      <c r="IP245" s="9" t="n">
        <f aca="false">(IK245/GQ245)</f>
        <v>0.0171526586620926</v>
      </c>
      <c r="IQ245" s="9" t="n">
        <f aca="false">(100*IP245)</f>
        <v>1.71526586620926</v>
      </c>
      <c r="IR245" s="18" t="n">
        <v>1</v>
      </c>
      <c r="IS245" s="9" t="n">
        <v>48.8</v>
      </c>
      <c r="IT245" s="9" t="n">
        <v>60.3</v>
      </c>
      <c r="IU245" s="19" t="n">
        <v>63.1</v>
      </c>
      <c r="IV245" s="9" t="n">
        <v>65.8</v>
      </c>
      <c r="IW245" s="9" t="n">
        <f aca="false">(IS245+IT245+IU245+IV245)/4</f>
        <v>59.5</v>
      </c>
      <c r="IX245" s="16" t="n">
        <v>45211</v>
      </c>
      <c r="IY245" s="10" t="s">
        <v>268</v>
      </c>
    </row>
    <row r="246" customFormat="false" ht="15.75" hidden="false" customHeight="true" outlineLevel="0" collapsed="false">
      <c r="A246" s="9" t="s">
        <v>370</v>
      </c>
      <c r="B246" s="10" t="s">
        <v>810</v>
      </c>
      <c r="C246" s="10" t="s">
        <v>727</v>
      </c>
      <c r="D246" s="9" t="n">
        <v>1</v>
      </c>
      <c r="E246" s="9" t="n">
        <v>82</v>
      </c>
      <c r="F246" s="10" t="s">
        <v>815</v>
      </c>
      <c r="G246" s="10" t="s">
        <v>291</v>
      </c>
      <c r="H246" s="9" t="n">
        <v>21</v>
      </c>
      <c r="I246" s="9" t="n">
        <v>12</v>
      </c>
      <c r="J246" s="12" t="s">
        <v>270</v>
      </c>
      <c r="K246" s="20"/>
      <c r="L246" s="20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 t="n">
        <v>1</v>
      </c>
      <c r="Y246" s="9" t="n">
        <v>1</v>
      </c>
      <c r="Z246" s="9" t="n">
        <v>0</v>
      </c>
      <c r="AA246" s="9" t="n">
        <v>1</v>
      </c>
      <c r="AB246" s="11" t="n">
        <f aca="false">(X246+Y246+Z246+AA246)/4</f>
        <v>0.75</v>
      </c>
      <c r="AC246" s="9" t="n">
        <v>0</v>
      </c>
      <c r="AD246" s="9" t="n">
        <v>1</v>
      </c>
      <c r="AE246" s="9" t="n">
        <v>1</v>
      </c>
      <c r="AF246" s="9" t="n">
        <v>1</v>
      </c>
      <c r="AG246" s="11" t="n">
        <f aca="false">(AC246+AD246+AE246+AF246)/4</f>
        <v>0.75</v>
      </c>
      <c r="AH246" s="9" t="n">
        <v>1</v>
      </c>
      <c r="AI246" s="9" t="n">
        <v>1</v>
      </c>
      <c r="AJ246" s="9" t="n">
        <v>1</v>
      </c>
      <c r="AK246" s="9" t="n">
        <v>1</v>
      </c>
      <c r="AL246" s="11" t="n">
        <f aca="false">(AH246+AI246+AJ246+AK246)/4</f>
        <v>1</v>
      </c>
      <c r="AM246" s="9" t="n">
        <v>5</v>
      </c>
      <c r="AN246" s="9" t="n">
        <v>72</v>
      </c>
      <c r="AO246" s="9" t="n">
        <v>49</v>
      </c>
      <c r="AP246" s="9" t="n">
        <v>81</v>
      </c>
      <c r="AQ246" s="11" t="n">
        <f aca="false">(AM246+AN246+AO246+AP246)/4</f>
        <v>51.75</v>
      </c>
      <c r="AR246" s="9" t="n">
        <v>8</v>
      </c>
      <c r="AS246" s="9" t="n">
        <v>19</v>
      </c>
      <c r="AT246" s="9" t="n">
        <v>40</v>
      </c>
      <c r="AU246" s="9" t="n">
        <v>20</v>
      </c>
      <c r="AV246" s="11" t="n">
        <f aca="false">(AR246+AS246+AT246+AU246)/4</f>
        <v>21.75</v>
      </c>
      <c r="AW246" s="9" t="n">
        <v>4</v>
      </c>
      <c r="AX246" s="9" t="n">
        <v>2</v>
      </c>
      <c r="AY246" s="9" t="n">
        <v>0</v>
      </c>
      <c r="AZ246" s="9" t="n">
        <v>3</v>
      </c>
      <c r="BA246" s="11" t="n">
        <f aca="false">(AW246+AX246+AY246+AZ246)/4</f>
        <v>2.25</v>
      </c>
      <c r="BB246" s="11" t="n">
        <f aca="false">(AW246/AR246)</f>
        <v>0.5</v>
      </c>
      <c r="BC246" s="11" t="n">
        <f aca="false">(AX246/AS246)</f>
        <v>0.105263157894737</v>
      </c>
      <c r="BD246" s="11" t="n">
        <f aca="false">(AY246/AT246)</f>
        <v>0</v>
      </c>
      <c r="BE246" s="11" t="n">
        <f aca="false">(AZ246/AU246)</f>
        <v>0.15</v>
      </c>
      <c r="BF246" s="11" t="n">
        <f aca="false">(BA246/AV246)</f>
        <v>0.103448275862069</v>
      </c>
      <c r="BG246" s="11" t="n">
        <f aca="false">(BF246*100)</f>
        <v>10.3448275862069</v>
      </c>
      <c r="BH246" s="9" t="n">
        <v>2</v>
      </c>
      <c r="BI246" s="9" t="n">
        <v>0</v>
      </c>
      <c r="BJ246" s="9" t="n">
        <v>4</v>
      </c>
      <c r="BK246" s="9" t="n">
        <v>5</v>
      </c>
      <c r="BL246" s="9" t="n">
        <v>5</v>
      </c>
      <c r="BM246" s="11" t="n">
        <f aca="false">(BI246+BJ246+BK246+BL246)/4</f>
        <v>3.5</v>
      </c>
      <c r="BN246" s="11" t="n">
        <f aca="false">(BI246/AR246)</f>
        <v>0</v>
      </c>
      <c r="BO246" s="11" t="n">
        <f aca="false">(BJ246/AS246)</f>
        <v>0.210526315789474</v>
      </c>
      <c r="BP246" s="11" t="n">
        <f aca="false">(BK246/AT246)</f>
        <v>0.125</v>
      </c>
      <c r="BQ246" s="11" t="n">
        <f aca="false">(BL246/AU246)</f>
        <v>0.25</v>
      </c>
      <c r="BR246" s="11" t="n">
        <f aca="false">(BM246/AV246)</f>
        <v>0.160919540229885</v>
      </c>
      <c r="BS246" s="11" t="n">
        <f aca="false">(100*BR246)</f>
        <v>16.0919540229885</v>
      </c>
      <c r="BT246" s="9" t="n">
        <v>2</v>
      </c>
      <c r="BU246" s="9" t="n">
        <v>0</v>
      </c>
      <c r="BV246" s="9" t="n">
        <v>0</v>
      </c>
      <c r="BW246" s="9" t="n">
        <v>0</v>
      </c>
      <c r="BX246" s="9" t="n">
        <v>0</v>
      </c>
      <c r="BY246" s="11" t="n">
        <f aca="false">(BU246+BV246+BW246+BX246)/4</f>
        <v>0</v>
      </c>
      <c r="BZ246" s="11" t="n">
        <f aca="false">(BU246/AR246)</f>
        <v>0</v>
      </c>
      <c r="CA246" s="11" t="n">
        <f aca="false">(BV246/AS246)</f>
        <v>0</v>
      </c>
      <c r="CB246" s="11" t="n">
        <f aca="false">(BW246/AT246)</f>
        <v>0</v>
      </c>
      <c r="CC246" s="11" t="n">
        <f aca="false">(BX246/AU246)</f>
        <v>0</v>
      </c>
      <c r="CD246" s="11" t="n">
        <f aca="false">(BY246/AV246)</f>
        <v>0</v>
      </c>
      <c r="CE246" s="11" t="n">
        <f aca="false">(100*CD246)</f>
        <v>0</v>
      </c>
      <c r="CF246" s="9" t="n">
        <v>0</v>
      </c>
      <c r="CG246" s="9" t="n">
        <v>2</v>
      </c>
      <c r="CH246" s="9" t="n">
        <v>2</v>
      </c>
      <c r="CI246" s="9" t="n">
        <v>5</v>
      </c>
      <c r="CJ246" s="9" t="n">
        <v>2</v>
      </c>
      <c r="CK246" s="9"/>
      <c r="CL246" s="9"/>
      <c r="CM246" s="9"/>
      <c r="CN246" s="19"/>
      <c r="CO246" s="9" t="n">
        <f aca="false">(CJ246/AP246)</f>
        <v>0.0246913580246914</v>
      </c>
      <c r="CP246" s="9" t="n">
        <f aca="false">(CK246/AQ246)</f>
        <v>0</v>
      </c>
      <c r="CQ246" s="9" t="n">
        <f aca="false">(100*CP246)</f>
        <v>0</v>
      </c>
      <c r="CR246" s="18" t="n">
        <v>0</v>
      </c>
      <c r="CS246" s="9" t="n">
        <v>35.2</v>
      </c>
      <c r="CT246" s="9" t="n">
        <v>38.1</v>
      </c>
      <c r="CU246" s="9" t="n">
        <v>52.6</v>
      </c>
      <c r="CV246" s="9" t="n">
        <v>46.5</v>
      </c>
      <c r="CW246" s="11" t="n">
        <f aca="false">(CS246+CT246+CU246+CV246)/4</f>
        <v>43.1</v>
      </c>
      <c r="CX246" s="9" t="n">
        <v>1</v>
      </c>
      <c r="CY246" s="9" t="n">
        <v>1</v>
      </c>
      <c r="CZ246" s="9" t="n">
        <v>1</v>
      </c>
      <c r="DA246" s="9" t="n">
        <v>1</v>
      </c>
      <c r="DB246" s="11" t="n">
        <f aca="false">(CX246+CY246+CZ246+DA246)/4</f>
        <v>1</v>
      </c>
      <c r="DC246" s="9" t="n">
        <v>1</v>
      </c>
      <c r="DD246" s="9" t="n">
        <v>1</v>
      </c>
      <c r="DE246" s="9" t="n">
        <v>1</v>
      </c>
      <c r="DF246" s="9" t="n">
        <v>1</v>
      </c>
      <c r="DG246" s="11" t="n">
        <f aca="false">(DC246+DD246+DE246+DF246)/4</f>
        <v>1</v>
      </c>
      <c r="DH246" s="9" t="n">
        <v>1</v>
      </c>
      <c r="DI246" s="9" t="n">
        <v>1</v>
      </c>
      <c r="DJ246" s="9" t="n">
        <v>1</v>
      </c>
      <c r="DK246" s="9" t="n">
        <v>1</v>
      </c>
      <c r="DL246" s="11" t="n">
        <f aca="false">(DH246+DI246+DJ246+DK246)/4</f>
        <v>1</v>
      </c>
      <c r="DM246" s="9" t="n">
        <v>92</v>
      </c>
      <c r="DN246" s="9" t="n">
        <v>58</v>
      </c>
      <c r="DO246" s="9" t="n">
        <v>36</v>
      </c>
      <c r="DP246" s="9" t="n">
        <v>134</v>
      </c>
      <c r="DQ246" s="11" t="n">
        <f aca="false">(DM246+DN246+DO246+DP246)/4</f>
        <v>80</v>
      </c>
      <c r="DR246" s="9" t="n">
        <v>16</v>
      </c>
      <c r="DS246" s="9" t="n">
        <v>14</v>
      </c>
      <c r="DT246" s="9" t="n">
        <v>13</v>
      </c>
      <c r="DU246" s="9" t="n">
        <v>14</v>
      </c>
      <c r="DV246" s="11" t="n">
        <f aca="false">(DR246+DS246+DT246+DU246)/4</f>
        <v>14.25</v>
      </c>
      <c r="DW246" s="11" t="n">
        <v>2</v>
      </c>
      <c r="DX246" s="9" t="n">
        <v>5</v>
      </c>
      <c r="DY246" s="9" t="n">
        <v>4</v>
      </c>
      <c r="DZ246" s="9" t="n">
        <v>4</v>
      </c>
      <c r="EA246" s="11" t="n">
        <f aca="false">(DW246+DX246+DY246+DZ246)/4</f>
        <v>3.75</v>
      </c>
      <c r="EB246" s="11" t="n">
        <f aca="false">(DW246/DR246)</f>
        <v>0.125</v>
      </c>
      <c r="EC246" s="11" t="n">
        <f aca="false">(DX246/DS246)</f>
        <v>0.357142857142857</v>
      </c>
      <c r="ED246" s="11" t="n">
        <f aca="false">(DY246/DT246)</f>
        <v>0.307692307692308</v>
      </c>
      <c r="EE246" s="11" t="n">
        <f aca="false">(DZ246/DU246)</f>
        <v>0.285714285714286</v>
      </c>
      <c r="EF246" s="11" t="n">
        <f aca="false">(EA246/DV246)</f>
        <v>0.263157894736842</v>
      </c>
      <c r="EG246" s="11" t="n">
        <f aca="false">(100*EF246)</f>
        <v>26.3157894736842</v>
      </c>
      <c r="EH246" s="9" t="n">
        <v>2</v>
      </c>
      <c r="EI246" s="9" t="n">
        <v>5</v>
      </c>
      <c r="EJ246" s="9" t="n">
        <v>6</v>
      </c>
      <c r="EK246" s="19" t="n">
        <v>1</v>
      </c>
      <c r="EL246" s="9" t="n">
        <v>1</v>
      </c>
      <c r="EM246" s="9" t="n">
        <f aca="false">(EI246+EJ246+EK246+EL246)/4</f>
        <v>3.25</v>
      </c>
      <c r="EN246" s="9" t="n">
        <f aca="false">(EI246/DR246)</f>
        <v>0.3125</v>
      </c>
      <c r="EO246" s="9" t="n">
        <f aca="false">(EJ246/DS246)</f>
        <v>0.428571428571429</v>
      </c>
      <c r="EP246" s="9" t="n">
        <f aca="false">(EK246/DT246)</f>
        <v>0.0769230769230769</v>
      </c>
      <c r="EQ246" s="9" t="n">
        <f aca="false">(EL246/DU246)</f>
        <v>0.0714285714285714</v>
      </c>
      <c r="ER246" s="9" t="n">
        <f aca="false">EM246/DV246</f>
        <v>0.228070175438596</v>
      </c>
      <c r="ES246" s="9" t="n">
        <f aca="false">(100*ER246)</f>
        <v>22.8070175438596</v>
      </c>
      <c r="ET246" s="9" t="n">
        <v>2</v>
      </c>
      <c r="EU246" s="18" t="n">
        <v>0</v>
      </c>
      <c r="EV246" s="9" t="n">
        <v>0</v>
      </c>
      <c r="EW246" s="9" t="n">
        <v>0</v>
      </c>
      <c r="EX246" s="9" t="n">
        <v>0</v>
      </c>
      <c r="EY246" s="11" t="n">
        <f aca="false">(EU246+EV246+EW246+EX246)/4</f>
        <v>0</v>
      </c>
      <c r="EZ246" s="11" t="n">
        <f aca="false">(EU246/DR246)</f>
        <v>0</v>
      </c>
      <c r="FA246" s="11" t="n">
        <f aca="false">(EV246/DS246)</f>
        <v>0</v>
      </c>
      <c r="FB246" s="11" t="n">
        <f aca="false">(EW246/DT246)</f>
        <v>0</v>
      </c>
      <c r="FC246" s="11" t="n">
        <f aca="false">(EX246/DU246)</f>
        <v>0</v>
      </c>
      <c r="FD246" s="11" t="n">
        <f aca="false">(EY246/DV246)</f>
        <v>0</v>
      </c>
      <c r="FE246" s="11" t="n">
        <f aca="false">(100*FD246)</f>
        <v>0</v>
      </c>
      <c r="FF246" s="9" t="n">
        <v>0</v>
      </c>
      <c r="FG246" s="9" t="n">
        <v>4</v>
      </c>
      <c r="FH246" s="9" t="n">
        <v>2</v>
      </c>
      <c r="FI246" s="9" t="n">
        <v>1</v>
      </c>
      <c r="FJ246" s="9" t="n">
        <v>1</v>
      </c>
      <c r="FK246" s="11" t="n">
        <f aca="false">(FG246+FH246+FI246+FJ246)/4</f>
        <v>2</v>
      </c>
      <c r="FL246" s="11" t="n">
        <f aca="false">(FG246/DR246)</f>
        <v>0.25</v>
      </c>
      <c r="FM246" s="11" t="n">
        <f aca="false">(FH246/DS246)</f>
        <v>0.142857142857143</v>
      </c>
      <c r="FN246" s="11" t="n">
        <f aca="false">(FI246/DT246)</f>
        <v>0.0769230769230769</v>
      </c>
      <c r="FO246" s="11" t="n">
        <f aca="false">(FJ246/DU246)</f>
        <v>0.0714285714285714</v>
      </c>
      <c r="FP246" s="11" t="n">
        <f aca="false">(FK246/DV246)</f>
        <v>0.140350877192982</v>
      </c>
      <c r="FQ246" s="11" t="n">
        <f aca="false">(100*FP246)</f>
        <v>14.0350877192982</v>
      </c>
      <c r="FR246" s="9" t="n">
        <v>2</v>
      </c>
      <c r="FS246" s="9" t="n">
        <v>35.6</v>
      </c>
      <c r="FT246" s="9" t="n">
        <v>44.2</v>
      </c>
      <c r="FU246" s="9" t="n">
        <v>56.2</v>
      </c>
      <c r="FV246" s="9" t="n">
        <v>56.2</v>
      </c>
      <c r="FW246" s="11" t="n">
        <f aca="false">(FS246+FT246+FU246+FV246)/4</f>
        <v>48.05</v>
      </c>
      <c r="FX246" s="9" t="n">
        <v>1</v>
      </c>
      <c r="FY246" s="9" t="n">
        <v>1</v>
      </c>
      <c r="FZ246" s="9" t="n">
        <v>0</v>
      </c>
      <c r="GA246" s="9" t="n">
        <v>1</v>
      </c>
      <c r="GB246" s="11" t="n">
        <f aca="false">(FX246+FY246+FZ246+GA246)/4</f>
        <v>0.75</v>
      </c>
      <c r="GC246" s="9" t="n">
        <v>1</v>
      </c>
      <c r="GD246" s="9" t="n">
        <v>1</v>
      </c>
      <c r="GE246" s="9" t="n">
        <v>1</v>
      </c>
      <c r="GF246" s="9" t="n">
        <v>1</v>
      </c>
      <c r="GG246" s="11" t="n">
        <f aca="false">(GC246+GD246+GE246+GF246)/4</f>
        <v>1</v>
      </c>
      <c r="GH246" s="9" t="n">
        <v>1</v>
      </c>
      <c r="GI246" s="9" t="n">
        <v>1</v>
      </c>
      <c r="GJ246" s="9" t="n">
        <v>1</v>
      </c>
      <c r="GK246" s="9" t="n">
        <v>1</v>
      </c>
      <c r="GL246" s="11" t="n">
        <f aca="false">(GH246+GI246+GJ246+GK246)/4</f>
        <v>1</v>
      </c>
      <c r="GM246" s="9" t="n">
        <v>102</v>
      </c>
      <c r="GN246" s="9" t="n">
        <v>127</v>
      </c>
      <c r="GO246" s="9" t="n">
        <v>69</v>
      </c>
      <c r="GP246" s="9" t="n">
        <v>74</v>
      </c>
      <c r="GQ246" s="11" t="n">
        <f aca="false">(GM246+GN246+GO246+GP246)/4</f>
        <v>93</v>
      </c>
      <c r="GR246" s="9" t="n">
        <v>42</v>
      </c>
      <c r="GS246" s="9" t="n">
        <v>11</v>
      </c>
      <c r="GT246" s="9" t="n">
        <v>15</v>
      </c>
      <c r="GU246" s="9" t="n">
        <v>31</v>
      </c>
      <c r="GV246" s="11" t="n">
        <f aca="false">(GR246+GS246+GT246+GU246)/4</f>
        <v>24.75</v>
      </c>
      <c r="GW246" s="9" t="n">
        <v>3</v>
      </c>
      <c r="GX246" s="9" t="n">
        <v>5</v>
      </c>
      <c r="GY246" s="9" t="n">
        <v>0</v>
      </c>
      <c r="GZ246" s="9" t="n">
        <v>2</v>
      </c>
      <c r="HA246" s="11" t="n">
        <f aca="false">(GW246+GX246+GY246+GZ246)/4</f>
        <v>2.5</v>
      </c>
      <c r="HB246" s="9"/>
      <c r="HC246" s="9" t="n">
        <f aca="false">(GX246/GS246)</f>
        <v>0.454545454545455</v>
      </c>
      <c r="HD246" s="9" t="n">
        <f aca="false">(GY246/GT246)</f>
        <v>0</v>
      </c>
      <c r="HE246" s="9" t="n">
        <f aca="false">(GZ246/GU246)/4</f>
        <v>0.0161290322580645</v>
      </c>
      <c r="HF246" s="9" t="n">
        <f aca="false">(HB246+HC246+HD246+HE246)/4</f>
        <v>0.11766862170088</v>
      </c>
      <c r="HG246" s="9" t="n">
        <f aca="false">(100*HF246)</f>
        <v>11.766862170088</v>
      </c>
      <c r="HH246" s="18" t="n">
        <v>2</v>
      </c>
      <c r="HI246" s="9" t="n">
        <v>3</v>
      </c>
      <c r="HJ246" s="9" t="n">
        <v>2</v>
      </c>
      <c r="HK246" s="9" t="n">
        <v>5</v>
      </c>
      <c r="HL246" s="19" t="n">
        <v>3</v>
      </c>
      <c r="HM246" s="9" t="n">
        <f aca="false">(HI246+HJ246+HK246+HL246)/4</f>
        <v>3.25</v>
      </c>
      <c r="HN246" s="9" t="n">
        <f aca="false">(HI246/GR246)</f>
        <v>0.0714285714285714</v>
      </c>
      <c r="HO246" s="9" t="n">
        <f aca="false">(HJ246/GS246)</f>
        <v>0.181818181818182</v>
      </c>
      <c r="HP246" s="9" t="n">
        <f aca="false">(HK246/GT246)</f>
        <v>0.333333333333333</v>
      </c>
      <c r="HQ246" s="9" t="n">
        <f aca="false">(HL246/GU246)</f>
        <v>0.0967741935483871</v>
      </c>
      <c r="HR246" s="9" t="n">
        <f aca="false">(HM246/GV246)</f>
        <v>0.131313131313131</v>
      </c>
      <c r="HS246" s="9" t="n">
        <f aca="false">(100*HR246)</f>
        <v>13.1313131313131</v>
      </c>
      <c r="HT246" s="18" t="n">
        <v>2</v>
      </c>
      <c r="HU246" s="9" t="n">
        <v>0</v>
      </c>
      <c r="HV246" s="9" t="n">
        <v>0</v>
      </c>
      <c r="HW246" s="9" t="n">
        <v>0</v>
      </c>
      <c r="HX246" s="19" t="n">
        <v>0</v>
      </c>
      <c r="HY246" s="9" t="n">
        <f aca="false">(HU246+HV246+HW246+HX246)/4</f>
        <v>0</v>
      </c>
      <c r="HZ246" s="9" t="n">
        <f aca="false">(HU246/GR246)</f>
        <v>0</v>
      </c>
      <c r="IA246" s="9" t="n">
        <f aca="false">HV246/GS246</f>
        <v>0</v>
      </c>
      <c r="IB246" s="9" t="n">
        <f aca="false">(HW246/GT246)</f>
        <v>0</v>
      </c>
      <c r="IC246" s="9" t="n">
        <f aca="false">(HX246/GU246)</f>
        <v>0</v>
      </c>
      <c r="ID246" s="9" t="n">
        <f aca="false">(HY246/GV246)</f>
        <v>0</v>
      </c>
      <c r="IE246" s="9" t="n">
        <f aca="false">(100*ID246)</f>
        <v>0</v>
      </c>
      <c r="IF246" s="18" t="n">
        <v>0</v>
      </c>
      <c r="IG246" s="9" t="n">
        <v>1</v>
      </c>
      <c r="IH246" s="9" t="n">
        <v>5</v>
      </c>
      <c r="II246" s="19" t="n">
        <v>14</v>
      </c>
      <c r="IJ246" s="9" t="n">
        <v>2</v>
      </c>
      <c r="IK246" s="9" t="n">
        <f aca="false">(IG246+IH246+II246+IJ246)/4</f>
        <v>5.5</v>
      </c>
      <c r="IL246" s="9" t="n">
        <f aca="false">(IG246/GM246)</f>
        <v>0.00980392156862745</v>
      </c>
      <c r="IM246" s="9" t="n">
        <f aca="false">(IH246/GN246)</f>
        <v>0.0393700787401575</v>
      </c>
      <c r="IN246" s="9" t="n">
        <f aca="false">(II246/GO246)</f>
        <v>0.202898550724638</v>
      </c>
      <c r="IO246" s="9" t="n">
        <f aca="false">(IJ246/GP246)</f>
        <v>0.027027027027027</v>
      </c>
      <c r="IP246" s="9" t="n">
        <f aca="false">(IK246/GQ246)</f>
        <v>0.0591397849462366</v>
      </c>
      <c r="IQ246" s="9" t="n">
        <f aca="false">(100*IP246)</f>
        <v>5.91397849462366</v>
      </c>
      <c r="IR246" s="18" t="n">
        <v>1</v>
      </c>
      <c r="IS246" s="9" t="n">
        <v>57</v>
      </c>
      <c r="IT246" s="9" t="n">
        <v>42.3</v>
      </c>
      <c r="IU246" s="9" t="n">
        <v>51.6</v>
      </c>
      <c r="IV246" s="9" t="n">
        <v>53.6</v>
      </c>
      <c r="IW246" s="9" t="n">
        <f aca="false">(IS246+IT246+IU246+IV246)/4</f>
        <v>51.125</v>
      </c>
      <c r="IX246" s="16" t="n">
        <v>45211</v>
      </c>
      <c r="IY246" s="10" t="s">
        <v>268</v>
      </c>
    </row>
    <row r="247" customFormat="false" ht="15.75" hidden="false" customHeight="true" outlineLevel="0" collapsed="false">
      <c r="A247" s="9" t="s">
        <v>370</v>
      </c>
      <c r="B247" s="10" t="s">
        <v>810</v>
      </c>
      <c r="C247" s="10" t="s">
        <v>727</v>
      </c>
      <c r="D247" s="9" t="n">
        <v>1</v>
      </c>
      <c r="E247" s="9" t="n">
        <v>82</v>
      </c>
      <c r="F247" s="10" t="s">
        <v>816</v>
      </c>
      <c r="G247" s="10" t="s">
        <v>291</v>
      </c>
      <c r="H247" s="9" t="n">
        <v>21</v>
      </c>
      <c r="I247" s="9" t="n">
        <v>20</v>
      </c>
      <c r="J247" s="10" t="s">
        <v>272</v>
      </c>
      <c r="K247" s="20"/>
      <c r="L247" s="20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 t="n">
        <v>0</v>
      </c>
      <c r="Y247" s="9" t="n">
        <v>0</v>
      </c>
      <c r="Z247" s="9" t="n">
        <v>0</v>
      </c>
      <c r="AA247" s="9" t="n">
        <v>0</v>
      </c>
      <c r="AB247" s="11" t="n">
        <f aca="false">(X247+Y247+Z247+AA247)/4</f>
        <v>0</v>
      </c>
      <c r="AC247" s="9" t="n">
        <v>1</v>
      </c>
      <c r="AD247" s="9" t="n">
        <v>1</v>
      </c>
      <c r="AE247" s="9" t="n">
        <v>1</v>
      </c>
      <c r="AF247" s="9" t="n">
        <v>1</v>
      </c>
      <c r="AG247" s="11" t="n">
        <f aca="false">(AC247+AD247+AE247+AF247)/4</f>
        <v>1</v>
      </c>
      <c r="AH247" s="9" t="n">
        <v>1</v>
      </c>
      <c r="AI247" s="9" t="n">
        <v>1</v>
      </c>
      <c r="AJ247" s="9" t="n">
        <v>1</v>
      </c>
      <c r="AK247" s="9" t="n">
        <v>1</v>
      </c>
      <c r="AL247" s="11" t="n">
        <f aca="false">(AH247+AI247+AJ247+AK247)/4</f>
        <v>1</v>
      </c>
      <c r="AM247" s="9" t="n">
        <v>62</v>
      </c>
      <c r="AN247" s="9" t="n">
        <v>18</v>
      </c>
      <c r="AO247" s="9" t="n">
        <v>36</v>
      </c>
      <c r="AP247" s="9" t="n">
        <v>90</v>
      </c>
      <c r="AQ247" s="11" t="n">
        <f aca="false">(AM247+AN247+AO247+AP247)/4</f>
        <v>51.5</v>
      </c>
      <c r="AR247" s="9" t="n">
        <v>9</v>
      </c>
      <c r="AS247" s="9" t="n">
        <v>4</v>
      </c>
      <c r="AT247" s="9" t="n">
        <v>19</v>
      </c>
      <c r="AU247" s="9" t="n">
        <v>31</v>
      </c>
      <c r="AV247" s="11" t="n">
        <f aca="false">(AR247+AS247+AT247+AU247)/4</f>
        <v>15.75</v>
      </c>
      <c r="AW247" s="9" t="n">
        <v>0</v>
      </c>
      <c r="AX247" s="9" t="n">
        <v>0</v>
      </c>
      <c r="AY247" s="9" t="n">
        <v>0</v>
      </c>
      <c r="AZ247" s="9" t="n">
        <v>0</v>
      </c>
      <c r="BA247" s="11" t="n">
        <f aca="false">(AW247+AX247+AY247+AZ247)/4</f>
        <v>0</v>
      </c>
      <c r="BB247" s="11" t="n">
        <f aca="false">(AW247/AR247)</f>
        <v>0</v>
      </c>
      <c r="BC247" s="11" t="n">
        <f aca="false">(AX247/AS247)</f>
        <v>0</v>
      </c>
      <c r="BD247" s="11" t="n">
        <f aca="false">(AY247/AT247)</f>
        <v>0</v>
      </c>
      <c r="BE247" s="11" t="n">
        <f aca="false">(AZ247/AU247)</f>
        <v>0</v>
      </c>
      <c r="BF247" s="11" t="n">
        <f aca="false">(BA247/AV247)</f>
        <v>0</v>
      </c>
      <c r="BG247" s="11" t="n">
        <f aca="false">(BF247*100)</f>
        <v>0</v>
      </c>
      <c r="BH247" s="9" t="n">
        <v>0</v>
      </c>
      <c r="BI247" s="9" t="n">
        <v>5</v>
      </c>
      <c r="BJ247" s="9" t="n">
        <v>2</v>
      </c>
      <c r="BK247" s="9" t="n">
        <v>2</v>
      </c>
      <c r="BL247" s="9" t="n">
        <v>2</v>
      </c>
      <c r="BM247" s="11" t="n">
        <f aca="false">(BI247+BJ247+BK247+BL247)/4</f>
        <v>2.75</v>
      </c>
      <c r="BN247" s="11" t="n">
        <f aca="false">(BI247/AR247)</f>
        <v>0.555555555555556</v>
      </c>
      <c r="BO247" s="11" t="n">
        <f aca="false">(BJ247/AS247)</f>
        <v>0.5</v>
      </c>
      <c r="BP247" s="11" t="n">
        <f aca="false">(BK247/AT247)</f>
        <v>0.105263157894737</v>
      </c>
      <c r="BQ247" s="11" t="n">
        <f aca="false">(BL247/AU247)</f>
        <v>0.0645161290322581</v>
      </c>
      <c r="BR247" s="11" t="n">
        <f aca="false">(BM247/AV247)</f>
        <v>0.174603174603175</v>
      </c>
      <c r="BS247" s="11" t="n">
        <f aca="false">(100*BR247)</f>
        <v>17.4603174603175</v>
      </c>
      <c r="BT247" s="9" t="n">
        <v>2</v>
      </c>
      <c r="BU247" s="9" t="n">
        <v>0</v>
      </c>
      <c r="BV247" s="9" t="n">
        <v>0</v>
      </c>
      <c r="BW247" s="9" t="n">
        <v>0</v>
      </c>
      <c r="BX247" s="9" t="n">
        <v>0</v>
      </c>
      <c r="BY247" s="11" t="n">
        <f aca="false">(BU247+BV247+BW247+BX247)/4</f>
        <v>0</v>
      </c>
      <c r="BZ247" s="11" t="n">
        <f aca="false">(BU247/AR247)</f>
        <v>0</v>
      </c>
      <c r="CA247" s="11" t="n">
        <f aca="false">(BV247/AS247)</f>
        <v>0</v>
      </c>
      <c r="CB247" s="11" t="n">
        <f aca="false">(BW247/AT247)</f>
        <v>0</v>
      </c>
      <c r="CC247" s="11" t="n">
        <f aca="false">(BX247/AU247)</f>
        <v>0</v>
      </c>
      <c r="CD247" s="11" t="n">
        <f aca="false">(BY247/AV247)</f>
        <v>0</v>
      </c>
      <c r="CE247" s="11" t="n">
        <f aca="false">(100*CD247)</f>
        <v>0</v>
      </c>
      <c r="CF247" s="9" t="n">
        <v>0</v>
      </c>
      <c r="CG247" s="9" t="n">
        <v>20</v>
      </c>
      <c r="CH247" s="9" t="n">
        <v>6</v>
      </c>
      <c r="CI247" s="9" t="n">
        <v>4</v>
      </c>
      <c r="CJ247" s="9" t="n">
        <v>5</v>
      </c>
      <c r="CK247" s="9"/>
      <c r="CL247" s="9"/>
      <c r="CM247" s="9"/>
      <c r="CN247" s="19"/>
      <c r="CO247" s="9" t="n">
        <f aca="false">(CJ247/AP247)</f>
        <v>0.0555555555555556</v>
      </c>
      <c r="CP247" s="9" t="n">
        <f aca="false">(CK247/AQ247)</f>
        <v>0</v>
      </c>
      <c r="CQ247" s="9" t="n">
        <f aca="false">(100*CP247)</f>
        <v>0</v>
      </c>
      <c r="CR247" s="18" t="n">
        <v>0</v>
      </c>
      <c r="CS247" s="9" t="n">
        <v>53.8</v>
      </c>
      <c r="CT247" s="9" t="n">
        <v>46</v>
      </c>
      <c r="CU247" s="9" t="n">
        <v>46.6</v>
      </c>
      <c r="CV247" s="9" t="n">
        <v>62.7</v>
      </c>
      <c r="CW247" s="11" t="n">
        <f aca="false">(CS247+CT247+CU247+CV247)/4</f>
        <v>52.275</v>
      </c>
      <c r="CX247" s="9" t="n">
        <v>1</v>
      </c>
      <c r="CY247" s="9" t="n">
        <v>1</v>
      </c>
      <c r="CZ247" s="9" t="n">
        <v>0</v>
      </c>
      <c r="DA247" s="9" t="n">
        <v>1</v>
      </c>
      <c r="DB247" s="11" t="n">
        <f aca="false">(CX247+CY247+CZ247+DA247)/4</f>
        <v>0.75</v>
      </c>
      <c r="DC247" s="9" t="n">
        <v>1</v>
      </c>
      <c r="DD247" s="9" t="n">
        <v>1</v>
      </c>
      <c r="DE247" s="9" t="n">
        <v>1</v>
      </c>
      <c r="DF247" s="9" t="n">
        <v>0</v>
      </c>
      <c r="DG247" s="11" t="n">
        <f aca="false">(DC247+DD247+DE247+DF247)/4</f>
        <v>0.75</v>
      </c>
      <c r="DH247" s="9" t="n">
        <v>1</v>
      </c>
      <c r="DI247" s="9" t="n">
        <v>1</v>
      </c>
      <c r="DJ247" s="9" t="n">
        <v>1</v>
      </c>
      <c r="DK247" s="9" t="n">
        <v>1</v>
      </c>
      <c r="DL247" s="11" t="n">
        <f aca="false">(DH247+DI247+DJ247+DK247)/4</f>
        <v>1</v>
      </c>
      <c r="DM247" s="9" t="n">
        <v>78</v>
      </c>
      <c r="DN247" s="9" t="n">
        <v>111</v>
      </c>
      <c r="DO247" s="9" t="n">
        <v>34</v>
      </c>
      <c r="DP247" s="9" t="n">
        <v>34</v>
      </c>
      <c r="DQ247" s="11" t="n">
        <f aca="false">(DM247+DN247+DO247+DP247)/4</f>
        <v>64.25</v>
      </c>
      <c r="DR247" s="9" t="n">
        <v>32</v>
      </c>
      <c r="DS247" s="9" t="n">
        <v>23</v>
      </c>
      <c r="DT247" s="9" t="n">
        <v>17</v>
      </c>
      <c r="DU247" s="9" t="n">
        <v>7</v>
      </c>
      <c r="DV247" s="11" t="n">
        <f aca="false">(DR247+DS247+DT247+DU247)/4</f>
        <v>19.75</v>
      </c>
      <c r="DW247" s="9" t="n">
        <v>2</v>
      </c>
      <c r="DX247" s="9" t="n">
        <v>4</v>
      </c>
      <c r="DY247" s="9" t="n">
        <v>0</v>
      </c>
      <c r="DZ247" s="9" t="n">
        <v>2</v>
      </c>
      <c r="EA247" s="11" t="n">
        <f aca="false">(DW247+DX247+DY247+DZ247)/4</f>
        <v>2</v>
      </c>
      <c r="EB247" s="11" t="n">
        <f aca="false">(DW247/DR247)</f>
        <v>0.0625</v>
      </c>
      <c r="EC247" s="11" t="n">
        <f aca="false">(DX247/DS247)</f>
        <v>0.173913043478261</v>
      </c>
      <c r="ED247" s="11" t="n">
        <f aca="false">(DY247/DT247)</f>
        <v>0</v>
      </c>
      <c r="EE247" s="11" t="n">
        <f aca="false">(DZ247/DU247)</f>
        <v>0.285714285714286</v>
      </c>
      <c r="EF247" s="11" t="n">
        <f aca="false">(EA247/DV247)</f>
        <v>0.10126582278481</v>
      </c>
      <c r="EG247" s="11" t="n">
        <f aca="false">(100*EF247)</f>
        <v>10.126582278481</v>
      </c>
      <c r="EH247" s="9" t="n">
        <v>2</v>
      </c>
      <c r="EI247" s="9" t="n">
        <v>6</v>
      </c>
      <c r="EJ247" s="9" t="n">
        <v>2</v>
      </c>
      <c r="EK247" s="19" t="n">
        <v>4</v>
      </c>
      <c r="EL247" s="9" t="n">
        <v>0</v>
      </c>
      <c r="EM247" s="9" t="n">
        <f aca="false">(EI247+EJ247+EK247+EL247)/4</f>
        <v>3</v>
      </c>
      <c r="EN247" s="9" t="n">
        <f aca="false">(EI247/DR247)</f>
        <v>0.1875</v>
      </c>
      <c r="EO247" s="9" t="n">
        <f aca="false">(EJ247/DS247)</f>
        <v>0.0869565217391304</v>
      </c>
      <c r="EP247" s="9" t="n">
        <f aca="false">(EK247/DT247)</f>
        <v>0.235294117647059</v>
      </c>
      <c r="EQ247" s="9" t="n">
        <f aca="false">(EL247/DU247)</f>
        <v>0</v>
      </c>
      <c r="ER247" s="9" t="n">
        <f aca="false">EM247/DV247</f>
        <v>0.151898734177215</v>
      </c>
      <c r="ES247" s="9" t="n">
        <f aca="false">(100*ER247)</f>
        <v>15.1898734177215</v>
      </c>
      <c r="ET247" s="9" t="n">
        <v>2</v>
      </c>
      <c r="EU247" s="18" t="n">
        <v>0</v>
      </c>
      <c r="EV247" s="9" t="n">
        <v>0</v>
      </c>
      <c r="EW247" s="9" t="n">
        <v>0</v>
      </c>
      <c r="EX247" s="9" t="n">
        <v>0</v>
      </c>
      <c r="EY247" s="11" t="n">
        <f aca="false">(EU247+EV247+EW247+EX247)/4</f>
        <v>0</v>
      </c>
      <c r="EZ247" s="11" t="n">
        <f aca="false">(EU247/DR247)</f>
        <v>0</v>
      </c>
      <c r="FA247" s="11" t="n">
        <f aca="false">(EV247/DS247)</f>
        <v>0</v>
      </c>
      <c r="FB247" s="11" t="n">
        <f aca="false">(EW247/DT247)</f>
        <v>0</v>
      </c>
      <c r="FC247" s="11" t="n">
        <f aca="false">(EX247/DU247)</f>
        <v>0</v>
      </c>
      <c r="FD247" s="11" t="n">
        <f aca="false">(EY247/DV247)</f>
        <v>0</v>
      </c>
      <c r="FE247" s="11" t="n">
        <f aca="false">(100*FD247)</f>
        <v>0</v>
      </c>
      <c r="FF247" s="9" t="n">
        <v>0</v>
      </c>
      <c r="FG247" s="9" t="n">
        <v>5</v>
      </c>
      <c r="FH247" s="9" t="n">
        <v>9</v>
      </c>
      <c r="FI247" s="9" t="n">
        <v>5</v>
      </c>
      <c r="FJ247" s="9" t="n">
        <v>2</v>
      </c>
      <c r="FK247" s="11" t="n">
        <f aca="false">(FG247+FH247+FI247+FJ247)/4</f>
        <v>5.25</v>
      </c>
      <c r="FL247" s="11" t="n">
        <f aca="false">(FG247/DR247)</f>
        <v>0.15625</v>
      </c>
      <c r="FM247" s="11" t="n">
        <f aca="false">(FH247/DS247)</f>
        <v>0.391304347826087</v>
      </c>
      <c r="FN247" s="11" t="n">
        <f aca="false">(FI247/DT247)</f>
        <v>0.294117647058824</v>
      </c>
      <c r="FO247" s="11" t="n">
        <f aca="false">(FJ247/DU247)</f>
        <v>0.285714285714286</v>
      </c>
      <c r="FP247" s="11" t="n">
        <f aca="false">(FK247/DV247)</f>
        <v>0.265822784810127</v>
      </c>
      <c r="FQ247" s="11" t="n">
        <f aca="false">(100*FP247)</f>
        <v>26.5822784810127</v>
      </c>
      <c r="FR247" s="9" t="n">
        <v>2</v>
      </c>
      <c r="FS247" s="9" t="n">
        <v>51</v>
      </c>
      <c r="FT247" s="9" t="n">
        <v>55.4</v>
      </c>
      <c r="FU247" s="9" t="n">
        <v>55.5</v>
      </c>
      <c r="FV247" s="9" t="n">
        <v>50.6</v>
      </c>
      <c r="FW247" s="11" t="n">
        <f aca="false">(FS247+FT247+FU247+FV247)/4</f>
        <v>53.125</v>
      </c>
      <c r="FX247" s="9" t="n">
        <v>1</v>
      </c>
      <c r="FY247" s="9" t="n">
        <v>0</v>
      </c>
      <c r="FZ247" s="9" t="n">
        <v>0</v>
      </c>
      <c r="GA247" s="9" t="n">
        <v>0</v>
      </c>
      <c r="GB247" s="11" t="n">
        <f aca="false">(FX247+FY247+FZ247+GA247)/4</f>
        <v>0.25</v>
      </c>
      <c r="GC247" s="9" t="n">
        <v>0</v>
      </c>
      <c r="GD247" s="9" t="n">
        <v>1</v>
      </c>
      <c r="GE247" s="9" t="n">
        <v>1</v>
      </c>
      <c r="GF247" s="9" t="n">
        <v>1</v>
      </c>
      <c r="GG247" s="11" t="n">
        <f aca="false">(GC247+GD247+GE247+GF247)/4</f>
        <v>0.75</v>
      </c>
      <c r="GH247" s="9" t="n">
        <v>1</v>
      </c>
      <c r="GI247" s="9" t="n">
        <v>1</v>
      </c>
      <c r="GJ247" s="9" t="n">
        <v>1</v>
      </c>
      <c r="GK247" s="9" t="n">
        <v>1</v>
      </c>
      <c r="GL247" s="11" t="n">
        <f aca="false">(GH247+GI247+GJ247+GK247)/4</f>
        <v>1</v>
      </c>
      <c r="GM247" s="9" t="n">
        <v>77</v>
      </c>
      <c r="GN247" s="9" t="n">
        <v>103</v>
      </c>
      <c r="GO247" s="9" t="n">
        <v>65</v>
      </c>
      <c r="GP247" s="9" t="n">
        <v>84</v>
      </c>
      <c r="GQ247" s="11" t="n">
        <f aca="false">(GM247+GN247+GO247+GP247)/4</f>
        <v>82.25</v>
      </c>
      <c r="GR247" s="9" t="n">
        <v>6</v>
      </c>
      <c r="GS247" s="9" t="n">
        <v>17</v>
      </c>
      <c r="GT247" s="9" t="n">
        <v>21</v>
      </c>
      <c r="GU247" s="9" t="n">
        <v>35</v>
      </c>
      <c r="GV247" s="11" t="n">
        <f aca="false">(GR247+GS247+GT247+GU247)/4</f>
        <v>19.75</v>
      </c>
      <c r="GW247" s="9" t="n">
        <v>1</v>
      </c>
      <c r="GX247" s="9" t="n">
        <v>0</v>
      </c>
      <c r="GY247" s="9" t="n">
        <v>0</v>
      </c>
      <c r="GZ247" s="9" t="n">
        <v>0</v>
      </c>
      <c r="HA247" s="11" t="n">
        <f aca="false">(GW247+GX247+GY247+GZ247)/4</f>
        <v>0.25</v>
      </c>
      <c r="HB247" s="9"/>
      <c r="HC247" s="9" t="n">
        <f aca="false">(GX247/GS247)</f>
        <v>0</v>
      </c>
      <c r="HD247" s="9" t="n">
        <f aca="false">(GY247/GT247)</f>
        <v>0</v>
      </c>
      <c r="HE247" s="9" t="n">
        <f aca="false">(GZ247/GU247)/4</f>
        <v>0</v>
      </c>
      <c r="HF247" s="9" t="n">
        <f aca="false">(HB247+HC247+HD247+HE247)/4</f>
        <v>0</v>
      </c>
      <c r="HG247" s="9" t="n">
        <f aca="false">(100*HF247)</f>
        <v>0</v>
      </c>
      <c r="HH247" s="18" t="n">
        <v>0</v>
      </c>
      <c r="HI247" s="9" t="n">
        <v>0</v>
      </c>
      <c r="HJ247" s="9" t="n">
        <v>4</v>
      </c>
      <c r="HK247" s="9" t="n">
        <v>3</v>
      </c>
      <c r="HL247" s="19" t="n">
        <v>2</v>
      </c>
      <c r="HM247" s="9" t="n">
        <f aca="false">(HI247+HJ247+HK247+HL247)/4</f>
        <v>2.25</v>
      </c>
      <c r="HN247" s="9" t="n">
        <f aca="false">(HI247/GR247)</f>
        <v>0</v>
      </c>
      <c r="HO247" s="9" t="n">
        <f aca="false">(HJ247/GS247)</f>
        <v>0.235294117647059</v>
      </c>
      <c r="HP247" s="9" t="n">
        <f aca="false">(HK247/GT247)</f>
        <v>0.142857142857143</v>
      </c>
      <c r="HQ247" s="9" t="n">
        <f aca="false">(HL247/GU247)</f>
        <v>0.0571428571428571</v>
      </c>
      <c r="HR247" s="9" t="n">
        <f aca="false">(HM247/GV247)</f>
        <v>0.113924050632911</v>
      </c>
      <c r="HS247" s="9" t="n">
        <f aca="false">(100*HR247)</f>
        <v>11.3924050632911</v>
      </c>
      <c r="HT247" s="18" t="n">
        <v>2</v>
      </c>
      <c r="HU247" s="9" t="n">
        <v>0</v>
      </c>
      <c r="HV247" s="9" t="n">
        <v>0</v>
      </c>
      <c r="HW247" s="9" t="n">
        <v>0</v>
      </c>
      <c r="HX247" s="19" t="n">
        <v>0</v>
      </c>
      <c r="HY247" s="9" t="n">
        <f aca="false">(HU247+HV247+HW247+HX247)/4</f>
        <v>0</v>
      </c>
      <c r="HZ247" s="9" t="n">
        <f aca="false">(HU247/GR247)</f>
        <v>0</v>
      </c>
      <c r="IA247" s="9" t="n">
        <f aca="false">HV247/GS247</f>
        <v>0</v>
      </c>
      <c r="IB247" s="9" t="n">
        <f aca="false">(HW247/GT247)</f>
        <v>0</v>
      </c>
      <c r="IC247" s="9" t="n">
        <f aca="false">(HX247/GU247)</f>
        <v>0</v>
      </c>
      <c r="ID247" s="9" t="n">
        <f aca="false">(HY247/GV247)</f>
        <v>0</v>
      </c>
      <c r="IE247" s="9" t="n">
        <f aca="false">(100*ID247)</f>
        <v>0</v>
      </c>
      <c r="IF247" s="18" t="n">
        <v>0</v>
      </c>
      <c r="IG247" s="9" t="n">
        <v>4</v>
      </c>
      <c r="IH247" s="9" t="n">
        <v>5</v>
      </c>
      <c r="II247" s="19" t="n">
        <v>2</v>
      </c>
      <c r="IJ247" s="9" t="n">
        <v>7</v>
      </c>
      <c r="IK247" s="9" t="n">
        <f aca="false">(IG247+IH247+II247+IJ247)/4</f>
        <v>4.5</v>
      </c>
      <c r="IL247" s="9" t="n">
        <f aca="false">(IG247/GM247)</f>
        <v>0.051948051948052</v>
      </c>
      <c r="IM247" s="9" t="n">
        <f aca="false">(IH247/GN247)</f>
        <v>0.0485436893203884</v>
      </c>
      <c r="IN247" s="9" t="n">
        <f aca="false">(II247/GO247)</f>
        <v>0.0307692307692308</v>
      </c>
      <c r="IO247" s="9" t="n">
        <f aca="false">(IJ247/GP247)</f>
        <v>0.0833333333333333</v>
      </c>
      <c r="IP247" s="9" t="n">
        <f aca="false">(IK247/GQ247)</f>
        <v>0.0547112462006079</v>
      </c>
      <c r="IQ247" s="9" t="n">
        <f aca="false">(100*IP247)</f>
        <v>5.47112462006079</v>
      </c>
      <c r="IR247" s="18" t="n">
        <v>1</v>
      </c>
      <c r="IS247" s="9" t="n">
        <v>60.1</v>
      </c>
      <c r="IT247" s="9" t="n">
        <v>43.8</v>
      </c>
      <c r="IU247" s="19" t="n">
        <v>64.5</v>
      </c>
      <c r="IV247" s="9" t="n">
        <v>51.2</v>
      </c>
      <c r="IW247" s="9" t="n">
        <f aca="false">(IS247+IT247+IU247+IV247)/4</f>
        <v>54.9</v>
      </c>
      <c r="IX247" s="16" t="n">
        <v>45211</v>
      </c>
      <c r="IY247" s="10" t="s">
        <v>268</v>
      </c>
    </row>
    <row r="248" customFormat="false" ht="15.75" hidden="false" customHeight="true" outlineLevel="0" collapsed="false">
      <c r="A248" s="9" t="s">
        <v>370</v>
      </c>
      <c r="B248" s="10" t="s">
        <v>817</v>
      </c>
      <c r="C248" s="10" t="s">
        <v>727</v>
      </c>
      <c r="D248" s="9" t="n">
        <v>2</v>
      </c>
      <c r="E248" s="9" t="n">
        <v>83</v>
      </c>
      <c r="F248" s="10" t="s">
        <v>818</v>
      </c>
      <c r="G248" s="11" t="s">
        <v>263</v>
      </c>
      <c r="H248" s="9" t="n">
        <v>21</v>
      </c>
      <c r="I248" s="9" t="n">
        <v>5</v>
      </c>
      <c r="J248" s="12" t="s">
        <v>264</v>
      </c>
      <c r="K248" s="13" t="s">
        <v>819</v>
      </c>
      <c r="L248" s="13" t="s">
        <v>785</v>
      </c>
      <c r="M248" s="14" t="n">
        <v>1306</v>
      </c>
      <c r="N248" s="15" t="n">
        <v>45135</v>
      </c>
      <c r="O248" s="10" t="s">
        <v>267</v>
      </c>
      <c r="P248" s="9"/>
      <c r="Q248" s="9" t="n">
        <v>17.9</v>
      </c>
      <c r="R248" s="9" t="n">
        <v>10</v>
      </c>
      <c r="S248" s="9" t="n">
        <v>-15</v>
      </c>
      <c r="T248" s="9" t="n">
        <v>80</v>
      </c>
      <c r="U248" s="9"/>
      <c r="V248" s="9" t="n">
        <f aca="false">(18.93/100)</f>
        <v>0.1893</v>
      </c>
      <c r="W248" s="9" t="s">
        <v>820</v>
      </c>
      <c r="X248" s="9" t="n">
        <v>0</v>
      </c>
      <c r="Y248" s="9" t="n">
        <v>0</v>
      </c>
      <c r="Z248" s="9" t="n">
        <v>0</v>
      </c>
      <c r="AA248" s="9" t="n">
        <v>0</v>
      </c>
      <c r="AB248" s="11" t="n">
        <f aca="false">(X248+Y248+Z248+AA248)/4</f>
        <v>0</v>
      </c>
      <c r="AC248" s="9" t="n">
        <v>1</v>
      </c>
      <c r="AD248" s="9" t="n">
        <v>1</v>
      </c>
      <c r="AE248" s="9" t="n">
        <v>1</v>
      </c>
      <c r="AF248" s="9" t="n">
        <v>1</v>
      </c>
      <c r="AG248" s="11" t="n">
        <f aca="false">(AC248+AD248+AE248+AF248)/4</f>
        <v>1</v>
      </c>
      <c r="AH248" s="9" t="n">
        <v>1</v>
      </c>
      <c r="AI248" s="9" t="n">
        <v>1</v>
      </c>
      <c r="AJ248" s="9" t="n">
        <v>1</v>
      </c>
      <c r="AK248" s="9" t="n">
        <v>1</v>
      </c>
      <c r="AL248" s="11" t="n">
        <f aca="false">(AH248+AI248+AJ248+AK248)/4</f>
        <v>1</v>
      </c>
      <c r="AM248" s="9" t="n">
        <v>29</v>
      </c>
      <c r="AN248" s="9" t="n">
        <v>19</v>
      </c>
      <c r="AO248" s="9" t="n">
        <v>59</v>
      </c>
      <c r="AP248" s="9" t="n">
        <v>16</v>
      </c>
      <c r="AQ248" s="11" t="n">
        <f aca="false">(AM248+AN248+AO248+AP248)/4</f>
        <v>30.75</v>
      </c>
      <c r="AR248" s="9" t="n">
        <v>5</v>
      </c>
      <c r="AS248" s="9" t="n">
        <v>8</v>
      </c>
      <c r="AT248" s="9" t="n">
        <v>5</v>
      </c>
      <c r="AU248" s="9" t="n">
        <v>7</v>
      </c>
      <c r="AV248" s="11" t="n">
        <f aca="false">(AR248+AS248+AT248+AU248)/4</f>
        <v>6.25</v>
      </c>
      <c r="AW248" s="9" t="n">
        <v>0</v>
      </c>
      <c r="AX248" s="9" t="n">
        <v>0</v>
      </c>
      <c r="AY248" s="9" t="n">
        <v>0</v>
      </c>
      <c r="AZ248" s="9" t="n">
        <v>0</v>
      </c>
      <c r="BA248" s="11" t="n">
        <f aca="false">(AW248+AX248+AY248+AZ248)/4</f>
        <v>0</v>
      </c>
      <c r="BB248" s="11" t="n">
        <f aca="false">(AW248/AR248)</f>
        <v>0</v>
      </c>
      <c r="BC248" s="11" t="n">
        <f aca="false">(AX248/AS248)</f>
        <v>0</v>
      </c>
      <c r="BD248" s="11" t="n">
        <f aca="false">(AY248/AT248)</f>
        <v>0</v>
      </c>
      <c r="BE248" s="11" t="n">
        <f aca="false">(AZ248/AU248)</f>
        <v>0</v>
      </c>
      <c r="BF248" s="11" t="n">
        <f aca="false">(BA248/AV248)</f>
        <v>0</v>
      </c>
      <c r="BG248" s="11" t="n">
        <f aca="false">(BF248*100)</f>
        <v>0</v>
      </c>
      <c r="BH248" s="9" t="n">
        <v>0</v>
      </c>
      <c r="BI248" s="9" t="n">
        <v>1</v>
      </c>
      <c r="BJ248" s="9" t="n">
        <v>2</v>
      </c>
      <c r="BK248" s="9" t="n">
        <v>3</v>
      </c>
      <c r="BL248" s="9" t="n">
        <v>2</v>
      </c>
      <c r="BM248" s="11" t="n">
        <f aca="false">(BI248+BJ248+BK248+BL248)/4</f>
        <v>2</v>
      </c>
      <c r="BN248" s="11" t="n">
        <f aca="false">(BI248/AR248)</f>
        <v>0.2</v>
      </c>
      <c r="BO248" s="11" t="n">
        <f aca="false">(BJ248/AS248)</f>
        <v>0.25</v>
      </c>
      <c r="BP248" s="11" t="n">
        <f aca="false">(BK248/AT248)</f>
        <v>0.6</v>
      </c>
      <c r="BQ248" s="11" t="n">
        <f aca="false">(BL248/AU248)</f>
        <v>0.285714285714286</v>
      </c>
      <c r="BR248" s="11" t="n">
        <f aca="false">(BM248/AV248)</f>
        <v>0.32</v>
      </c>
      <c r="BS248" s="11" t="n">
        <f aca="false">(100*BR248)</f>
        <v>32</v>
      </c>
      <c r="BT248" s="9" t="n">
        <v>3</v>
      </c>
      <c r="BU248" s="9" t="n">
        <v>1</v>
      </c>
      <c r="BV248" s="9" t="n">
        <v>7</v>
      </c>
      <c r="BW248" s="9" t="n">
        <v>2</v>
      </c>
      <c r="BX248" s="9" t="n">
        <v>0</v>
      </c>
      <c r="BY248" s="11" t="n">
        <f aca="false">(BU248+BV248+BW248+BX248)/4</f>
        <v>2.5</v>
      </c>
      <c r="BZ248" s="11" t="n">
        <f aca="false">(BU248/AR248)</f>
        <v>0.2</v>
      </c>
      <c r="CA248" s="11" t="n">
        <f aca="false">(BV248/AS248)</f>
        <v>0.875</v>
      </c>
      <c r="CB248" s="11" t="n">
        <f aca="false">(BW248/AT248)</f>
        <v>0.4</v>
      </c>
      <c r="CC248" s="11" t="n">
        <f aca="false">(BX248/AU248)</f>
        <v>0</v>
      </c>
      <c r="CD248" s="11" t="n">
        <f aca="false">(BY248/AV248)</f>
        <v>0.4</v>
      </c>
      <c r="CE248" s="11" t="n">
        <f aca="false">(100*CD248)</f>
        <v>40</v>
      </c>
      <c r="CF248" s="9" t="n">
        <v>3</v>
      </c>
      <c r="CG248" s="9" t="n">
        <v>2</v>
      </c>
      <c r="CH248" s="9" t="n">
        <v>3</v>
      </c>
      <c r="CI248" s="9" t="n">
        <v>7</v>
      </c>
      <c r="CJ248" s="9" t="n">
        <v>1</v>
      </c>
      <c r="CK248" s="9"/>
      <c r="CL248" s="9"/>
      <c r="CM248" s="9"/>
      <c r="CN248" s="19"/>
      <c r="CO248" s="9" t="n">
        <f aca="false">(CJ248/AP248)</f>
        <v>0.0625</v>
      </c>
      <c r="CP248" s="9" t="n">
        <f aca="false">(CK248/AQ248)</f>
        <v>0</v>
      </c>
      <c r="CQ248" s="9" t="n">
        <f aca="false">(100*CP248)</f>
        <v>0</v>
      </c>
      <c r="CR248" s="18" t="n">
        <v>0</v>
      </c>
      <c r="CS248" s="9" t="n">
        <v>70.4</v>
      </c>
      <c r="CT248" s="9" t="n">
        <v>56.1</v>
      </c>
      <c r="CU248" s="9" t="n">
        <v>58.8</v>
      </c>
      <c r="CV248" s="9" t="n">
        <v>57.9</v>
      </c>
      <c r="CW248" s="11" t="n">
        <f aca="false">(CS248+CT248+CU248+CV248)/4</f>
        <v>60.8</v>
      </c>
      <c r="CX248" s="9" t="n">
        <v>0</v>
      </c>
      <c r="CY248" s="9" t="n">
        <v>0</v>
      </c>
      <c r="CZ248" s="9" t="n">
        <v>0</v>
      </c>
      <c r="DA248" s="9" t="n">
        <v>0</v>
      </c>
      <c r="DB248" s="11" t="n">
        <f aca="false">(CX248+CY248+CZ248+DA248)/4</f>
        <v>0</v>
      </c>
      <c r="DC248" s="9" t="n">
        <v>1</v>
      </c>
      <c r="DD248" s="9" t="n">
        <v>1</v>
      </c>
      <c r="DE248" s="9" t="n">
        <v>0</v>
      </c>
      <c r="DF248" s="9"/>
      <c r="DG248" s="11" t="n">
        <f aca="false">(DC248+DD248+DE248+DF248)/4</f>
        <v>0.5</v>
      </c>
      <c r="DH248" s="9" t="n">
        <v>1</v>
      </c>
      <c r="DI248" s="9" t="n">
        <v>1</v>
      </c>
      <c r="DJ248" s="9" t="n">
        <v>1</v>
      </c>
      <c r="DK248" s="9" t="n">
        <v>1</v>
      </c>
      <c r="DL248" s="11" t="n">
        <f aca="false">(DH248+DI248+DJ248+DK248)/4</f>
        <v>1</v>
      </c>
      <c r="DM248" s="9" t="n">
        <v>42</v>
      </c>
      <c r="DN248" s="9" t="n">
        <v>52</v>
      </c>
      <c r="DO248" s="9" t="n">
        <v>29</v>
      </c>
      <c r="DP248" s="9" t="n">
        <v>39</v>
      </c>
      <c r="DQ248" s="11" t="n">
        <f aca="false">(DM248+DN248+DO248+DP248)/4</f>
        <v>40.5</v>
      </c>
      <c r="DR248" s="9" t="n">
        <v>9</v>
      </c>
      <c r="DS248" s="9" t="n">
        <v>7</v>
      </c>
      <c r="DT248" s="9" t="n">
        <v>8</v>
      </c>
      <c r="DU248" s="9" t="n">
        <v>4</v>
      </c>
      <c r="DV248" s="11" t="n">
        <f aca="false">(DR248+DS248+DT248+DU248)/4</f>
        <v>7</v>
      </c>
      <c r="DW248" s="9" t="n">
        <v>0</v>
      </c>
      <c r="DX248" s="9" t="n">
        <v>0</v>
      </c>
      <c r="DY248" s="9" t="n">
        <v>0</v>
      </c>
      <c r="DZ248" s="9" t="n">
        <v>0</v>
      </c>
      <c r="EA248" s="11" t="n">
        <f aca="false">(DW248+DX248+DY248+DZ248)/4</f>
        <v>0</v>
      </c>
      <c r="EB248" s="11" t="n">
        <f aca="false">(DW248/DR248)</f>
        <v>0</v>
      </c>
      <c r="EC248" s="11" t="n">
        <f aca="false">(DX248/DS248)</f>
        <v>0</v>
      </c>
      <c r="ED248" s="11" t="n">
        <f aca="false">(DY248/DT248)</f>
        <v>0</v>
      </c>
      <c r="EE248" s="11" t="n">
        <f aca="false">(DZ248/DU248)</f>
        <v>0</v>
      </c>
      <c r="EF248" s="11" t="n">
        <f aca="false">(EA248/DV248)</f>
        <v>0</v>
      </c>
      <c r="EG248" s="11" t="n">
        <f aca="false">(100*EF248)</f>
        <v>0</v>
      </c>
      <c r="EH248" s="9" t="n">
        <v>0</v>
      </c>
      <c r="EI248" s="9" t="n">
        <v>2</v>
      </c>
      <c r="EJ248" s="9" t="n">
        <v>3</v>
      </c>
      <c r="EK248" s="19" t="n">
        <v>5</v>
      </c>
      <c r="EL248" s="9" t="n">
        <v>2</v>
      </c>
      <c r="EM248" s="9" t="n">
        <f aca="false">(EI248+EJ248+EK248+EL248)/4</f>
        <v>3</v>
      </c>
      <c r="EN248" s="9" t="n">
        <f aca="false">(EI248/DR248)</f>
        <v>0.222222222222222</v>
      </c>
      <c r="EO248" s="9" t="n">
        <f aca="false">(EJ248/DS248)</f>
        <v>0.428571428571429</v>
      </c>
      <c r="EP248" s="9" t="n">
        <f aca="false">(EK248/DT248)</f>
        <v>0.625</v>
      </c>
      <c r="EQ248" s="9" t="n">
        <f aca="false">(EL248/DU248)</f>
        <v>0.5</v>
      </c>
      <c r="ER248" s="9" t="n">
        <f aca="false">EM248/DV248</f>
        <v>0.428571428571429</v>
      </c>
      <c r="ES248" s="9" t="n">
        <f aca="false">(100*ER248)</f>
        <v>42.8571428571429</v>
      </c>
      <c r="ET248" s="9" t="n">
        <v>3</v>
      </c>
      <c r="EU248" s="18" t="n">
        <v>5</v>
      </c>
      <c r="EV248" s="9" t="n">
        <v>3</v>
      </c>
      <c r="EW248" s="9" t="n">
        <v>0</v>
      </c>
      <c r="EX248" s="9" t="n">
        <v>1</v>
      </c>
      <c r="EY248" s="11" t="n">
        <f aca="false">(EU248+EV248+EW248+EX248)/4</f>
        <v>2.25</v>
      </c>
      <c r="EZ248" s="11" t="n">
        <f aca="false">(EU248/DR248)</f>
        <v>0.555555555555556</v>
      </c>
      <c r="FA248" s="11" t="n">
        <f aca="false">(EV248/DS248)</f>
        <v>0.428571428571429</v>
      </c>
      <c r="FB248" s="11" t="n">
        <f aca="false">(EW248/DT248)</f>
        <v>0</v>
      </c>
      <c r="FC248" s="11" t="n">
        <f aca="false">(EX248/DU248)</f>
        <v>0.25</v>
      </c>
      <c r="FD248" s="11" t="n">
        <f aca="false">(EY248/DV248)</f>
        <v>0.321428571428571</v>
      </c>
      <c r="FE248" s="11" t="n">
        <f aca="false">(100*FD248)</f>
        <v>32.1428571428571</v>
      </c>
      <c r="FF248" s="9" t="n">
        <v>3</v>
      </c>
      <c r="FG248" s="9" t="n">
        <v>2</v>
      </c>
      <c r="FH248" s="9" t="n">
        <v>3</v>
      </c>
      <c r="FI248" s="9" t="n">
        <v>7</v>
      </c>
      <c r="FJ248" s="9" t="n">
        <v>1</v>
      </c>
      <c r="FK248" s="11" t="n">
        <f aca="false">(FG248+FH248+FI248+FJ248)/4</f>
        <v>3.25</v>
      </c>
      <c r="FL248" s="11" t="n">
        <f aca="false">(FG248/DR248)</f>
        <v>0.222222222222222</v>
      </c>
      <c r="FM248" s="11" t="n">
        <f aca="false">(FH248/DS248)</f>
        <v>0.428571428571429</v>
      </c>
      <c r="FN248" s="11" t="n">
        <f aca="false">(FI248/DT248)</f>
        <v>0.875</v>
      </c>
      <c r="FO248" s="11" t="n">
        <f aca="false">(FJ248/DU248)</f>
        <v>0.25</v>
      </c>
      <c r="FP248" s="11" t="n">
        <f aca="false">(FK248/DV248)</f>
        <v>0.464285714285714</v>
      </c>
      <c r="FQ248" s="11" t="n">
        <f aca="false">(100*FP248)</f>
        <v>46.4285714285714</v>
      </c>
      <c r="FR248" s="9" t="n">
        <v>3</v>
      </c>
      <c r="FS248" s="9" t="n">
        <v>57.2</v>
      </c>
      <c r="FT248" s="9" t="n">
        <v>48.1</v>
      </c>
      <c r="FU248" s="9" t="n">
        <v>57</v>
      </c>
      <c r="FV248" s="9" t="n">
        <v>57</v>
      </c>
      <c r="FW248" s="11" t="n">
        <f aca="false">(FS248+FT248+FU248+FV248)/4</f>
        <v>54.825</v>
      </c>
      <c r="FX248" s="9" t="n">
        <v>0</v>
      </c>
      <c r="FY248" s="9" t="n">
        <v>0</v>
      </c>
      <c r="FZ248" s="9" t="n">
        <v>0</v>
      </c>
      <c r="GA248" s="9" t="n">
        <v>0</v>
      </c>
      <c r="GB248" s="11" t="n">
        <f aca="false">(FX248+FY248+FZ248+GA248)/4</f>
        <v>0</v>
      </c>
      <c r="GC248" s="9" t="n">
        <v>0</v>
      </c>
      <c r="GD248" s="9" t="n">
        <v>0</v>
      </c>
      <c r="GE248" s="9" t="n">
        <v>0</v>
      </c>
      <c r="GF248" s="9" t="n">
        <v>0</v>
      </c>
      <c r="GG248" s="11" t="n">
        <f aca="false">(GC248+GD248+GE248+GF248)/4</f>
        <v>0</v>
      </c>
      <c r="GH248" s="9" t="n">
        <v>1</v>
      </c>
      <c r="GI248" s="9" t="n">
        <v>1</v>
      </c>
      <c r="GJ248" s="9" t="n">
        <v>1</v>
      </c>
      <c r="GK248" s="9" t="n">
        <v>1</v>
      </c>
      <c r="GL248" s="11" t="n">
        <f aca="false">(GH248+GI248+GJ248+GK248)/4</f>
        <v>1</v>
      </c>
      <c r="GM248" s="9" t="n">
        <v>75</v>
      </c>
      <c r="GN248" s="9" t="n">
        <v>80</v>
      </c>
      <c r="GO248" s="9" t="n">
        <v>88</v>
      </c>
      <c r="GP248" s="9" t="n">
        <v>74</v>
      </c>
      <c r="GQ248" s="11" t="n">
        <f aca="false">(GM248+GN248+GO248+GP248)/4</f>
        <v>79.25</v>
      </c>
      <c r="GR248" s="9" t="n">
        <v>7</v>
      </c>
      <c r="GS248" s="9" t="n">
        <v>12</v>
      </c>
      <c r="GT248" s="9" t="n">
        <v>7</v>
      </c>
      <c r="GU248" s="9" t="n">
        <v>10</v>
      </c>
      <c r="GV248" s="11" t="n">
        <f aca="false">(GR248+GS248+GT248+GU248)/4</f>
        <v>9</v>
      </c>
      <c r="GW248" s="9" t="n">
        <v>0</v>
      </c>
      <c r="GX248" s="9" t="n">
        <v>0</v>
      </c>
      <c r="GY248" s="9" t="n">
        <v>0</v>
      </c>
      <c r="GZ248" s="9" t="n">
        <v>0</v>
      </c>
      <c r="HA248" s="11" t="n">
        <f aca="false">(GW248+GX248+GY248+GZ248)/4</f>
        <v>0</v>
      </c>
      <c r="HB248" s="9"/>
      <c r="HC248" s="9" t="n">
        <f aca="false">(GX248/GS248)</f>
        <v>0</v>
      </c>
      <c r="HD248" s="9" t="n">
        <f aca="false">(GY248/GT248)</f>
        <v>0</v>
      </c>
      <c r="HE248" s="9" t="n">
        <f aca="false">(GZ248/GU248)/4</f>
        <v>0</v>
      </c>
      <c r="HF248" s="9" t="n">
        <f aca="false">(HB248+HC248+HD248+HE248)/4</f>
        <v>0</v>
      </c>
      <c r="HG248" s="9" t="n">
        <f aca="false">(100*HF248)</f>
        <v>0</v>
      </c>
      <c r="HH248" s="18" t="n">
        <v>0</v>
      </c>
      <c r="HI248" s="9" t="n">
        <v>4</v>
      </c>
      <c r="HJ248" s="9" t="n">
        <v>5</v>
      </c>
      <c r="HK248" s="9" t="n">
        <v>6</v>
      </c>
      <c r="HL248" s="19" t="n">
        <v>3</v>
      </c>
      <c r="HM248" s="9" t="n">
        <f aca="false">(HI248+HJ248+HK248+HL248)/4</f>
        <v>4.5</v>
      </c>
      <c r="HN248" s="9" t="n">
        <f aca="false">(HI248/GR248)</f>
        <v>0.571428571428571</v>
      </c>
      <c r="HO248" s="9" t="n">
        <f aca="false">(HJ248/GS248)</f>
        <v>0.416666666666667</v>
      </c>
      <c r="HP248" s="9" t="n">
        <f aca="false">(HK248/GT248)</f>
        <v>0.857142857142857</v>
      </c>
      <c r="HQ248" s="9" t="n">
        <f aca="false">(HL248/GU248)</f>
        <v>0.3</v>
      </c>
      <c r="HR248" s="9" t="n">
        <f aca="false">(HM248/GV248)</f>
        <v>0.5</v>
      </c>
      <c r="HS248" s="9" t="n">
        <f aca="false">(100*HR248)</f>
        <v>50</v>
      </c>
      <c r="HT248" s="18" t="n">
        <v>3</v>
      </c>
      <c r="HU248" s="9" t="n">
        <v>1</v>
      </c>
      <c r="HV248" s="9" t="n">
        <v>2</v>
      </c>
      <c r="HW248" s="9" t="n">
        <v>1</v>
      </c>
      <c r="HX248" s="19" t="n">
        <v>6</v>
      </c>
      <c r="HY248" s="9" t="n">
        <f aca="false">(HU248+HV248+HW248+HX248)/4</f>
        <v>2.5</v>
      </c>
      <c r="HZ248" s="9" t="n">
        <f aca="false">(HU248/GR248)</f>
        <v>0.142857142857143</v>
      </c>
      <c r="IA248" s="9" t="n">
        <f aca="false">HV248/GS248</f>
        <v>0.166666666666667</v>
      </c>
      <c r="IB248" s="9" t="n">
        <f aca="false">(HW248/GT248)</f>
        <v>0.142857142857143</v>
      </c>
      <c r="IC248" s="9" t="n">
        <f aca="false">(HX248/GU248)</f>
        <v>0.6</v>
      </c>
      <c r="ID248" s="9" t="n">
        <f aca="false">(HY248/GV248)</f>
        <v>0.277777777777778</v>
      </c>
      <c r="IE248" s="9" t="n">
        <f aca="false">(100*ID248)</f>
        <v>27.7777777777778</v>
      </c>
      <c r="IF248" s="18" t="n">
        <v>2</v>
      </c>
      <c r="IG248" s="9" t="n">
        <v>2</v>
      </c>
      <c r="IH248" s="9" t="n">
        <v>5</v>
      </c>
      <c r="II248" s="19" t="n">
        <v>8</v>
      </c>
      <c r="IJ248" s="9" t="n">
        <v>24</v>
      </c>
      <c r="IK248" s="9" t="n">
        <f aca="false">(IG248+IH248+II248+IJ248)/4</f>
        <v>9.75</v>
      </c>
      <c r="IL248" s="9" t="n">
        <f aca="false">(IG248/GM248)</f>
        <v>0.0266666666666667</v>
      </c>
      <c r="IM248" s="9" t="n">
        <f aca="false">(IH248/GN248)</f>
        <v>0.0625</v>
      </c>
      <c r="IN248" s="9" t="n">
        <f aca="false">(II248/GO248)</f>
        <v>0.0909090909090909</v>
      </c>
      <c r="IO248" s="9" t="n">
        <f aca="false">(IJ248/GP248)</f>
        <v>0.324324324324324</v>
      </c>
      <c r="IP248" s="9" t="n">
        <f aca="false">(IK248/GQ248)</f>
        <v>0.123028391167192</v>
      </c>
      <c r="IQ248" s="9" t="n">
        <f aca="false">(100*IP248)</f>
        <v>12.3028391167192</v>
      </c>
      <c r="IR248" s="18" t="n">
        <v>2</v>
      </c>
      <c r="IS248" s="9" t="n">
        <v>58.3</v>
      </c>
      <c r="IT248" s="9" t="n">
        <v>71.2</v>
      </c>
      <c r="IU248" s="19" t="n">
        <v>46.8</v>
      </c>
      <c r="IV248" s="9" t="n">
        <v>68.6</v>
      </c>
      <c r="IW248" s="9" t="n">
        <f aca="false">(IS248+IT248+IU248+IV248)/4</f>
        <v>61.225</v>
      </c>
      <c r="IX248" s="16" t="n">
        <v>45211</v>
      </c>
      <c r="IY248" s="10" t="s">
        <v>268</v>
      </c>
    </row>
    <row r="249" customFormat="false" ht="15.75" hidden="false" customHeight="true" outlineLevel="0" collapsed="false">
      <c r="A249" s="9" t="s">
        <v>370</v>
      </c>
      <c r="B249" s="10" t="s">
        <v>817</v>
      </c>
      <c r="C249" s="10" t="s">
        <v>727</v>
      </c>
      <c r="D249" s="9" t="n">
        <v>2</v>
      </c>
      <c r="E249" s="9" t="n">
        <v>83</v>
      </c>
      <c r="F249" s="10" t="s">
        <v>821</v>
      </c>
      <c r="G249" s="11" t="s">
        <v>263</v>
      </c>
      <c r="H249" s="9" t="n">
        <v>21</v>
      </c>
      <c r="I249" s="9" t="n">
        <v>10</v>
      </c>
      <c r="J249" s="12" t="s">
        <v>270</v>
      </c>
      <c r="K249" s="20"/>
      <c r="L249" s="20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 t="n">
        <v>0</v>
      </c>
      <c r="Y249" s="9" t="n">
        <v>0</v>
      </c>
      <c r="Z249" s="9" t="n">
        <v>0</v>
      </c>
      <c r="AA249" s="9" t="n">
        <v>0</v>
      </c>
      <c r="AB249" s="11" t="n">
        <f aca="false">(X249+Y249+Z249+AA249)/4</f>
        <v>0</v>
      </c>
      <c r="AC249" s="9" t="n">
        <v>1</v>
      </c>
      <c r="AD249" s="9" t="n">
        <v>1</v>
      </c>
      <c r="AE249" s="9" t="n">
        <v>1</v>
      </c>
      <c r="AF249" s="9" t="n">
        <v>1</v>
      </c>
      <c r="AG249" s="11" t="n">
        <f aca="false">(AC249+AD249+AE249+AF249)/4</f>
        <v>1</v>
      </c>
      <c r="AH249" s="9" t="n">
        <v>1</v>
      </c>
      <c r="AI249" s="9" t="n">
        <v>1</v>
      </c>
      <c r="AJ249" s="9" t="n">
        <v>1</v>
      </c>
      <c r="AK249" s="9" t="n">
        <v>1</v>
      </c>
      <c r="AL249" s="11" t="n">
        <f aca="false">(AH249+AI249+AJ249+AK249)/4</f>
        <v>1</v>
      </c>
      <c r="AM249" s="9" t="n">
        <v>12</v>
      </c>
      <c r="AN249" s="9" t="n">
        <v>60</v>
      </c>
      <c r="AO249" s="9" t="n">
        <v>20</v>
      </c>
      <c r="AP249" s="9" t="n">
        <v>18</v>
      </c>
      <c r="AQ249" s="11" t="n">
        <f aca="false">(AM249+AN249+AO249+AP249)/4</f>
        <v>27.5</v>
      </c>
      <c r="AR249" s="9" t="n">
        <v>18</v>
      </c>
      <c r="AS249" s="9" t="n">
        <v>15</v>
      </c>
      <c r="AT249" s="9" t="n">
        <v>16</v>
      </c>
      <c r="AU249" s="9" t="n">
        <v>17</v>
      </c>
      <c r="AV249" s="11" t="n">
        <f aca="false">(AR249+AS249+AT249+AU249)/4</f>
        <v>16.5</v>
      </c>
      <c r="AW249" s="9" t="n">
        <v>0</v>
      </c>
      <c r="AX249" s="9" t="n">
        <v>0</v>
      </c>
      <c r="AY249" s="9" t="n">
        <v>0</v>
      </c>
      <c r="AZ249" s="9" t="n">
        <v>0</v>
      </c>
      <c r="BA249" s="11" t="n">
        <f aca="false">(AW249+AX249+AY249+AZ249)/4</f>
        <v>0</v>
      </c>
      <c r="BB249" s="11" t="n">
        <f aca="false">(AW249/AR249)</f>
        <v>0</v>
      </c>
      <c r="BC249" s="11" t="n">
        <f aca="false">(AX249/AS249)</f>
        <v>0</v>
      </c>
      <c r="BD249" s="11" t="n">
        <f aca="false">(AY249/AT249)</f>
        <v>0</v>
      </c>
      <c r="BE249" s="11" t="n">
        <f aca="false">(AZ249/AU249)</f>
        <v>0</v>
      </c>
      <c r="BF249" s="11" t="n">
        <f aca="false">(BA249/AV249)</f>
        <v>0</v>
      </c>
      <c r="BG249" s="11" t="n">
        <f aca="false">(BF249*100)</f>
        <v>0</v>
      </c>
      <c r="BH249" s="9" t="n">
        <v>0</v>
      </c>
      <c r="BI249" s="9" t="n">
        <v>1</v>
      </c>
      <c r="BJ249" s="9" t="n">
        <v>2</v>
      </c>
      <c r="BK249" s="9" t="n">
        <v>6</v>
      </c>
      <c r="BL249" s="9" t="n">
        <v>9</v>
      </c>
      <c r="BM249" s="11" t="n">
        <f aca="false">(BI249+BJ249+BK249+BL249)/4</f>
        <v>4.5</v>
      </c>
      <c r="BN249" s="11" t="n">
        <f aca="false">(BI249/AR249)</f>
        <v>0.0555555555555556</v>
      </c>
      <c r="BO249" s="11" t="n">
        <f aca="false">(BJ249/AS249)</f>
        <v>0.133333333333333</v>
      </c>
      <c r="BP249" s="11" t="n">
        <f aca="false">(BK249/AT249)</f>
        <v>0.375</v>
      </c>
      <c r="BQ249" s="11" t="n">
        <f aca="false">(BL249/AU249)</f>
        <v>0.529411764705882</v>
      </c>
      <c r="BR249" s="11" t="n">
        <f aca="false">(BM249/AV249)</f>
        <v>0.272727272727273</v>
      </c>
      <c r="BS249" s="11" t="n">
        <f aca="false">(100*BR249)</f>
        <v>27.2727272727273</v>
      </c>
      <c r="BT249" s="9" t="n">
        <v>2</v>
      </c>
      <c r="BU249" s="9" t="n">
        <v>1</v>
      </c>
      <c r="BV249" s="9" t="n">
        <v>2</v>
      </c>
      <c r="BW249" s="9" t="n">
        <v>1</v>
      </c>
      <c r="BX249" s="9" t="n">
        <v>1</v>
      </c>
      <c r="BY249" s="11" t="n">
        <f aca="false">(BU249+BV249+BW249+BX249)/4</f>
        <v>1.25</v>
      </c>
      <c r="BZ249" s="11" t="n">
        <f aca="false">(BU249/AR249)</f>
        <v>0.0555555555555556</v>
      </c>
      <c r="CA249" s="11" t="n">
        <f aca="false">(BV249/AS249)</f>
        <v>0.133333333333333</v>
      </c>
      <c r="CB249" s="11" t="n">
        <f aca="false">(BW249/AT249)</f>
        <v>0.0625</v>
      </c>
      <c r="CC249" s="11" t="n">
        <f aca="false">(BX249/AU249)</f>
        <v>0.0588235294117647</v>
      </c>
      <c r="CD249" s="11" t="n">
        <f aca="false">(BY249/AV249)</f>
        <v>0.0757575757575758</v>
      </c>
      <c r="CE249" s="11" t="n">
        <f aca="false">(100*CD249)</f>
        <v>7.57575757575758</v>
      </c>
      <c r="CF249" s="9" t="n">
        <v>1</v>
      </c>
      <c r="CG249" s="9" t="n">
        <v>7</v>
      </c>
      <c r="CH249" s="9" t="n">
        <v>3</v>
      </c>
      <c r="CI249" s="9" t="n">
        <v>4</v>
      </c>
      <c r="CJ249" s="9" t="n">
        <v>3</v>
      </c>
      <c r="CK249" s="9"/>
      <c r="CL249" s="9"/>
      <c r="CM249" s="9"/>
      <c r="CN249" s="19"/>
      <c r="CO249" s="9" t="n">
        <f aca="false">(CJ249/AP249)</f>
        <v>0.166666666666667</v>
      </c>
      <c r="CP249" s="9" t="n">
        <f aca="false">(CK249/AQ249)</f>
        <v>0</v>
      </c>
      <c r="CQ249" s="9" t="n">
        <f aca="false">(100*CP249)</f>
        <v>0</v>
      </c>
      <c r="CR249" s="18" t="n">
        <v>0</v>
      </c>
      <c r="CS249" s="9" t="n">
        <v>44.6</v>
      </c>
      <c r="CT249" s="9" t="n">
        <v>54.9</v>
      </c>
      <c r="CU249" s="9" t="n">
        <v>69.8</v>
      </c>
      <c r="CV249" s="9" t="n">
        <v>58.9</v>
      </c>
      <c r="CW249" s="11" t="n">
        <f aca="false">(CS249+CT249+CU249+CV249)/4</f>
        <v>57.05</v>
      </c>
      <c r="CX249" s="9" t="n">
        <v>0</v>
      </c>
      <c r="CY249" s="9" t="n">
        <v>0</v>
      </c>
      <c r="CZ249" s="9" t="n">
        <v>0</v>
      </c>
      <c r="DA249" s="9" t="n">
        <v>0</v>
      </c>
      <c r="DB249" s="11" t="n">
        <f aca="false">(CX249+CY249+CZ249+DA249)/4</f>
        <v>0</v>
      </c>
      <c r="DC249" s="9" t="n">
        <v>1</v>
      </c>
      <c r="DD249" s="9" t="n">
        <v>1</v>
      </c>
      <c r="DE249" s="9" t="n">
        <v>1</v>
      </c>
      <c r="DF249" s="9" t="n">
        <v>1</v>
      </c>
      <c r="DG249" s="11" t="n">
        <f aca="false">(DC249+DD249+DE249+DF249)/4</f>
        <v>1</v>
      </c>
      <c r="DH249" s="9" t="n">
        <v>1</v>
      </c>
      <c r="DI249" s="9" t="n">
        <v>1</v>
      </c>
      <c r="DJ249" s="9" t="n">
        <v>1</v>
      </c>
      <c r="DK249" s="9" t="n">
        <v>1</v>
      </c>
      <c r="DL249" s="11" t="n">
        <f aca="false">(DH249+DI249+DJ249+DK249)/4</f>
        <v>1</v>
      </c>
      <c r="DM249" s="9" t="n">
        <v>15</v>
      </c>
      <c r="DN249" s="9" t="n">
        <v>12</v>
      </c>
      <c r="DO249" s="9" t="n">
        <v>28</v>
      </c>
      <c r="DP249" s="9" t="n">
        <v>111</v>
      </c>
      <c r="DQ249" s="11" t="n">
        <f aca="false">(DM249+DN249+DO249+DP249)/4</f>
        <v>41.5</v>
      </c>
      <c r="DR249" s="9" t="n">
        <v>13</v>
      </c>
      <c r="DS249" s="9" t="n">
        <v>15</v>
      </c>
      <c r="DT249" s="9" t="n">
        <v>91</v>
      </c>
      <c r="DU249" s="9" t="n">
        <v>142</v>
      </c>
      <c r="DV249" s="11" t="n">
        <f aca="false">(DR249+DS249+DT249+DU249)/4</f>
        <v>65.25</v>
      </c>
      <c r="DW249" s="9" t="n">
        <v>0</v>
      </c>
      <c r="DX249" s="9" t="n">
        <v>0</v>
      </c>
      <c r="DY249" s="9" t="n">
        <v>10</v>
      </c>
      <c r="DZ249" s="9" t="n">
        <v>0</v>
      </c>
      <c r="EA249" s="11" t="n">
        <f aca="false">(DW249+DX249+DY249+DZ249)/4</f>
        <v>2.5</v>
      </c>
      <c r="EB249" s="11" t="n">
        <f aca="false">(DW249/DR249)</f>
        <v>0</v>
      </c>
      <c r="EC249" s="11" t="n">
        <f aca="false">(DX249/DS249)</f>
        <v>0</v>
      </c>
      <c r="ED249" s="11" t="n">
        <f aca="false">(DY249/DT249)</f>
        <v>0.10989010989011</v>
      </c>
      <c r="EE249" s="11" t="n">
        <f aca="false">(DZ249/DU249)</f>
        <v>0</v>
      </c>
      <c r="EF249" s="11" t="n">
        <f aca="false">(EA249/DV249)</f>
        <v>0.0383141762452107</v>
      </c>
      <c r="EG249" s="11" t="n">
        <f aca="false">(100*EF249)</f>
        <v>3.83141762452107</v>
      </c>
      <c r="EH249" s="9" t="n">
        <v>1</v>
      </c>
      <c r="EI249" s="9" t="n">
        <v>10</v>
      </c>
      <c r="EJ249" s="9" t="n">
        <v>14</v>
      </c>
      <c r="EK249" s="19" t="n">
        <v>15</v>
      </c>
      <c r="EL249" s="9" t="n">
        <v>17</v>
      </c>
      <c r="EM249" s="9" t="n">
        <f aca="false">(EI249+EJ249+EK249+EL249)/4</f>
        <v>14</v>
      </c>
      <c r="EN249" s="9" t="n">
        <f aca="false">(EI249/DR249)</f>
        <v>0.769230769230769</v>
      </c>
      <c r="EO249" s="9" t="n">
        <f aca="false">(EJ249/DS249)</f>
        <v>0.933333333333333</v>
      </c>
      <c r="EP249" s="9" t="n">
        <f aca="false">(EK249/DT249)</f>
        <v>0.164835164835165</v>
      </c>
      <c r="EQ249" s="9" t="n">
        <f aca="false">(EL249/DU249)</f>
        <v>0.119718309859155</v>
      </c>
      <c r="ER249" s="9" t="n">
        <f aca="false">EM249/DV249</f>
        <v>0.21455938697318</v>
      </c>
      <c r="ES249" s="9" t="n">
        <f aca="false">(100*ER249)</f>
        <v>21.455938697318</v>
      </c>
      <c r="ET249" s="9" t="n">
        <v>2</v>
      </c>
      <c r="EU249" s="18" t="n">
        <v>1</v>
      </c>
      <c r="EV249" s="9" t="n">
        <v>2</v>
      </c>
      <c r="EW249" s="9" t="n">
        <v>1</v>
      </c>
      <c r="EX249" s="9" t="n">
        <v>1</v>
      </c>
      <c r="EY249" s="11" t="n">
        <f aca="false">(EU249+EV249+EW249+EX249)/4</f>
        <v>1.25</v>
      </c>
      <c r="EZ249" s="11" t="n">
        <f aca="false">(EU249/DR249)</f>
        <v>0.0769230769230769</v>
      </c>
      <c r="FA249" s="11" t="n">
        <f aca="false">(EV249/DS249)</f>
        <v>0.133333333333333</v>
      </c>
      <c r="FB249" s="11" t="n">
        <f aca="false">(EW249/DT249)</f>
        <v>0.010989010989011</v>
      </c>
      <c r="FC249" s="11" t="n">
        <f aca="false">(EX249/DU249)</f>
        <v>0.00704225352112676</v>
      </c>
      <c r="FD249" s="11" t="n">
        <f aca="false">(EY249/DV249)</f>
        <v>0.0191570881226054</v>
      </c>
      <c r="FE249" s="11" t="n">
        <f aca="false">(100*FD249)</f>
        <v>1.91570881226054</v>
      </c>
      <c r="FF249" s="9" t="n">
        <v>1</v>
      </c>
      <c r="FG249" s="9" t="n">
        <v>1</v>
      </c>
      <c r="FH249" s="9" t="n">
        <v>3</v>
      </c>
      <c r="FI249" s="9" t="n">
        <v>2</v>
      </c>
      <c r="FJ249" s="9" t="n">
        <v>2</v>
      </c>
      <c r="FK249" s="11" t="n">
        <f aca="false">(FG249+FH249+FI249+FJ249)/4</f>
        <v>2</v>
      </c>
      <c r="FL249" s="11" t="n">
        <f aca="false">(FG249/DR249)</f>
        <v>0.0769230769230769</v>
      </c>
      <c r="FM249" s="11" t="n">
        <f aca="false">(FH249/DS249)</f>
        <v>0.2</v>
      </c>
      <c r="FN249" s="11" t="n">
        <f aca="false">(FI249/DT249)</f>
        <v>0.021978021978022</v>
      </c>
      <c r="FO249" s="11" t="n">
        <f aca="false">(FJ249/DU249)</f>
        <v>0.0140845070422535</v>
      </c>
      <c r="FP249" s="11" t="n">
        <f aca="false">(FK249/DV249)</f>
        <v>0.0306513409961686</v>
      </c>
      <c r="FQ249" s="11" t="n">
        <f aca="false">(100*FP249)</f>
        <v>3.06513409961686</v>
      </c>
      <c r="FR249" s="9" t="n">
        <v>1</v>
      </c>
      <c r="FS249" s="9" t="n">
        <v>60.1</v>
      </c>
      <c r="FT249" s="9" t="n">
        <v>71.2</v>
      </c>
      <c r="FU249" s="9" t="n">
        <v>82.4</v>
      </c>
      <c r="FV249" s="9" t="n">
        <v>92.9</v>
      </c>
      <c r="FW249" s="11" t="n">
        <f aca="false">(FS249+FT249+FU249+FV249)/4</f>
        <v>76.65</v>
      </c>
      <c r="FX249" s="9" t="n">
        <v>0</v>
      </c>
      <c r="FY249" s="9" t="n">
        <v>0</v>
      </c>
      <c r="FZ249" s="9" t="n">
        <v>0</v>
      </c>
      <c r="GA249" s="9" t="n">
        <v>0</v>
      </c>
      <c r="GB249" s="11" t="n">
        <f aca="false">(FX249+FY249+FZ249+GA249)/4</f>
        <v>0</v>
      </c>
      <c r="GC249" s="9" t="n">
        <v>1</v>
      </c>
      <c r="GD249" s="9" t="n">
        <v>1</v>
      </c>
      <c r="GE249" s="9" t="n">
        <v>1</v>
      </c>
      <c r="GF249" s="9" t="n">
        <v>1</v>
      </c>
      <c r="GG249" s="11" t="n">
        <f aca="false">(GC249+GD249+GE249+GF249)/4</f>
        <v>1</v>
      </c>
      <c r="GH249" s="9" t="n">
        <v>1</v>
      </c>
      <c r="GI249" s="9" t="n">
        <v>1</v>
      </c>
      <c r="GJ249" s="9" t="n">
        <v>1</v>
      </c>
      <c r="GK249" s="9" t="n">
        <v>1</v>
      </c>
      <c r="GL249" s="11" t="n">
        <f aca="false">(GH249+GI249+GJ249+GK249)/4</f>
        <v>1</v>
      </c>
      <c r="GM249" s="9" t="n">
        <v>74</v>
      </c>
      <c r="GN249" s="9" t="n">
        <v>47</v>
      </c>
      <c r="GO249" s="9" t="n">
        <v>51</v>
      </c>
      <c r="GP249" s="9" t="n">
        <v>205</v>
      </c>
      <c r="GQ249" s="11" t="n">
        <f aca="false">(GM249+GN249+GO249+GP249)/4</f>
        <v>94.25</v>
      </c>
      <c r="GR249" s="9" t="n">
        <v>7</v>
      </c>
      <c r="GS249" s="9" t="n">
        <v>71</v>
      </c>
      <c r="GT249" s="9" t="n">
        <v>12</v>
      </c>
      <c r="GU249" s="9" t="n">
        <v>15</v>
      </c>
      <c r="GV249" s="11" t="n">
        <f aca="false">(GR249+GS249+GT249+GU249)/4</f>
        <v>26.25</v>
      </c>
      <c r="GW249" s="9" t="n">
        <v>0</v>
      </c>
      <c r="GX249" s="9" t="n">
        <v>0</v>
      </c>
      <c r="GY249" s="9" t="n">
        <v>0</v>
      </c>
      <c r="GZ249" s="9" t="n">
        <v>0</v>
      </c>
      <c r="HA249" s="11" t="n">
        <f aca="false">(GW249+GX249+GY249+GZ249)/4</f>
        <v>0</v>
      </c>
      <c r="HB249" s="9"/>
      <c r="HC249" s="9" t="n">
        <f aca="false">(GX249/GS249)</f>
        <v>0</v>
      </c>
      <c r="HD249" s="9" t="n">
        <f aca="false">(GY249/GT249)</f>
        <v>0</v>
      </c>
      <c r="HE249" s="9" t="n">
        <f aca="false">(GZ249/GU249)/4</f>
        <v>0</v>
      </c>
      <c r="HF249" s="9" t="n">
        <f aca="false">(HB249+HC249+HD249+HE249)/4</f>
        <v>0</v>
      </c>
      <c r="HG249" s="9" t="n">
        <f aca="false">(100*HF249)</f>
        <v>0</v>
      </c>
      <c r="HH249" s="18" t="n">
        <v>0</v>
      </c>
      <c r="HI249" s="9" t="n">
        <v>4</v>
      </c>
      <c r="HJ249" s="9" t="n">
        <v>2</v>
      </c>
      <c r="HK249" s="9" t="n">
        <v>2</v>
      </c>
      <c r="HL249" s="19" t="n">
        <v>14</v>
      </c>
      <c r="HM249" s="9" t="n">
        <f aca="false">(HI249+HJ249+HK249+HL249)/4</f>
        <v>5.5</v>
      </c>
      <c r="HN249" s="9" t="n">
        <f aca="false">(HI249/GR249)</f>
        <v>0.571428571428571</v>
      </c>
      <c r="HO249" s="9" t="n">
        <f aca="false">(HJ249/GS249)</f>
        <v>0.028169014084507</v>
      </c>
      <c r="HP249" s="9" t="n">
        <f aca="false">(HK249/GT249)</f>
        <v>0.166666666666667</v>
      </c>
      <c r="HQ249" s="9" t="n">
        <f aca="false">(HL249/GU249)</f>
        <v>0.933333333333333</v>
      </c>
      <c r="HR249" s="9" t="n">
        <f aca="false">(HM249/GV249)</f>
        <v>0.20952380952381</v>
      </c>
      <c r="HS249" s="9" t="n">
        <f aca="false">(100*HR249)</f>
        <v>20.952380952381</v>
      </c>
      <c r="HT249" s="18" t="n">
        <v>2</v>
      </c>
      <c r="HU249" s="9" t="n">
        <v>0</v>
      </c>
      <c r="HV249" s="9" t="n">
        <v>1</v>
      </c>
      <c r="HW249" s="9" t="n">
        <v>1</v>
      </c>
      <c r="HX249" s="19" t="n">
        <v>0</v>
      </c>
      <c r="HY249" s="9" t="n">
        <f aca="false">(HU249+HV249+HW249+HX249)/4</f>
        <v>0.5</v>
      </c>
      <c r="HZ249" s="9" t="n">
        <f aca="false">(HU249/GR249)</f>
        <v>0</v>
      </c>
      <c r="IA249" s="9" t="n">
        <f aca="false">HV249/GS249</f>
        <v>0.0140845070422535</v>
      </c>
      <c r="IB249" s="9" t="n">
        <f aca="false">(HW249/GT249)</f>
        <v>0.0833333333333333</v>
      </c>
      <c r="IC249" s="9" t="n">
        <f aca="false">(HX249/GU249)</f>
        <v>0</v>
      </c>
      <c r="ID249" s="9" t="n">
        <f aca="false">(HY249/GV249)</f>
        <v>0.0190476190476191</v>
      </c>
      <c r="IE249" s="9" t="n">
        <f aca="false">(100*ID249)</f>
        <v>1.9047619047619</v>
      </c>
      <c r="IF249" s="18" t="n">
        <v>1</v>
      </c>
      <c r="IG249" s="9" t="n">
        <v>4</v>
      </c>
      <c r="IH249" s="9" t="n">
        <v>14</v>
      </c>
      <c r="II249" s="19" t="n">
        <v>3</v>
      </c>
      <c r="IJ249" s="9" t="n">
        <v>2</v>
      </c>
      <c r="IK249" s="9" t="n">
        <f aca="false">(IG249+IH249+II249+IJ249)/4</f>
        <v>5.75</v>
      </c>
      <c r="IL249" s="9" t="n">
        <f aca="false">(IG249/GM249)</f>
        <v>0.0540540540540541</v>
      </c>
      <c r="IM249" s="9" t="n">
        <f aca="false">(IH249/GN249)</f>
        <v>0.297872340425532</v>
      </c>
      <c r="IN249" s="9" t="n">
        <f aca="false">(II249/GO249)</f>
        <v>0.0588235294117647</v>
      </c>
      <c r="IO249" s="9" t="n">
        <f aca="false">(IJ249/GP249)</f>
        <v>0.00975609756097561</v>
      </c>
      <c r="IP249" s="9" t="n">
        <f aca="false">(IK249/GQ249)</f>
        <v>0.0610079575596817</v>
      </c>
      <c r="IQ249" s="9" t="n">
        <f aca="false">(100*IP249)</f>
        <v>6.10079575596817</v>
      </c>
      <c r="IR249" s="18" t="n">
        <v>1</v>
      </c>
      <c r="IS249" s="9" t="n">
        <v>57.4</v>
      </c>
      <c r="IT249" s="9" t="n">
        <v>69.1</v>
      </c>
      <c r="IU249" s="19" t="n">
        <v>54.1</v>
      </c>
      <c r="IV249" s="9" t="n">
        <v>59.6</v>
      </c>
      <c r="IW249" s="9" t="n">
        <f aca="false">(IS249+IT249+IU249+IV249)/4</f>
        <v>60.05</v>
      </c>
      <c r="IX249" s="16" t="n">
        <v>45211</v>
      </c>
      <c r="IY249" s="10" t="s">
        <v>268</v>
      </c>
    </row>
    <row r="250" customFormat="false" ht="15.75" hidden="false" customHeight="true" outlineLevel="0" collapsed="false">
      <c r="A250" s="9" t="s">
        <v>370</v>
      </c>
      <c r="B250" s="10" t="s">
        <v>817</v>
      </c>
      <c r="C250" s="10" t="s">
        <v>727</v>
      </c>
      <c r="D250" s="9" t="n">
        <v>2</v>
      </c>
      <c r="E250" s="9" t="n">
        <v>83</v>
      </c>
      <c r="F250" s="10" t="s">
        <v>822</v>
      </c>
      <c r="G250" s="11" t="s">
        <v>263</v>
      </c>
      <c r="H250" s="9" t="n">
        <v>21</v>
      </c>
      <c r="I250" s="9" t="n">
        <v>20</v>
      </c>
      <c r="J250" s="10" t="s">
        <v>272</v>
      </c>
      <c r="K250" s="20"/>
      <c r="L250" s="20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 t="n">
        <v>0</v>
      </c>
      <c r="Y250" s="9" t="n">
        <v>0</v>
      </c>
      <c r="Z250" s="9" t="n">
        <v>1</v>
      </c>
      <c r="AA250" s="9" t="n">
        <v>0</v>
      </c>
      <c r="AB250" s="11" t="n">
        <f aca="false">(X250+Y250+Z250+AA250)/4</f>
        <v>0.25</v>
      </c>
      <c r="AC250" s="9" t="n">
        <v>1</v>
      </c>
      <c r="AD250" s="9" t="n">
        <v>1</v>
      </c>
      <c r="AE250" s="9" t="n">
        <v>1</v>
      </c>
      <c r="AF250" s="9" t="n">
        <v>1</v>
      </c>
      <c r="AG250" s="11" t="n">
        <f aca="false">(AC250+AD250+AE250+AF250)/4</f>
        <v>1</v>
      </c>
      <c r="AH250" s="9" t="n">
        <v>1</v>
      </c>
      <c r="AI250" s="9" t="n">
        <v>1</v>
      </c>
      <c r="AJ250" s="9" t="n">
        <v>0</v>
      </c>
      <c r="AK250" s="9" t="n">
        <v>1</v>
      </c>
      <c r="AL250" s="11" t="n">
        <f aca="false">(AH250+AI250+AJ250+AK250)/4</f>
        <v>0.75</v>
      </c>
      <c r="AM250" s="9" t="n">
        <v>24</v>
      </c>
      <c r="AN250" s="9" t="n">
        <v>45</v>
      </c>
      <c r="AO250" s="9" t="n">
        <v>80</v>
      </c>
      <c r="AP250" s="9" t="n">
        <v>12</v>
      </c>
      <c r="AQ250" s="11" t="n">
        <f aca="false">(AM250+AN250+AO250+AP250)/4</f>
        <v>40.25</v>
      </c>
      <c r="AR250" s="9" t="n">
        <v>5</v>
      </c>
      <c r="AS250" s="9" t="n">
        <v>9</v>
      </c>
      <c r="AT250" s="9" t="n">
        <v>21</v>
      </c>
      <c r="AU250" s="9" t="n">
        <v>14</v>
      </c>
      <c r="AV250" s="11" t="n">
        <f aca="false">(AR250+AS250+AT250+AU250)/4</f>
        <v>12.25</v>
      </c>
      <c r="AW250" s="9" t="n">
        <v>0</v>
      </c>
      <c r="AX250" s="9" t="n">
        <v>0</v>
      </c>
      <c r="AY250" s="9" t="n">
        <v>10</v>
      </c>
      <c r="AZ250" s="9" t="n">
        <v>0</v>
      </c>
      <c r="BA250" s="11" t="n">
        <f aca="false">(AW250+AX250+AY250+AZ250)/4</f>
        <v>2.5</v>
      </c>
      <c r="BB250" s="11" t="n">
        <f aca="false">(AW250/AR250)</f>
        <v>0</v>
      </c>
      <c r="BC250" s="11" t="n">
        <f aca="false">(AX250/AS250)</f>
        <v>0</v>
      </c>
      <c r="BD250" s="11" t="n">
        <f aca="false">(AY250/AT250)</f>
        <v>0.476190476190476</v>
      </c>
      <c r="BE250" s="11" t="n">
        <f aca="false">(AZ250/AU250)</f>
        <v>0</v>
      </c>
      <c r="BF250" s="11" t="n">
        <f aca="false">(BA250/AV250)</f>
        <v>0.204081632653061</v>
      </c>
      <c r="BG250" s="11" t="n">
        <f aca="false">(BF250*100)</f>
        <v>20.4081632653061</v>
      </c>
      <c r="BH250" s="9" t="n">
        <v>2</v>
      </c>
      <c r="BI250" s="9" t="n">
        <v>2</v>
      </c>
      <c r="BJ250" s="9" t="n">
        <v>4</v>
      </c>
      <c r="BK250" s="9" t="n">
        <v>2</v>
      </c>
      <c r="BL250" s="9" t="n">
        <v>7</v>
      </c>
      <c r="BM250" s="11" t="n">
        <f aca="false">(BI250+BJ250+BK250+BL250)/4</f>
        <v>3.75</v>
      </c>
      <c r="BN250" s="11" t="n">
        <f aca="false">(BI250/AR250)</f>
        <v>0.4</v>
      </c>
      <c r="BO250" s="11" t="n">
        <f aca="false">(BJ250/AS250)</f>
        <v>0.444444444444444</v>
      </c>
      <c r="BP250" s="11" t="n">
        <f aca="false">(BK250/AT250)</f>
        <v>0.0952380952380952</v>
      </c>
      <c r="BQ250" s="11" t="n">
        <f aca="false">(BL250/AU250)</f>
        <v>0.5</v>
      </c>
      <c r="BR250" s="11" t="n">
        <f aca="false">(BM250/AV250)</f>
        <v>0.306122448979592</v>
      </c>
      <c r="BS250" s="11" t="n">
        <f aca="false">(100*BR250)</f>
        <v>30.6122448979592</v>
      </c>
      <c r="BT250" s="9" t="n">
        <v>3</v>
      </c>
      <c r="BU250" s="9" t="n">
        <v>0</v>
      </c>
      <c r="BV250" s="9" t="n">
        <v>1</v>
      </c>
      <c r="BW250" s="9" t="n">
        <v>0</v>
      </c>
      <c r="BX250" s="9" t="n">
        <v>1</v>
      </c>
      <c r="BY250" s="11" t="n">
        <f aca="false">(BU250+BV250+BW250+BX250)/4</f>
        <v>0.5</v>
      </c>
      <c r="BZ250" s="11" t="n">
        <f aca="false">(BU250/AR250)</f>
        <v>0</v>
      </c>
      <c r="CA250" s="11" t="n">
        <f aca="false">(BV250/AS250)</f>
        <v>0.111111111111111</v>
      </c>
      <c r="CB250" s="11" t="n">
        <f aca="false">(BW250/AT250)</f>
        <v>0</v>
      </c>
      <c r="CC250" s="11" t="n">
        <f aca="false">(BX250/AU250)</f>
        <v>0.0714285714285714</v>
      </c>
      <c r="CD250" s="11" t="n">
        <f aca="false">(BY250/AV250)</f>
        <v>0.0408163265306122</v>
      </c>
      <c r="CE250" s="11" t="n">
        <f aca="false">(100*CD250)</f>
        <v>4.08163265306123</v>
      </c>
      <c r="CF250" s="9" t="n">
        <v>1</v>
      </c>
      <c r="CG250" s="9" t="n">
        <v>6</v>
      </c>
      <c r="CH250" s="9" t="n">
        <v>2</v>
      </c>
      <c r="CI250" s="9" t="n">
        <v>10</v>
      </c>
      <c r="CJ250" s="9" t="n">
        <v>2</v>
      </c>
      <c r="CK250" s="9"/>
      <c r="CL250" s="9"/>
      <c r="CM250" s="9"/>
      <c r="CN250" s="19"/>
      <c r="CO250" s="9" t="n">
        <f aca="false">(CJ250/AP250)</f>
        <v>0.166666666666667</v>
      </c>
      <c r="CP250" s="9" t="n">
        <f aca="false">(CK250/AQ250)</f>
        <v>0</v>
      </c>
      <c r="CQ250" s="9" t="n">
        <f aca="false">(100*CP250)</f>
        <v>0</v>
      </c>
      <c r="CR250" s="18" t="n">
        <v>0</v>
      </c>
      <c r="CS250" s="9" t="n">
        <v>57.2</v>
      </c>
      <c r="CT250" s="9" t="n">
        <v>48.1</v>
      </c>
      <c r="CU250" s="9" t="n">
        <v>57</v>
      </c>
      <c r="CV250" s="9" t="n">
        <v>57</v>
      </c>
      <c r="CW250" s="11" t="n">
        <f aca="false">(CS250+CT250+CU250+CV250)/4</f>
        <v>54.825</v>
      </c>
      <c r="CX250" s="9" t="n">
        <v>0</v>
      </c>
      <c r="CY250" s="9" t="n">
        <v>0</v>
      </c>
      <c r="CZ250" s="9" t="n">
        <v>0</v>
      </c>
      <c r="DA250" s="9" t="n">
        <v>0</v>
      </c>
      <c r="DB250" s="11" t="n">
        <f aca="false">(CX250+CY250+CZ250+DA250)/4</f>
        <v>0</v>
      </c>
      <c r="DC250" s="9" t="n">
        <v>1</v>
      </c>
      <c r="DD250" s="9" t="n">
        <v>1</v>
      </c>
      <c r="DE250" s="9" t="n">
        <v>1</v>
      </c>
      <c r="DF250" s="9" t="n">
        <v>1</v>
      </c>
      <c r="DG250" s="11" t="n">
        <f aca="false">(DC250+DD250+DE250+DF250)/4</f>
        <v>1</v>
      </c>
      <c r="DH250" s="9" t="n">
        <v>1</v>
      </c>
      <c r="DI250" s="9" t="n">
        <v>0</v>
      </c>
      <c r="DJ250" s="9" t="n">
        <v>0</v>
      </c>
      <c r="DK250" s="9" t="n">
        <v>0</v>
      </c>
      <c r="DL250" s="11" t="n">
        <f aca="false">(DH250+DI250+DJ250+DK250)/4</f>
        <v>0.25</v>
      </c>
      <c r="DM250" s="9" t="n">
        <v>7</v>
      </c>
      <c r="DN250" s="9" t="n">
        <v>64</v>
      </c>
      <c r="DO250" s="9" t="n">
        <v>13</v>
      </c>
      <c r="DP250" s="9" t="n">
        <v>34</v>
      </c>
      <c r="DQ250" s="11" t="n">
        <f aca="false">(DM250+DN250+DO250+DP250)/4</f>
        <v>29.5</v>
      </c>
      <c r="DR250" s="9" t="n">
        <v>8</v>
      </c>
      <c r="DS250" s="9" t="n">
        <v>32</v>
      </c>
      <c r="DT250" s="9" t="n">
        <v>10</v>
      </c>
      <c r="DU250" s="9" t="n">
        <v>8</v>
      </c>
      <c r="DV250" s="11" t="n">
        <f aca="false">(DR250+DS250+DT250+DU250)/4</f>
        <v>14.5</v>
      </c>
      <c r="DW250" s="9" t="n">
        <v>0</v>
      </c>
      <c r="DX250" s="9" t="n">
        <v>0</v>
      </c>
      <c r="DY250" s="9" t="n">
        <v>0</v>
      </c>
      <c r="DZ250" s="9" t="n">
        <v>0</v>
      </c>
      <c r="EA250" s="11" t="n">
        <f aca="false">(DW250+DX250+DY250+DZ250)/4</f>
        <v>0</v>
      </c>
      <c r="EB250" s="11" t="n">
        <f aca="false">(DW250/DR250)</f>
        <v>0</v>
      </c>
      <c r="EC250" s="11" t="n">
        <f aca="false">(DX250/DS250)</f>
        <v>0</v>
      </c>
      <c r="ED250" s="11" t="n">
        <f aca="false">(DY250/DT250)</f>
        <v>0</v>
      </c>
      <c r="EE250" s="11" t="n">
        <f aca="false">(DZ250/DU250)</f>
        <v>0</v>
      </c>
      <c r="EF250" s="11" t="n">
        <f aca="false">(EA250/DV250)</f>
        <v>0</v>
      </c>
      <c r="EG250" s="11" t="n">
        <f aca="false">(100*EF250)</f>
        <v>0</v>
      </c>
      <c r="EH250" s="9" t="n">
        <v>0</v>
      </c>
      <c r="EI250" s="9" t="n">
        <v>4</v>
      </c>
      <c r="EJ250" s="9" t="n">
        <v>10</v>
      </c>
      <c r="EK250" s="19" t="n">
        <v>6</v>
      </c>
      <c r="EL250" s="9" t="n">
        <v>6</v>
      </c>
      <c r="EM250" s="9" t="n">
        <f aca="false">(EI250+EJ250+EK250+EL250)/4</f>
        <v>6.5</v>
      </c>
      <c r="EN250" s="9" t="n">
        <f aca="false">(EI250/DR250)</f>
        <v>0.5</v>
      </c>
      <c r="EO250" s="9" t="n">
        <f aca="false">(EJ250/DS250)</f>
        <v>0.3125</v>
      </c>
      <c r="EP250" s="9" t="n">
        <f aca="false">(EK250/DT250)</f>
        <v>0.6</v>
      </c>
      <c r="EQ250" s="9" t="n">
        <f aca="false">(EL250/DU250)</f>
        <v>0.75</v>
      </c>
      <c r="ER250" s="9" t="n">
        <f aca="false">EM250/DV250</f>
        <v>0.448275862068966</v>
      </c>
      <c r="ES250" s="9" t="n">
        <f aca="false">(100*ER250)</f>
        <v>44.8275862068966</v>
      </c>
      <c r="ET250" s="9" t="n">
        <v>3</v>
      </c>
      <c r="EU250" s="18" t="n">
        <v>1</v>
      </c>
      <c r="EV250" s="9" t="n">
        <v>0</v>
      </c>
      <c r="EW250" s="9" t="n">
        <v>0</v>
      </c>
      <c r="EX250" s="9" t="n">
        <v>0</v>
      </c>
      <c r="EY250" s="11" t="n">
        <f aca="false">(EU250+EV250+EW250+EX250)/4</f>
        <v>0.25</v>
      </c>
      <c r="EZ250" s="11" t="n">
        <f aca="false">(EU250/DR250)</f>
        <v>0.125</v>
      </c>
      <c r="FA250" s="11" t="n">
        <f aca="false">(EV250/DS250)</f>
        <v>0</v>
      </c>
      <c r="FB250" s="11" t="n">
        <f aca="false">(EW250/DT250)</f>
        <v>0</v>
      </c>
      <c r="FC250" s="11" t="n">
        <f aca="false">(EX250/DU250)</f>
        <v>0</v>
      </c>
      <c r="FD250" s="11" t="n">
        <f aca="false">(EY250/DV250)</f>
        <v>0.0172413793103448</v>
      </c>
      <c r="FE250" s="11" t="n">
        <f aca="false">(100*FD250)</f>
        <v>1.72413793103448</v>
      </c>
      <c r="FF250" s="9" t="n">
        <v>1</v>
      </c>
      <c r="FG250" s="9" t="n">
        <v>2</v>
      </c>
      <c r="FH250" s="9" t="n">
        <v>0</v>
      </c>
      <c r="FI250" s="9" t="n">
        <v>0</v>
      </c>
      <c r="FJ250" s="9" t="n">
        <v>0</v>
      </c>
      <c r="FK250" s="11" t="n">
        <f aca="false">(FG250+FH250+FI250+FJ250)/4</f>
        <v>0.5</v>
      </c>
      <c r="FL250" s="11" t="n">
        <f aca="false">(FG250/DR250)</f>
        <v>0.25</v>
      </c>
      <c r="FM250" s="11" t="n">
        <f aca="false">(FH250/DS250)</f>
        <v>0</v>
      </c>
      <c r="FN250" s="11" t="n">
        <f aca="false">(FI250/DT250)</f>
        <v>0</v>
      </c>
      <c r="FO250" s="11" t="n">
        <f aca="false">(FJ250/DU250)</f>
        <v>0</v>
      </c>
      <c r="FP250" s="11" t="n">
        <f aca="false">(FK250/DV250)</f>
        <v>0.0344827586206897</v>
      </c>
      <c r="FQ250" s="11" t="n">
        <f aca="false">(100*FP250)</f>
        <v>3.44827586206897</v>
      </c>
      <c r="FR250" s="9" t="n">
        <v>1</v>
      </c>
      <c r="FS250" s="9" t="n">
        <v>49</v>
      </c>
      <c r="FT250" s="9" t="n">
        <v>52.5</v>
      </c>
      <c r="FU250" s="9" t="n">
        <v>52.2</v>
      </c>
      <c r="FV250" s="9" t="n">
        <v>70.8</v>
      </c>
      <c r="FW250" s="11" t="n">
        <f aca="false">(FS250+FT250+FU250+FV250)/4</f>
        <v>56.125</v>
      </c>
      <c r="FX250" s="9" t="n">
        <v>0</v>
      </c>
      <c r="FY250" s="9" t="n">
        <v>0</v>
      </c>
      <c r="FZ250" s="9" t="n">
        <v>0</v>
      </c>
      <c r="GA250" s="9" t="n">
        <v>0</v>
      </c>
      <c r="GB250" s="11" t="n">
        <f aca="false">(FX250+FY250+FZ250+GA250)/4</f>
        <v>0</v>
      </c>
      <c r="GC250" s="9" t="n">
        <v>1</v>
      </c>
      <c r="GD250" s="9" t="n">
        <v>1</v>
      </c>
      <c r="GE250" s="9" t="n">
        <v>1</v>
      </c>
      <c r="GF250" s="9" t="n">
        <v>1</v>
      </c>
      <c r="GG250" s="11" t="n">
        <f aca="false">(GC250+GD250+GE250+GF250)/4</f>
        <v>1</v>
      </c>
      <c r="GH250" s="9" t="n">
        <v>1</v>
      </c>
      <c r="GI250" s="9" t="n">
        <v>1</v>
      </c>
      <c r="GJ250" s="9" t="n">
        <v>1</v>
      </c>
      <c r="GK250" s="9" t="n">
        <v>1</v>
      </c>
      <c r="GL250" s="11" t="n">
        <f aca="false">(GH250+GI250+GJ250+GK250)/4</f>
        <v>1</v>
      </c>
      <c r="GM250" s="9" t="n">
        <v>29</v>
      </c>
      <c r="GN250" s="9" t="n">
        <v>9</v>
      </c>
      <c r="GO250" s="9" t="n">
        <v>20</v>
      </c>
      <c r="GP250" s="9" t="n">
        <v>12</v>
      </c>
      <c r="GQ250" s="11" t="n">
        <f aca="false">(GM250+GN250+GO250+GP250)/4</f>
        <v>17.5</v>
      </c>
      <c r="GR250" s="9" t="n">
        <v>11</v>
      </c>
      <c r="GS250" s="9" t="n">
        <v>8</v>
      </c>
      <c r="GT250" s="9" t="n">
        <v>10</v>
      </c>
      <c r="GU250" s="9" t="n">
        <v>14</v>
      </c>
      <c r="GV250" s="11" t="n">
        <f aca="false">(GR250+GS250+GT250+GU250)/4</f>
        <v>10.75</v>
      </c>
      <c r="GW250" s="9" t="n">
        <v>0</v>
      </c>
      <c r="GX250" s="9" t="n">
        <v>0</v>
      </c>
      <c r="GY250" s="9" t="n">
        <v>0</v>
      </c>
      <c r="GZ250" s="9" t="n">
        <v>0</v>
      </c>
      <c r="HA250" s="11" t="n">
        <f aca="false">(GW250+GX250+GY250+GZ250)/4</f>
        <v>0</v>
      </c>
      <c r="HB250" s="9"/>
      <c r="HC250" s="9" t="n">
        <f aca="false">(GX250/GS250)</f>
        <v>0</v>
      </c>
      <c r="HD250" s="9" t="n">
        <f aca="false">(GY250/GT250)</f>
        <v>0</v>
      </c>
      <c r="HE250" s="9" t="n">
        <f aca="false">(GZ250/GU250)/4</f>
        <v>0</v>
      </c>
      <c r="HF250" s="9" t="n">
        <f aca="false">(HB250+HC250+HD250+HE250)/4</f>
        <v>0</v>
      </c>
      <c r="HG250" s="9" t="n">
        <f aca="false">(100*HF250)</f>
        <v>0</v>
      </c>
      <c r="HH250" s="18" t="n">
        <v>0</v>
      </c>
      <c r="HI250" s="9" t="n">
        <v>2</v>
      </c>
      <c r="HJ250" s="9" t="n">
        <v>1</v>
      </c>
      <c r="HK250" s="9" t="n">
        <v>4</v>
      </c>
      <c r="HL250" s="19" t="n">
        <v>2</v>
      </c>
      <c r="HM250" s="9" t="n">
        <f aca="false">(HI250+HJ250+HK250+HL250)/4</f>
        <v>2.25</v>
      </c>
      <c r="HN250" s="9" t="n">
        <f aca="false">(HI250/GR250)</f>
        <v>0.181818181818182</v>
      </c>
      <c r="HO250" s="9" t="n">
        <f aca="false">(HJ250/GS250)</f>
        <v>0.125</v>
      </c>
      <c r="HP250" s="9" t="n">
        <f aca="false">(HK250/GT250)</f>
        <v>0.4</v>
      </c>
      <c r="HQ250" s="9" t="n">
        <f aca="false">(HL250/GU250)</f>
        <v>0.142857142857143</v>
      </c>
      <c r="HR250" s="9" t="n">
        <f aca="false">(HM250/GV250)</f>
        <v>0.209302325581395</v>
      </c>
      <c r="HS250" s="9" t="n">
        <f aca="false">(100*HR250)</f>
        <v>20.9302325581395</v>
      </c>
      <c r="HT250" s="18" t="n">
        <v>2</v>
      </c>
      <c r="HU250" s="9" t="n">
        <v>5</v>
      </c>
      <c r="HV250" s="9" t="n">
        <v>1</v>
      </c>
      <c r="HW250" s="9" t="n">
        <v>1</v>
      </c>
      <c r="HX250" s="19" t="n">
        <v>0</v>
      </c>
      <c r="HY250" s="9" t="n">
        <f aca="false">(HU250+HV250+HW250+HX250)/4</f>
        <v>1.75</v>
      </c>
      <c r="HZ250" s="9" t="n">
        <f aca="false">(HU250/GR250)</f>
        <v>0.454545454545455</v>
      </c>
      <c r="IA250" s="9" t="n">
        <f aca="false">HV250/GS250</f>
        <v>0.125</v>
      </c>
      <c r="IB250" s="9" t="n">
        <f aca="false">(HW250/GT250)</f>
        <v>0.1</v>
      </c>
      <c r="IC250" s="9" t="n">
        <f aca="false">(HX250/GU250)</f>
        <v>0</v>
      </c>
      <c r="ID250" s="9" t="n">
        <f aca="false">(HY250/GV250)</f>
        <v>0.162790697674419</v>
      </c>
      <c r="IE250" s="9" t="n">
        <f aca="false">(100*ID250)</f>
        <v>16.2790697674419</v>
      </c>
      <c r="IF250" s="18" t="n">
        <v>2</v>
      </c>
      <c r="IG250" s="9" t="n">
        <v>1</v>
      </c>
      <c r="IH250" s="9" t="n">
        <v>4</v>
      </c>
      <c r="II250" s="19" t="n">
        <v>2</v>
      </c>
      <c r="IJ250" s="9" t="n">
        <v>1</v>
      </c>
      <c r="IK250" s="9" t="n">
        <f aca="false">(IG250+IH250+II250+IJ250)/4</f>
        <v>2</v>
      </c>
      <c r="IL250" s="9" t="n">
        <f aca="false">(IG250/GM250)</f>
        <v>0.0344827586206897</v>
      </c>
      <c r="IM250" s="9" t="n">
        <f aca="false">(IH250/GN250)</f>
        <v>0.444444444444444</v>
      </c>
      <c r="IN250" s="9" t="n">
        <f aca="false">(II250/GO250)</f>
        <v>0.1</v>
      </c>
      <c r="IO250" s="9" t="n">
        <f aca="false">(IJ250/GP250)</f>
        <v>0.0833333333333333</v>
      </c>
      <c r="IP250" s="9" t="n">
        <f aca="false">(IK250/GQ250)</f>
        <v>0.114285714285714</v>
      </c>
      <c r="IQ250" s="9" t="n">
        <f aca="false">(100*IP250)</f>
        <v>11.4285714285714</v>
      </c>
      <c r="IR250" s="18" t="n">
        <v>2</v>
      </c>
      <c r="IS250" s="9" t="n">
        <v>45.6</v>
      </c>
      <c r="IT250" s="9" t="n">
        <v>58.3</v>
      </c>
      <c r="IU250" s="19" t="n">
        <v>58</v>
      </c>
      <c r="IV250" s="9" t="n">
        <v>66.6</v>
      </c>
      <c r="IW250" s="9" t="n">
        <f aca="false">(IS250+IT250+IU250+IV250)/4</f>
        <v>57.125</v>
      </c>
      <c r="IX250" s="16" t="n">
        <v>45211</v>
      </c>
      <c r="IY250" s="10" t="s">
        <v>268</v>
      </c>
    </row>
    <row r="251" customFormat="false" ht="15.75" hidden="false" customHeight="true" outlineLevel="0" collapsed="false">
      <c r="A251" s="9" t="s">
        <v>370</v>
      </c>
      <c r="B251" s="10" t="s">
        <v>823</v>
      </c>
      <c r="C251" s="10" t="s">
        <v>727</v>
      </c>
      <c r="D251" s="9" t="n">
        <v>3</v>
      </c>
      <c r="E251" s="9" t="n">
        <v>84</v>
      </c>
      <c r="F251" s="10" t="s">
        <v>824</v>
      </c>
      <c r="G251" s="10" t="s">
        <v>291</v>
      </c>
      <c r="H251" s="9" t="n">
        <v>21</v>
      </c>
      <c r="I251" s="9" t="n">
        <v>4</v>
      </c>
      <c r="J251" s="12" t="s">
        <v>264</v>
      </c>
      <c r="K251" s="13" t="s">
        <v>434</v>
      </c>
      <c r="L251" s="13" t="s">
        <v>825</v>
      </c>
      <c r="M251" s="14" t="n">
        <v>1303</v>
      </c>
      <c r="N251" s="15" t="n">
        <v>45155</v>
      </c>
      <c r="O251" s="10" t="s">
        <v>294</v>
      </c>
      <c r="P251" s="9"/>
      <c r="Q251" s="9" t="n">
        <v>21.35</v>
      </c>
      <c r="R251" s="9" t="n">
        <v>12</v>
      </c>
      <c r="S251" s="9" t="n">
        <v>-10</v>
      </c>
      <c r="T251" s="9" t="n">
        <v>90</v>
      </c>
      <c r="U251" s="9"/>
      <c r="V251" s="9" t="n">
        <f aca="false">(25.6/100)</f>
        <v>0.256</v>
      </c>
      <c r="W251" s="22" t="s">
        <v>826</v>
      </c>
      <c r="X251" s="9" t="n">
        <v>0</v>
      </c>
      <c r="Y251" s="9" t="n">
        <v>0</v>
      </c>
      <c r="Z251" s="9" t="n">
        <v>0</v>
      </c>
      <c r="AA251" s="9" t="n">
        <v>0</v>
      </c>
      <c r="AB251" s="11" t="n">
        <f aca="false">(X251+Y251+Z251+AA251)/4</f>
        <v>0</v>
      </c>
      <c r="AC251" s="9" t="n">
        <v>1</v>
      </c>
      <c r="AD251" s="9" t="n">
        <v>1</v>
      </c>
      <c r="AE251" s="9" t="n">
        <v>1</v>
      </c>
      <c r="AF251" s="9" t="n">
        <v>1</v>
      </c>
      <c r="AG251" s="11" t="n">
        <f aca="false">(AC251+AD251+AE251+AF251)/4</f>
        <v>1</v>
      </c>
      <c r="AH251" s="9" t="n">
        <v>0</v>
      </c>
      <c r="AI251" s="9" t="n">
        <v>0</v>
      </c>
      <c r="AJ251" s="9" t="n">
        <v>1</v>
      </c>
      <c r="AK251" s="9" t="n">
        <v>1</v>
      </c>
      <c r="AL251" s="11" t="n">
        <f aca="false">(AH251+AI251+AJ251+AK251)/4</f>
        <v>0.5</v>
      </c>
      <c r="AM251" s="9" t="n">
        <v>27</v>
      </c>
      <c r="AN251" s="9" t="n">
        <v>11</v>
      </c>
      <c r="AO251" s="9" t="n">
        <v>85</v>
      </c>
      <c r="AP251" s="9" t="n">
        <v>69</v>
      </c>
      <c r="AQ251" s="11" t="n">
        <f aca="false">(AM251+AN251+AO251+AP251)/4</f>
        <v>48</v>
      </c>
      <c r="AR251" s="9" t="n">
        <v>36</v>
      </c>
      <c r="AS251" s="9" t="n">
        <v>23</v>
      </c>
      <c r="AT251" s="9" t="n">
        <v>25</v>
      </c>
      <c r="AU251" s="9" t="n">
        <v>13</v>
      </c>
      <c r="AV251" s="11" t="n">
        <f aca="false">(AR251+AS251+AT251+AU251)/4</f>
        <v>24.25</v>
      </c>
      <c r="AW251" s="9" t="n">
        <v>0</v>
      </c>
      <c r="AX251" s="9" t="n">
        <v>0</v>
      </c>
      <c r="AY251" s="9" t="n">
        <v>0</v>
      </c>
      <c r="AZ251" s="9" t="n">
        <v>0</v>
      </c>
      <c r="BA251" s="11" t="n">
        <f aca="false">(AW251+AX251+AY251+AZ251)/4</f>
        <v>0</v>
      </c>
      <c r="BB251" s="11" t="n">
        <f aca="false">(AW251/AR251)</f>
        <v>0</v>
      </c>
      <c r="BC251" s="11" t="n">
        <f aca="false">(AX251/AS251)</f>
        <v>0</v>
      </c>
      <c r="BD251" s="11" t="n">
        <f aca="false">(AY251/AT251)</f>
        <v>0</v>
      </c>
      <c r="BE251" s="11" t="n">
        <f aca="false">(AZ251/AU251)</f>
        <v>0</v>
      </c>
      <c r="BF251" s="11" t="n">
        <f aca="false">(BA251/AV251)</f>
        <v>0</v>
      </c>
      <c r="BG251" s="11" t="n">
        <f aca="false">(BF251*100)</f>
        <v>0</v>
      </c>
      <c r="BH251" s="9" t="n">
        <v>0</v>
      </c>
      <c r="BI251" s="9" t="n">
        <v>6</v>
      </c>
      <c r="BJ251" s="9" t="n">
        <v>11</v>
      </c>
      <c r="BK251" s="9" t="n">
        <v>11</v>
      </c>
      <c r="BL251" s="9" t="n">
        <v>7</v>
      </c>
      <c r="BM251" s="11" t="n">
        <f aca="false">(BI251+BJ251+BK251+BL251)/4</f>
        <v>8.75</v>
      </c>
      <c r="BN251" s="11" t="n">
        <f aca="false">(BI251/AR251)</f>
        <v>0.166666666666667</v>
      </c>
      <c r="BO251" s="11" t="n">
        <f aca="false">(BJ251/AS251)</f>
        <v>0.478260869565217</v>
      </c>
      <c r="BP251" s="11" t="n">
        <f aca="false">(BK251/AT251)</f>
        <v>0.44</v>
      </c>
      <c r="BQ251" s="11" t="n">
        <f aca="false">(BL251/AU251)</f>
        <v>0.538461538461538</v>
      </c>
      <c r="BR251" s="11" t="n">
        <f aca="false">(BM251/AV251)</f>
        <v>0.360824742268041</v>
      </c>
      <c r="BS251" s="11" t="n">
        <f aca="false">(100*BR251)</f>
        <v>36.0824742268041</v>
      </c>
      <c r="BT251" s="9" t="n">
        <v>3</v>
      </c>
      <c r="BU251" s="9" t="n">
        <v>0</v>
      </c>
      <c r="BV251" s="9" t="n">
        <v>0</v>
      </c>
      <c r="BW251" s="9" t="n">
        <v>0</v>
      </c>
      <c r="BX251" s="9" t="n">
        <v>0</v>
      </c>
      <c r="BY251" s="11" t="n">
        <f aca="false">(BU251+BV251+BW251+BX251)/4</f>
        <v>0</v>
      </c>
      <c r="BZ251" s="11" t="n">
        <f aca="false">(BU251/AR251)</f>
        <v>0</v>
      </c>
      <c r="CA251" s="11" t="n">
        <f aca="false">(BV251/AS251)</f>
        <v>0</v>
      </c>
      <c r="CB251" s="11" t="n">
        <f aca="false">(BW251/AT251)</f>
        <v>0</v>
      </c>
      <c r="CC251" s="11" t="n">
        <f aca="false">(BX251/AU251)</f>
        <v>0</v>
      </c>
      <c r="CD251" s="11" t="n">
        <f aca="false">(BY251/AV251)</f>
        <v>0</v>
      </c>
      <c r="CE251" s="11" t="n">
        <f aca="false">(100*CD251)</f>
        <v>0</v>
      </c>
      <c r="CF251" s="9" t="n">
        <v>0</v>
      </c>
      <c r="CG251" s="9" t="n">
        <v>0</v>
      </c>
      <c r="CH251" s="9" t="n">
        <v>0</v>
      </c>
      <c r="CI251" s="9" t="n">
        <v>4</v>
      </c>
      <c r="CJ251" s="9" t="n">
        <v>4</v>
      </c>
      <c r="CK251" s="9"/>
      <c r="CL251" s="9"/>
      <c r="CM251" s="9"/>
      <c r="CN251" s="19"/>
      <c r="CO251" s="9" t="n">
        <f aca="false">(CJ251/AP251)</f>
        <v>0.0579710144927536</v>
      </c>
      <c r="CP251" s="9" t="n">
        <f aca="false">(CK251/AQ251)</f>
        <v>0</v>
      </c>
      <c r="CQ251" s="9" t="n">
        <f aca="false">(100*CP251)</f>
        <v>0</v>
      </c>
      <c r="CR251" s="18" t="n">
        <v>0</v>
      </c>
      <c r="CS251" s="9" t="n">
        <v>53.6</v>
      </c>
      <c r="CT251" s="9" t="n">
        <v>70.9</v>
      </c>
      <c r="CU251" s="9" t="n">
        <v>69.6</v>
      </c>
      <c r="CV251" s="9" t="n">
        <v>71.2</v>
      </c>
      <c r="CW251" s="11" t="n">
        <f aca="false">(CS251+CT251+CU251+CV251)/4</f>
        <v>66.325</v>
      </c>
      <c r="CX251" s="9" t="n">
        <v>0</v>
      </c>
      <c r="CY251" s="9" t="n">
        <v>0</v>
      </c>
      <c r="CZ251" s="9" t="n">
        <v>0</v>
      </c>
      <c r="DA251" s="9" t="n">
        <v>0</v>
      </c>
      <c r="DB251" s="11" t="n">
        <f aca="false">(CX251+CY251+CZ251+DA251)/4</f>
        <v>0</v>
      </c>
      <c r="DC251" s="9" t="n">
        <v>1</v>
      </c>
      <c r="DD251" s="9" t="n">
        <v>1</v>
      </c>
      <c r="DE251" s="9" t="n">
        <v>1</v>
      </c>
      <c r="DF251" s="9" t="n">
        <v>1</v>
      </c>
      <c r="DG251" s="11" t="n">
        <f aca="false">(DC251+DD251+DE251+DF251)/4</f>
        <v>1</v>
      </c>
      <c r="DH251" s="9" t="n">
        <v>1</v>
      </c>
      <c r="DI251" s="9" t="n">
        <v>1</v>
      </c>
      <c r="DJ251" s="9" t="n">
        <v>1</v>
      </c>
      <c r="DK251" s="9" t="n">
        <v>1</v>
      </c>
      <c r="DL251" s="11" t="n">
        <f aca="false">(DH251+DI251+DJ251+DK251)/4</f>
        <v>1</v>
      </c>
      <c r="DM251" s="9" t="n">
        <v>102</v>
      </c>
      <c r="DN251" s="9" t="n">
        <v>108</v>
      </c>
      <c r="DO251" s="9" t="n">
        <v>63</v>
      </c>
      <c r="DP251" s="9" t="n">
        <v>98</v>
      </c>
      <c r="DQ251" s="11" t="n">
        <f aca="false">(DM251+DN251+DO251+DP251)/4</f>
        <v>92.75</v>
      </c>
      <c r="DR251" s="9" t="n">
        <v>11</v>
      </c>
      <c r="DS251" s="9" t="n">
        <v>14</v>
      </c>
      <c r="DT251" s="9" t="n">
        <v>16</v>
      </c>
      <c r="DU251" s="9" t="n">
        <v>14</v>
      </c>
      <c r="DV251" s="11" t="n">
        <f aca="false">(DR251+DS251+DT251+DU251)/4</f>
        <v>13.75</v>
      </c>
      <c r="DW251" s="9" t="n">
        <v>0</v>
      </c>
      <c r="DX251" s="9" t="n">
        <v>0</v>
      </c>
      <c r="DY251" s="9" t="n">
        <v>0</v>
      </c>
      <c r="DZ251" s="9" t="n">
        <v>0</v>
      </c>
      <c r="EA251" s="11" t="n">
        <f aca="false">(DW251+DX251+DY251+DZ251)/4</f>
        <v>0</v>
      </c>
      <c r="EB251" s="11" t="n">
        <f aca="false">(DW251/DR251)</f>
        <v>0</v>
      </c>
      <c r="EC251" s="11" t="n">
        <f aca="false">(DX251/DS251)</f>
        <v>0</v>
      </c>
      <c r="ED251" s="11" t="n">
        <f aca="false">(DY251/DT251)</f>
        <v>0</v>
      </c>
      <c r="EE251" s="11" t="n">
        <f aca="false">(DZ251/DU251)</f>
        <v>0</v>
      </c>
      <c r="EF251" s="11" t="n">
        <f aca="false">(EA251/DV251)</f>
        <v>0</v>
      </c>
      <c r="EG251" s="11" t="n">
        <f aca="false">(100*EF251)</f>
        <v>0</v>
      </c>
      <c r="EH251" s="9" t="n">
        <v>0</v>
      </c>
      <c r="EI251" s="9" t="n">
        <v>6</v>
      </c>
      <c r="EJ251" s="9" t="n">
        <v>3</v>
      </c>
      <c r="EK251" s="19" t="n">
        <v>5</v>
      </c>
      <c r="EL251" s="9" t="n">
        <v>3</v>
      </c>
      <c r="EM251" s="9" t="n">
        <f aca="false">(EI251+EJ251+EK251+EL251)/4</f>
        <v>4.25</v>
      </c>
      <c r="EN251" s="9" t="n">
        <f aca="false">(EI251/DR251)</f>
        <v>0.545454545454545</v>
      </c>
      <c r="EO251" s="9" t="n">
        <f aca="false">(EJ251/DS251)</f>
        <v>0.214285714285714</v>
      </c>
      <c r="EP251" s="9" t="n">
        <f aca="false">(EK251/DT251)</f>
        <v>0.3125</v>
      </c>
      <c r="EQ251" s="9" t="n">
        <f aca="false">(EL251/DU251)</f>
        <v>0.214285714285714</v>
      </c>
      <c r="ER251" s="9" t="n">
        <f aca="false">EM251/DV251</f>
        <v>0.309090909090909</v>
      </c>
      <c r="ES251" s="9" t="n">
        <f aca="false">(100*ER251)</f>
        <v>30.9090909090909</v>
      </c>
      <c r="ET251" s="9" t="n">
        <v>3</v>
      </c>
      <c r="EU251" s="18" t="n">
        <v>0</v>
      </c>
      <c r="EV251" s="9" t="n">
        <v>0</v>
      </c>
      <c r="EW251" s="9" t="n">
        <v>0</v>
      </c>
      <c r="EX251" s="9" t="n">
        <v>0</v>
      </c>
      <c r="EY251" s="11" t="n">
        <f aca="false">(EU251+EV251+EW251+EX251)/4</f>
        <v>0</v>
      </c>
      <c r="EZ251" s="11" t="n">
        <f aca="false">(EU251/DR251)</f>
        <v>0</v>
      </c>
      <c r="FA251" s="11" t="n">
        <f aca="false">(EV251/DS251)</f>
        <v>0</v>
      </c>
      <c r="FB251" s="11" t="n">
        <f aca="false">(EW251/DT251)</f>
        <v>0</v>
      </c>
      <c r="FC251" s="11" t="n">
        <f aca="false">(EX251/DU251)</f>
        <v>0</v>
      </c>
      <c r="FD251" s="11" t="n">
        <f aca="false">(EY251/DV251)</f>
        <v>0</v>
      </c>
      <c r="FE251" s="11" t="n">
        <f aca="false">(100*FD251)</f>
        <v>0</v>
      </c>
      <c r="FF251" s="9" t="n">
        <v>0</v>
      </c>
      <c r="FG251" s="9" t="n">
        <v>20</v>
      </c>
      <c r="FH251" s="9" t="n">
        <v>9</v>
      </c>
      <c r="FI251" s="9" t="n">
        <v>3</v>
      </c>
      <c r="FJ251" s="9" t="n">
        <v>5</v>
      </c>
      <c r="FK251" s="11" t="n">
        <f aca="false">(FG251+FH251+FI251+FJ251)/4</f>
        <v>9.25</v>
      </c>
      <c r="FL251" s="11" t="n">
        <f aca="false">(FG251/DR251)</f>
        <v>1.81818181818182</v>
      </c>
      <c r="FM251" s="11" t="n">
        <f aca="false">(FH251/DS251)</f>
        <v>0.642857142857143</v>
      </c>
      <c r="FN251" s="11" t="n">
        <f aca="false">(FI251/DT251)</f>
        <v>0.1875</v>
      </c>
      <c r="FO251" s="11" t="n">
        <f aca="false">(FJ251/DU251)</f>
        <v>0.357142857142857</v>
      </c>
      <c r="FP251" s="11" t="n">
        <f aca="false">(FK251/DV251)</f>
        <v>0.672727272727273</v>
      </c>
      <c r="FQ251" s="11" t="n">
        <f aca="false">(100*FP251)</f>
        <v>67.2727272727273</v>
      </c>
      <c r="FR251" s="9" t="n">
        <v>3</v>
      </c>
      <c r="FS251" s="9" t="n">
        <v>55.6</v>
      </c>
      <c r="FT251" s="9" t="n">
        <v>70.9</v>
      </c>
      <c r="FU251" s="9" t="n">
        <v>72.9</v>
      </c>
      <c r="FV251" s="9" t="n">
        <v>65.9</v>
      </c>
      <c r="FW251" s="11" t="n">
        <f aca="false">(FS251+FT251+FU251+FV251)/4</f>
        <v>66.325</v>
      </c>
      <c r="FX251" s="9" t="n">
        <v>0</v>
      </c>
      <c r="FY251" s="9" t="n">
        <v>0</v>
      </c>
      <c r="FZ251" s="9" t="n">
        <v>0</v>
      </c>
      <c r="GA251" s="9" t="n">
        <v>0</v>
      </c>
      <c r="GB251" s="11" t="n">
        <f aca="false">(FX251+FY251+FZ251+GA251)/4</f>
        <v>0</v>
      </c>
      <c r="GC251" s="9" t="n">
        <v>1</v>
      </c>
      <c r="GD251" s="9" t="n">
        <v>0</v>
      </c>
      <c r="GE251" s="9" t="n">
        <v>1</v>
      </c>
      <c r="GF251" s="9" t="n">
        <v>1</v>
      </c>
      <c r="GG251" s="11" t="n">
        <f aca="false">(GC251+GD251+GE251+GF251)/4</f>
        <v>0.75</v>
      </c>
      <c r="GH251" s="9" t="n">
        <v>1</v>
      </c>
      <c r="GI251" s="9" t="n">
        <v>1</v>
      </c>
      <c r="GJ251" s="9" t="n">
        <v>1</v>
      </c>
      <c r="GK251" s="9" t="n">
        <v>1</v>
      </c>
      <c r="GL251" s="11" t="n">
        <f aca="false">(GH251+GI251+GJ251+GK251)/4</f>
        <v>1</v>
      </c>
      <c r="GM251" s="9" t="n">
        <v>132</v>
      </c>
      <c r="GN251" s="9" t="n">
        <v>125</v>
      </c>
      <c r="GO251" s="9" t="n">
        <v>140</v>
      </c>
      <c r="GP251" s="9" t="n">
        <v>66</v>
      </c>
      <c r="GQ251" s="11" t="n">
        <f aca="false">(GM251+GN251+GO251+GP251)/4</f>
        <v>115.75</v>
      </c>
      <c r="GR251" s="9" t="n">
        <v>8</v>
      </c>
      <c r="GS251" s="9" t="n">
        <v>9</v>
      </c>
      <c r="GT251" s="9" t="n">
        <v>13</v>
      </c>
      <c r="GU251" s="9" t="n">
        <v>23</v>
      </c>
      <c r="GV251" s="11" t="n">
        <f aca="false">(GR251+GS251+GT251+GU251)/4</f>
        <v>13.25</v>
      </c>
      <c r="GW251" s="9" t="n">
        <v>0</v>
      </c>
      <c r="GX251" s="9" t="n">
        <v>0</v>
      </c>
      <c r="GY251" s="9" t="n">
        <v>0</v>
      </c>
      <c r="GZ251" s="9" t="n">
        <v>0</v>
      </c>
      <c r="HA251" s="11" t="n">
        <f aca="false">(GW251+GX251+GY251+GZ251)/4</f>
        <v>0</v>
      </c>
      <c r="HB251" s="9"/>
      <c r="HC251" s="9" t="n">
        <f aca="false">(GX251/GS251)</f>
        <v>0</v>
      </c>
      <c r="HD251" s="9" t="n">
        <f aca="false">(GY251/GT251)</f>
        <v>0</v>
      </c>
      <c r="HE251" s="9" t="n">
        <f aca="false">(GZ251/GU251)/4</f>
        <v>0</v>
      </c>
      <c r="HF251" s="9" t="n">
        <f aca="false">(HB251+HC251+HD251+HE251)/4</f>
        <v>0</v>
      </c>
      <c r="HG251" s="9" t="n">
        <f aca="false">(100*HF251)</f>
        <v>0</v>
      </c>
      <c r="HH251" s="18" t="n">
        <v>0</v>
      </c>
      <c r="HI251" s="9" t="n">
        <v>4</v>
      </c>
      <c r="HJ251" s="9" t="n">
        <v>0</v>
      </c>
      <c r="HK251" s="9" t="n">
        <v>4</v>
      </c>
      <c r="HL251" s="19" t="n">
        <v>7</v>
      </c>
      <c r="HM251" s="9" t="n">
        <f aca="false">(HI251+HJ251+HK251+HL251)/4</f>
        <v>3.75</v>
      </c>
      <c r="HN251" s="9" t="n">
        <f aca="false">(HI251/GR251)</f>
        <v>0.5</v>
      </c>
      <c r="HO251" s="9" t="n">
        <f aca="false">(HJ251/GS251)</f>
        <v>0</v>
      </c>
      <c r="HP251" s="9" t="n">
        <f aca="false">(HK251/GT251)</f>
        <v>0.307692307692308</v>
      </c>
      <c r="HQ251" s="9" t="n">
        <f aca="false">(HL251/GU251)</f>
        <v>0.304347826086957</v>
      </c>
      <c r="HR251" s="9" t="n">
        <f aca="false">(HM251/GV251)</f>
        <v>0.283018867924528</v>
      </c>
      <c r="HS251" s="9" t="n">
        <f aca="false">(100*HR251)</f>
        <v>28.3018867924528</v>
      </c>
      <c r="HT251" s="18" t="n">
        <v>2</v>
      </c>
      <c r="HU251" s="9" t="n">
        <v>0</v>
      </c>
      <c r="HV251" s="9" t="n">
        <v>0</v>
      </c>
      <c r="HW251" s="9" t="n">
        <v>0</v>
      </c>
      <c r="HX251" s="19" t="n">
        <v>0</v>
      </c>
      <c r="HY251" s="9" t="n">
        <f aca="false">(HU251+HV251+HW251+HX251)/4</f>
        <v>0</v>
      </c>
      <c r="HZ251" s="9" t="n">
        <f aca="false">(HU251/GR251)</f>
        <v>0</v>
      </c>
      <c r="IA251" s="9" t="n">
        <f aca="false">HV251/GS251</f>
        <v>0</v>
      </c>
      <c r="IB251" s="9" t="n">
        <f aca="false">(HW251/GT251)</f>
        <v>0</v>
      </c>
      <c r="IC251" s="9" t="n">
        <f aca="false">(HX251/GU251)</f>
        <v>0</v>
      </c>
      <c r="ID251" s="9" t="n">
        <f aca="false">(HY251/GV251)</f>
        <v>0</v>
      </c>
      <c r="IE251" s="9" t="n">
        <f aca="false">(100*ID251)</f>
        <v>0</v>
      </c>
      <c r="IF251" s="18" t="n">
        <v>0</v>
      </c>
      <c r="IG251" s="9" t="n">
        <v>1</v>
      </c>
      <c r="IH251" s="9" t="n">
        <v>11</v>
      </c>
      <c r="II251" s="19" t="n">
        <v>1</v>
      </c>
      <c r="IJ251" s="9" t="n">
        <v>1</v>
      </c>
      <c r="IK251" s="9" t="n">
        <f aca="false">(IG251+IH251+II251+IJ251)/4</f>
        <v>3.5</v>
      </c>
      <c r="IL251" s="9" t="n">
        <f aca="false">(IG251/GM251)</f>
        <v>0.00757575757575758</v>
      </c>
      <c r="IM251" s="9" t="n">
        <f aca="false">(IH251/GN251)</f>
        <v>0.088</v>
      </c>
      <c r="IN251" s="9" t="n">
        <f aca="false">(II251/GO251)</f>
        <v>0.00714285714285714</v>
      </c>
      <c r="IO251" s="9" t="n">
        <f aca="false">(IJ251/GP251)</f>
        <v>0.0151515151515152</v>
      </c>
      <c r="IP251" s="9" t="n">
        <f aca="false">(IK251/GQ251)</f>
        <v>0.0302375809935205</v>
      </c>
      <c r="IQ251" s="9" t="n">
        <f aca="false">(100*IP251)</f>
        <v>3.02375809935205</v>
      </c>
      <c r="IR251" s="18" t="n">
        <v>1</v>
      </c>
      <c r="IS251" s="9" t="n">
        <v>56.1</v>
      </c>
      <c r="IT251" s="9" t="n">
        <v>59.2</v>
      </c>
      <c r="IU251" s="19" t="n">
        <v>68.8</v>
      </c>
      <c r="IV251" s="9" t="n">
        <v>79</v>
      </c>
      <c r="IW251" s="9" t="n">
        <f aca="false">(IS251+IT251+IU251+IV251)/4</f>
        <v>65.775</v>
      </c>
      <c r="IX251" s="16" t="n">
        <v>45204</v>
      </c>
      <c r="IY251" s="10" t="s">
        <v>268</v>
      </c>
    </row>
    <row r="252" customFormat="false" ht="15.75" hidden="false" customHeight="true" outlineLevel="0" collapsed="false">
      <c r="A252" s="9" t="s">
        <v>370</v>
      </c>
      <c r="B252" s="10" t="s">
        <v>823</v>
      </c>
      <c r="C252" s="10" t="s">
        <v>727</v>
      </c>
      <c r="D252" s="9" t="n">
        <v>3</v>
      </c>
      <c r="E252" s="9" t="n">
        <v>84</v>
      </c>
      <c r="F252" s="10" t="s">
        <v>827</v>
      </c>
      <c r="G252" s="10" t="s">
        <v>320</v>
      </c>
      <c r="H252" s="9" t="n">
        <v>21</v>
      </c>
      <c r="I252" s="9" t="n">
        <v>10</v>
      </c>
      <c r="J252" s="12" t="s">
        <v>270</v>
      </c>
      <c r="K252" s="20"/>
      <c r="L252" s="20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 t="n">
        <v>1</v>
      </c>
      <c r="Y252" s="9" t="n">
        <v>1</v>
      </c>
      <c r="Z252" s="9" t="n">
        <v>1</v>
      </c>
      <c r="AA252" s="9" t="n">
        <v>0</v>
      </c>
      <c r="AB252" s="11" t="n">
        <f aca="false">(X252+Y252+Z252+AA252)/4</f>
        <v>0.75</v>
      </c>
      <c r="AC252" s="9" t="n">
        <v>0</v>
      </c>
      <c r="AD252" s="9" t="n">
        <v>0</v>
      </c>
      <c r="AE252" s="9" t="n">
        <v>0</v>
      </c>
      <c r="AF252" s="9" t="n">
        <v>0</v>
      </c>
      <c r="AG252" s="11" t="n">
        <f aca="false">(AC252+AD252+AE252+AF252)/4</f>
        <v>0</v>
      </c>
      <c r="AH252" s="9" t="n">
        <v>0</v>
      </c>
      <c r="AI252" s="9" t="n">
        <v>0</v>
      </c>
      <c r="AJ252" s="9" t="n">
        <v>0</v>
      </c>
      <c r="AK252" s="9" t="n">
        <v>0</v>
      </c>
      <c r="AL252" s="11" t="n">
        <f aca="false">(AH252+AI252+AJ252+AK252)/4</f>
        <v>0</v>
      </c>
      <c r="AM252" s="9" t="n">
        <v>41</v>
      </c>
      <c r="AN252" s="9" t="n">
        <v>36</v>
      </c>
      <c r="AO252" s="9" t="n">
        <v>90</v>
      </c>
      <c r="AP252" s="9" t="n">
        <v>186</v>
      </c>
      <c r="AQ252" s="11" t="n">
        <f aca="false">(AM252+AN252+AO252+AP252)/4</f>
        <v>88.25</v>
      </c>
      <c r="AR252" s="9" t="n">
        <v>26</v>
      </c>
      <c r="AS252" s="9" t="n">
        <v>11</v>
      </c>
      <c r="AT252" s="9" t="n">
        <v>28</v>
      </c>
      <c r="AU252" s="9" t="n">
        <v>31</v>
      </c>
      <c r="AV252" s="11" t="n">
        <f aca="false">(AR252+AS252+AT252+AU252)/4</f>
        <v>24</v>
      </c>
      <c r="AW252" s="9" t="n">
        <v>2</v>
      </c>
      <c r="AX252" s="9" t="n">
        <v>3</v>
      </c>
      <c r="AY252" s="9" t="n">
        <v>1</v>
      </c>
      <c r="AZ252" s="9" t="n">
        <v>0</v>
      </c>
      <c r="BA252" s="11" t="n">
        <f aca="false">(AW252+AX252+AY252+AZ252)/4</f>
        <v>1.5</v>
      </c>
      <c r="BB252" s="11" t="n">
        <f aca="false">(AW252/AR252)</f>
        <v>0.0769230769230769</v>
      </c>
      <c r="BC252" s="11" t="n">
        <f aca="false">(AX252/AS252)</f>
        <v>0.272727272727273</v>
      </c>
      <c r="BD252" s="11" t="n">
        <f aca="false">(AY252/AT252)</f>
        <v>0.0357142857142857</v>
      </c>
      <c r="BE252" s="11" t="n">
        <f aca="false">(AZ252/AU252)</f>
        <v>0</v>
      </c>
      <c r="BF252" s="11" t="n">
        <f aca="false">(BA252/AV252)</f>
        <v>0.0625</v>
      </c>
      <c r="BG252" s="11" t="n">
        <f aca="false">(BF252*100)</f>
        <v>6.25</v>
      </c>
      <c r="BH252" s="9" t="n">
        <v>1</v>
      </c>
      <c r="BI252" s="9" t="n">
        <v>0</v>
      </c>
      <c r="BJ252" s="9" t="n">
        <v>0</v>
      </c>
      <c r="BK252" s="9" t="n">
        <v>0</v>
      </c>
      <c r="BL252" s="9" t="n">
        <v>0</v>
      </c>
      <c r="BM252" s="11" t="n">
        <f aca="false">(BI252+BJ252+BK252+BL252)/4</f>
        <v>0</v>
      </c>
      <c r="BN252" s="11" t="n">
        <f aca="false">(BI252/AR252)</f>
        <v>0</v>
      </c>
      <c r="BO252" s="11" t="n">
        <f aca="false">(BJ252/AS252)</f>
        <v>0</v>
      </c>
      <c r="BP252" s="11" t="n">
        <f aca="false">(BK252/AT252)</f>
        <v>0</v>
      </c>
      <c r="BQ252" s="11" t="n">
        <f aca="false">(BL252/AU252)</f>
        <v>0</v>
      </c>
      <c r="BR252" s="11" t="n">
        <f aca="false">(BM252/AV252)</f>
        <v>0</v>
      </c>
      <c r="BS252" s="11" t="n">
        <f aca="false">(100*BR252)</f>
        <v>0</v>
      </c>
      <c r="BT252" s="9" t="n">
        <v>0</v>
      </c>
      <c r="BU252" s="9" t="n">
        <v>0</v>
      </c>
      <c r="BV252" s="9" t="n">
        <v>0</v>
      </c>
      <c r="BW252" s="9" t="n">
        <v>0</v>
      </c>
      <c r="BX252" s="9" t="n">
        <v>0</v>
      </c>
      <c r="BY252" s="11" t="n">
        <f aca="false">(BU252+BV252+BW252+BX252)/4</f>
        <v>0</v>
      </c>
      <c r="BZ252" s="11" t="n">
        <f aca="false">(BU252/AR252)</f>
        <v>0</v>
      </c>
      <c r="CA252" s="11" t="n">
        <f aca="false">(BV252/AS252)</f>
        <v>0</v>
      </c>
      <c r="CB252" s="11" t="n">
        <f aca="false">(BW252/AT252)</f>
        <v>0</v>
      </c>
      <c r="CC252" s="11" t="n">
        <f aca="false">(BX252/AU252)</f>
        <v>0</v>
      </c>
      <c r="CD252" s="11" t="n">
        <f aca="false">(BY252/AV252)</f>
        <v>0</v>
      </c>
      <c r="CE252" s="11" t="n">
        <f aca="false">(100*CD252)</f>
        <v>0</v>
      </c>
      <c r="CF252" s="9" t="n">
        <v>0</v>
      </c>
      <c r="CG252" s="9" t="n">
        <v>0</v>
      </c>
      <c r="CH252" s="9" t="n">
        <v>0</v>
      </c>
      <c r="CI252" s="9" t="n">
        <v>0</v>
      </c>
      <c r="CJ252" s="9" t="n">
        <v>0</v>
      </c>
      <c r="CK252" s="9"/>
      <c r="CL252" s="9"/>
      <c r="CM252" s="9"/>
      <c r="CN252" s="19"/>
      <c r="CO252" s="9" t="n">
        <f aca="false">(CJ252/AP252)</f>
        <v>0</v>
      </c>
      <c r="CP252" s="9" t="n">
        <f aca="false">(CK252/AQ252)</f>
        <v>0</v>
      </c>
      <c r="CQ252" s="9" t="n">
        <f aca="false">(100*CP252)</f>
        <v>0</v>
      </c>
      <c r="CR252" s="18" t="n">
        <v>0</v>
      </c>
      <c r="CS252" s="9" t="n">
        <v>62.2</v>
      </c>
      <c r="CT252" s="9" t="n">
        <v>41.1</v>
      </c>
      <c r="CU252" s="9" t="n">
        <v>57.4</v>
      </c>
      <c r="CV252" s="9" t="n">
        <v>57.4</v>
      </c>
      <c r="CW252" s="11" t="n">
        <f aca="false">(CS252+CT252+CU252+CV252)/4</f>
        <v>54.525</v>
      </c>
      <c r="CX252" s="9" t="n">
        <v>0</v>
      </c>
      <c r="CY252" s="9" t="n">
        <v>0</v>
      </c>
      <c r="CZ252" s="9" t="n">
        <v>0</v>
      </c>
      <c r="DA252" s="9" t="n">
        <v>0</v>
      </c>
      <c r="DB252" s="11" t="n">
        <f aca="false">(CX252+CY252+CZ252+DA252)/4</f>
        <v>0</v>
      </c>
      <c r="DC252" s="9" t="n">
        <v>1</v>
      </c>
      <c r="DD252" s="9" t="n">
        <v>0</v>
      </c>
      <c r="DE252" s="9" t="n">
        <v>1</v>
      </c>
      <c r="DF252" s="9" t="n">
        <v>1</v>
      </c>
      <c r="DG252" s="11" t="n">
        <f aca="false">(DC252+DD252+DE252+DF252)/4</f>
        <v>0.75</v>
      </c>
      <c r="DH252" s="9" t="n">
        <v>1</v>
      </c>
      <c r="DI252" s="9" t="n">
        <v>1</v>
      </c>
      <c r="DJ252" s="9" t="n">
        <v>1</v>
      </c>
      <c r="DK252" s="9" t="n">
        <v>0</v>
      </c>
      <c r="DL252" s="11" t="n">
        <f aca="false">(DH252+DI252+DJ252+DK252)/4</f>
        <v>0.75</v>
      </c>
      <c r="DM252" s="11" t="n">
        <v>71</v>
      </c>
      <c r="DN252" s="11" t="n">
        <v>149</v>
      </c>
      <c r="DO252" s="11" t="n">
        <v>114</v>
      </c>
      <c r="DP252" s="11" t="n">
        <v>222</v>
      </c>
      <c r="DQ252" s="11" t="n">
        <f aca="false">(DM252+DN252+DO252+DP252)/4</f>
        <v>139</v>
      </c>
      <c r="DR252" s="9" t="n">
        <v>12</v>
      </c>
      <c r="DS252" s="9" t="n">
        <v>28</v>
      </c>
      <c r="DT252" s="9" t="n">
        <v>35</v>
      </c>
      <c r="DU252" s="9" t="n">
        <v>53</v>
      </c>
      <c r="DV252" s="11" t="n">
        <f aca="false">(DR252+DS252+DT252+DU252)/4</f>
        <v>32</v>
      </c>
      <c r="DW252" s="9" t="n">
        <v>0</v>
      </c>
      <c r="DX252" s="9" t="n">
        <v>0</v>
      </c>
      <c r="DY252" s="9" t="n">
        <v>0</v>
      </c>
      <c r="DZ252" s="9" t="n">
        <v>0</v>
      </c>
      <c r="EA252" s="11" t="n">
        <f aca="false">(DW252+DX252+DY252+DZ252)/4</f>
        <v>0</v>
      </c>
      <c r="EB252" s="11" t="n">
        <f aca="false">(DW252/DR252)</f>
        <v>0</v>
      </c>
      <c r="EC252" s="11" t="n">
        <f aca="false">(DX252/DS252)</f>
        <v>0</v>
      </c>
      <c r="ED252" s="11" t="n">
        <f aca="false">(DY252/DT252)</f>
        <v>0</v>
      </c>
      <c r="EE252" s="11" t="n">
        <f aca="false">(DZ252/DU252)</f>
        <v>0</v>
      </c>
      <c r="EF252" s="11" t="n">
        <f aca="false">(EA252/DV252)</f>
        <v>0</v>
      </c>
      <c r="EG252" s="11" t="n">
        <f aca="false">(100*EF252)</f>
        <v>0</v>
      </c>
      <c r="EH252" s="9" t="n">
        <v>0</v>
      </c>
      <c r="EI252" s="9" t="n">
        <v>1</v>
      </c>
      <c r="EJ252" s="9" t="n">
        <v>0</v>
      </c>
      <c r="EK252" s="19" t="n">
        <v>1</v>
      </c>
      <c r="EL252" s="9" t="n">
        <v>2</v>
      </c>
      <c r="EM252" s="9" t="n">
        <f aca="false">(EI252+EJ252+EK252+EL252)/4</f>
        <v>1</v>
      </c>
      <c r="EN252" s="9" t="n">
        <f aca="false">(EI252/DR252)</f>
        <v>0.0833333333333333</v>
      </c>
      <c r="EO252" s="9" t="n">
        <f aca="false">(EJ252/DS252)</f>
        <v>0</v>
      </c>
      <c r="EP252" s="9" t="n">
        <f aca="false">(EK252/DT252)</f>
        <v>0.0285714285714286</v>
      </c>
      <c r="EQ252" s="9" t="n">
        <f aca="false">(EL252/DU252)</f>
        <v>0.0377358490566038</v>
      </c>
      <c r="ER252" s="9" t="n">
        <f aca="false">EM252/DV252</f>
        <v>0.03125</v>
      </c>
      <c r="ES252" s="9" t="n">
        <f aca="false">(100*ER252)</f>
        <v>3.125</v>
      </c>
      <c r="ET252" s="9" t="n">
        <v>1</v>
      </c>
      <c r="EU252" s="18" t="n">
        <v>0</v>
      </c>
      <c r="EV252" s="9" t="n">
        <v>0</v>
      </c>
      <c r="EW252" s="9" t="n">
        <v>0</v>
      </c>
      <c r="EX252" s="9" t="n">
        <v>0</v>
      </c>
      <c r="EY252" s="11" t="n">
        <f aca="false">(EU252+EV252+EW252+EX252)/4</f>
        <v>0</v>
      </c>
      <c r="EZ252" s="11" t="n">
        <f aca="false">(EU252/DR252)</f>
        <v>0</v>
      </c>
      <c r="FA252" s="11" t="n">
        <f aca="false">(EV252/DS252)</f>
        <v>0</v>
      </c>
      <c r="FB252" s="11" t="n">
        <f aca="false">(EW252/DT252)</f>
        <v>0</v>
      </c>
      <c r="FC252" s="11" t="n">
        <f aca="false">(EX252/DU252)</f>
        <v>0</v>
      </c>
      <c r="FD252" s="11" t="n">
        <f aca="false">(EY252/DV252)</f>
        <v>0</v>
      </c>
      <c r="FE252" s="11" t="n">
        <f aca="false">(100*FD252)</f>
        <v>0</v>
      </c>
      <c r="FF252" s="9" t="n">
        <v>0</v>
      </c>
      <c r="FG252" s="9" t="n">
        <v>9</v>
      </c>
      <c r="FH252" s="9" t="n">
        <v>15</v>
      </c>
      <c r="FI252" s="9" t="n">
        <v>11</v>
      </c>
      <c r="FJ252" s="9" t="n">
        <v>0</v>
      </c>
      <c r="FK252" s="11" t="n">
        <f aca="false">(FG252+FH252+FI252+FJ252)/4</f>
        <v>8.75</v>
      </c>
      <c r="FL252" s="11" t="n">
        <f aca="false">(FG252/DR252)</f>
        <v>0.75</v>
      </c>
      <c r="FM252" s="11" t="n">
        <f aca="false">(FH252/DS252)</f>
        <v>0.535714285714286</v>
      </c>
      <c r="FN252" s="11" t="n">
        <f aca="false">(FI252/DT252)</f>
        <v>0.314285714285714</v>
      </c>
      <c r="FO252" s="11" t="n">
        <f aca="false">(FJ252/DU252)</f>
        <v>0</v>
      </c>
      <c r="FP252" s="11" t="n">
        <f aca="false">(FK252/DV252)</f>
        <v>0.2734375</v>
      </c>
      <c r="FQ252" s="11" t="n">
        <f aca="false">(100*FP252)</f>
        <v>27.34375</v>
      </c>
      <c r="FR252" s="9" t="n">
        <v>2</v>
      </c>
      <c r="FS252" s="9" t="n">
        <v>53.5</v>
      </c>
      <c r="FT252" s="9" t="n">
        <v>63.8</v>
      </c>
      <c r="FU252" s="9" t="n">
        <v>64.3</v>
      </c>
      <c r="FV252" s="9" t="n">
        <v>68.1</v>
      </c>
      <c r="FW252" s="11" t="n">
        <f aca="false">(FS252+FT252+FU252+FV252)/4</f>
        <v>62.425</v>
      </c>
      <c r="FX252" s="9" t="n">
        <v>0</v>
      </c>
      <c r="FY252" s="9" t="n">
        <v>0</v>
      </c>
      <c r="FZ252" s="9" t="n">
        <v>0</v>
      </c>
      <c r="GA252" s="9" t="n">
        <v>0</v>
      </c>
      <c r="GB252" s="11" t="n">
        <f aca="false">(FX252+FY252+FZ252+GA252)/4</f>
        <v>0</v>
      </c>
      <c r="GC252" s="9" t="n">
        <v>0</v>
      </c>
      <c r="GD252" s="9" t="n">
        <v>0</v>
      </c>
      <c r="GE252" s="9" t="n">
        <v>0</v>
      </c>
      <c r="GF252" s="9" t="n">
        <v>0</v>
      </c>
      <c r="GG252" s="11" t="n">
        <f aca="false">(GC252+GD252+GE252+GF252)/4</f>
        <v>0</v>
      </c>
      <c r="GH252" s="9" t="n">
        <v>1</v>
      </c>
      <c r="GI252" s="9" t="n">
        <v>0</v>
      </c>
      <c r="GJ252" s="9" t="n">
        <v>1</v>
      </c>
      <c r="GK252" s="9" t="n">
        <v>1</v>
      </c>
      <c r="GL252" s="11" t="n">
        <f aca="false">(GH252+GI252+GJ252+GK252)/4</f>
        <v>0.75</v>
      </c>
      <c r="GM252" s="9" t="n">
        <v>156</v>
      </c>
      <c r="GN252" s="9" t="n">
        <v>68</v>
      </c>
      <c r="GO252" s="9" t="n">
        <v>65</v>
      </c>
      <c r="GP252" s="9" t="n">
        <v>115</v>
      </c>
      <c r="GQ252" s="11" t="n">
        <f aca="false">(GM252+GN252+GO252+GP252)/4</f>
        <v>101</v>
      </c>
      <c r="GR252" s="9" t="n">
        <v>57</v>
      </c>
      <c r="GS252" s="9" t="n">
        <v>27</v>
      </c>
      <c r="GT252" s="9" t="n">
        <v>33</v>
      </c>
      <c r="GU252" s="9" t="n">
        <v>50</v>
      </c>
      <c r="GV252" s="11" t="n">
        <f aca="false">(GR252+GS252+GT252+GU252)/4</f>
        <v>41.75</v>
      </c>
      <c r="GW252" s="9" t="n">
        <v>0</v>
      </c>
      <c r="GX252" s="9" t="n">
        <v>0</v>
      </c>
      <c r="GY252" s="9" t="n">
        <v>0</v>
      </c>
      <c r="GZ252" s="9" t="n">
        <v>0</v>
      </c>
      <c r="HA252" s="11" t="n">
        <f aca="false">(GW252+GX252+GY252+GZ252)/4</f>
        <v>0</v>
      </c>
      <c r="HB252" s="9"/>
      <c r="HC252" s="9" t="n">
        <f aca="false">(GX252/GS252)</f>
        <v>0</v>
      </c>
      <c r="HD252" s="9" t="n">
        <f aca="false">(GY252/GT252)</f>
        <v>0</v>
      </c>
      <c r="HE252" s="9" t="n">
        <f aca="false">(GZ252/GU252)/4</f>
        <v>0</v>
      </c>
      <c r="HF252" s="9" t="n">
        <f aca="false">(HB252+HC252+HD252+HE252)/4</f>
        <v>0</v>
      </c>
      <c r="HG252" s="9" t="n">
        <f aca="false">(100*HF252)</f>
        <v>0</v>
      </c>
      <c r="HH252" s="18" t="n">
        <v>0</v>
      </c>
      <c r="HI252" s="9" t="n">
        <v>0</v>
      </c>
      <c r="HJ252" s="9" t="n">
        <v>0</v>
      </c>
      <c r="HK252" s="9" t="n">
        <v>0</v>
      </c>
      <c r="HL252" s="19" t="n">
        <v>0</v>
      </c>
      <c r="HM252" s="9" t="n">
        <f aca="false">(HI252+HJ252+HK252+HL252)/4</f>
        <v>0</v>
      </c>
      <c r="HN252" s="9" t="n">
        <f aca="false">(HI252/GR252)</f>
        <v>0</v>
      </c>
      <c r="HO252" s="9" t="n">
        <f aca="false">(HJ252/GS252)</f>
        <v>0</v>
      </c>
      <c r="HP252" s="9" t="n">
        <f aca="false">(HK252/GT252)</f>
        <v>0</v>
      </c>
      <c r="HQ252" s="9" t="n">
        <f aca="false">(HL252/GU252)</f>
        <v>0</v>
      </c>
      <c r="HR252" s="9" t="n">
        <f aca="false">(HM252/GV252)</f>
        <v>0</v>
      </c>
      <c r="HS252" s="9" t="n">
        <f aca="false">(100*HR252)</f>
        <v>0</v>
      </c>
      <c r="HT252" s="18" t="n">
        <v>0</v>
      </c>
      <c r="HU252" s="9" t="n">
        <v>3</v>
      </c>
      <c r="HV252" s="9" t="n">
        <v>0</v>
      </c>
      <c r="HW252" s="9" t="n">
        <v>10</v>
      </c>
      <c r="HX252" s="19" t="n">
        <v>15</v>
      </c>
      <c r="HY252" s="9" t="n">
        <f aca="false">(HU252+HV252+HW252+HX252)/4</f>
        <v>7</v>
      </c>
      <c r="HZ252" s="9" t="n">
        <f aca="false">(HU252/GR252)</f>
        <v>0.0526315789473684</v>
      </c>
      <c r="IA252" s="9" t="n">
        <f aca="false">HV252/GS252</f>
        <v>0</v>
      </c>
      <c r="IB252" s="9" t="n">
        <f aca="false">(HW252/GT252)</f>
        <v>0.303030303030303</v>
      </c>
      <c r="IC252" s="9" t="n">
        <f aca="false">(HX252/GU252)</f>
        <v>0.3</v>
      </c>
      <c r="ID252" s="9" t="n">
        <f aca="false">(HY252/GV252)</f>
        <v>0.167664670658683</v>
      </c>
      <c r="IE252" s="9" t="n">
        <f aca="false">(100*ID252)</f>
        <v>16.7664670658683</v>
      </c>
      <c r="IF252" s="18" t="n">
        <v>2</v>
      </c>
      <c r="IG252" s="9" t="n">
        <v>0</v>
      </c>
      <c r="IH252" s="9" t="n">
        <v>0</v>
      </c>
      <c r="II252" s="19" t="n">
        <v>0</v>
      </c>
      <c r="IJ252" s="9" t="n">
        <v>0</v>
      </c>
      <c r="IK252" s="9" t="n">
        <f aca="false">(IG252+IH252+II252+IJ252)/4</f>
        <v>0</v>
      </c>
      <c r="IL252" s="9" t="n">
        <f aca="false">(IG252/GM252)</f>
        <v>0</v>
      </c>
      <c r="IM252" s="9" t="n">
        <f aca="false">(IH252/GN252)</f>
        <v>0</v>
      </c>
      <c r="IN252" s="9" t="n">
        <f aca="false">(II252/GO252)</f>
        <v>0</v>
      </c>
      <c r="IO252" s="9" t="n">
        <f aca="false">(IJ252/GP252)</f>
        <v>0</v>
      </c>
      <c r="IP252" s="9" t="n">
        <f aca="false">(IK252/GQ252)</f>
        <v>0</v>
      </c>
      <c r="IQ252" s="9" t="n">
        <f aca="false">(100*IP252)</f>
        <v>0</v>
      </c>
      <c r="IR252" s="18" t="n">
        <v>0</v>
      </c>
      <c r="IS252" s="9" t="n">
        <v>69.7</v>
      </c>
      <c r="IT252" s="9" t="n">
        <v>75</v>
      </c>
      <c r="IU252" s="19" t="n">
        <v>71.1</v>
      </c>
      <c r="IV252" s="9" t="n">
        <v>74.1</v>
      </c>
      <c r="IW252" s="9" t="n">
        <f aca="false">(IS252+IT252+IU252+IV252)/4</f>
        <v>72.475</v>
      </c>
      <c r="IX252" s="16" t="n">
        <v>45204</v>
      </c>
      <c r="IY252" s="10" t="s">
        <v>268</v>
      </c>
    </row>
    <row r="253" customFormat="false" ht="15.75" hidden="false" customHeight="true" outlineLevel="0" collapsed="false">
      <c r="A253" s="9" t="s">
        <v>370</v>
      </c>
      <c r="B253" s="10" t="s">
        <v>823</v>
      </c>
      <c r="C253" s="10" t="s">
        <v>727</v>
      </c>
      <c r="D253" s="9" t="n">
        <v>3</v>
      </c>
      <c r="E253" s="9" t="n">
        <v>84</v>
      </c>
      <c r="F253" s="10" t="s">
        <v>828</v>
      </c>
      <c r="G253" s="10" t="s">
        <v>275</v>
      </c>
      <c r="H253" s="9" t="n">
        <v>21</v>
      </c>
      <c r="I253" s="9" t="n">
        <v>20</v>
      </c>
      <c r="J253" s="10" t="s">
        <v>272</v>
      </c>
      <c r="K253" s="20"/>
      <c r="L253" s="20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 t="n">
        <v>0</v>
      </c>
      <c r="Y253" s="9" t="n">
        <v>0</v>
      </c>
      <c r="Z253" s="9" t="n">
        <v>0</v>
      </c>
      <c r="AA253" s="9" t="n">
        <v>0</v>
      </c>
      <c r="AB253" s="11" t="n">
        <f aca="false">(X253+Y253+Z253+AA253)/4</f>
        <v>0</v>
      </c>
      <c r="AC253" s="9" t="n">
        <v>1</v>
      </c>
      <c r="AD253" s="9" t="n">
        <v>1</v>
      </c>
      <c r="AE253" s="9" t="n">
        <v>1</v>
      </c>
      <c r="AF253" s="9" t="n">
        <v>1</v>
      </c>
      <c r="AG253" s="11" t="n">
        <f aca="false">(AC253+AD253+AE253+AF253)/4</f>
        <v>1</v>
      </c>
      <c r="AH253" s="9" t="n">
        <v>0</v>
      </c>
      <c r="AI253" s="9" t="n">
        <v>0</v>
      </c>
      <c r="AJ253" s="9" t="n">
        <v>0</v>
      </c>
      <c r="AK253" s="9" t="n">
        <v>0</v>
      </c>
      <c r="AL253" s="11" t="n">
        <f aca="false">(AH253+AI253+AJ253+AK253)/4</f>
        <v>0</v>
      </c>
      <c r="AM253" s="9" t="n">
        <v>13</v>
      </c>
      <c r="AN253" s="9" t="n">
        <v>32</v>
      </c>
      <c r="AO253" s="9" t="n">
        <v>53</v>
      </c>
      <c r="AP253" s="9" t="n">
        <v>16</v>
      </c>
      <c r="AQ253" s="11" t="n">
        <f aca="false">(AM253+AN253+AO253+AP253)/4</f>
        <v>28.5</v>
      </c>
      <c r="AR253" s="9" t="n">
        <v>8</v>
      </c>
      <c r="AS253" s="9" t="n">
        <v>7</v>
      </c>
      <c r="AT253" s="9" t="n">
        <v>9</v>
      </c>
      <c r="AU253" s="9" t="n">
        <v>8</v>
      </c>
      <c r="AV253" s="11" t="n">
        <f aca="false">(AR253+AS253+AT253+AU253)/4</f>
        <v>8</v>
      </c>
      <c r="AW253" s="9" t="n">
        <v>0</v>
      </c>
      <c r="AX253" s="9" t="n">
        <v>0</v>
      </c>
      <c r="AY253" s="9" t="n">
        <v>0</v>
      </c>
      <c r="AZ253" s="9" t="n">
        <v>0</v>
      </c>
      <c r="BA253" s="11" t="n">
        <f aca="false">(AW253+AX253+AY253+AZ253)/4</f>
        <v>0</v>
      </c>
      <c r="BB253" s="11" t="n">
        <f aca="false">(AW253/AR253)</f>
        <v>0</v>
      </c>
      <c r="BC253" s="11" t="n">
        <f aca="false">(AX253/AS253)</f>
        <v>0</v>
      </c>
      <c r="BD253" s="11" t="n">
        <f aca="false">(AY253/AT253)</f>
        <v>0</v>
      </c>
      <c r="BE253" s="11" t="n">
        <f aca="false">(AZ253/AU253)</f>
        <v>0</v>
      </c>
      <c r="BF253" s="11" t="n">
        <f aca="false">(BA253/AV253)</f>
        <v>0</v>
      </c>
      <c r="BG253" s="11" t="n">
        <f aca="false">(BF253*100)</f>
        <v>0</v>
      </c>
      <c r="BH253" s="9" t="n">
        <v>0</v>
      </c>
      <c r="BI253" s="9" t="n">
        <v>5</v>
      </c>
      <c r="BJ253" s="9" t="n">
        <v>5</v>
      </c>
      <c r="BK253" s="9" t="n">
        <v>2</v>
      </c>
      <c r="BL253" s="9" t="n">
        <v>3</v>
      </c>
      <c r="BM253" s="11" t="n">
        <f aca="false">(BI253+BJ253+BK253+BL253)/4</f>
        <v>3.75</v>
      </c>
      <c r="BN253" s="11" t="n">
        <f aca="false">(BI253/AR253)</f>
        <v>0.625</v>
      </c>
      <c r="BO253" s="11" t="n">
        <f aca="false">(BJ253/AS253)</f>
        <v>0.714285714285714</v>
      </c>
      <c r="BP253" s="11" t="n">
        <f aca="false">(BK253/AT253)</f>
        <v>0.222222222222222</v>
      </c>
      <c r="BQ253" s="11" t="n">
        <f aca="false">(BL253/AU253)</f>
        <v>0.375</v>
      </c>
      <c r="BR253" s="11" t="n">
        <f aca="false">(BM253/AV253)</f>
        <v>0.46875</v>
      </c>
      <c r="BS253" s="11" t="n">
        <f aca="false">(100*BR253)</f>
        <v>46.875</v>
      </c>
      <c r="BT253" s="9" t="n">
        <v>3</v>
      </c>
      <c r="BU253" s="9" t="n">
        <v>0</v>
      </c>
      <c r="BV253" s="9" t="n">
        <v>0</v>
      </c>
      <c r="BW253" s="9" t="n">
        <v>0</v>
      </c>
      <c r="BX253" s="9" t="n">
        <v>0</v>
      </c>
      <c r="BY253" s="11" t="n">
        <f aca="false">(BU253+BV253+BW253+BX253)/4</f>
        <v>0</v>
      </c>
      <c r="BZ253" s="11" t="n">
        <f aca="false">(BU253/AR253)</f>
        <v>0</v>
      </c>
      <c r="CA253" s="11" t="n">
        <f aca="false">(BV253/AS253)</f>
        <v>0</v>
      </c>
      <c r="CB253" s="11" t="n">
        <f aca="false">(BW253/AT253)</f>
        <v>0</v>
      </c>
      <c r="CC253" s="11" t="n">
        <f aca="false">(BX253/AU253)</f>
        <v>0</v>
      </c>
      <c r="CD253" s="11" t="n">
        <f aca="false">(BY253/AV253)</f>
        <v>0</v>
      </c>
      <c r="CE253" s="11" t="n">
        <f aca="false">(100*CD253)</f>
        <v>0</v>
      </c>
      <c r="CF253" s="9" t="n">
        <v>0</v>
      </c>
      <c r="CG253" s="9" t="n">
        <v>0</v>
      </c>
      <c r="CH253" s="9" t="n">
        <v>0</v>
      </c>
      <c r="CI253" s="9" t="n">
        <v>0</v>
      </c>
      <c r="CJ253" s="9" t="n">
        <v>0</v>
      </c>
      <c r="CK253" s="9"/>
      <c r="CL253" s="9"/>
      <c r="CM253" s="9"/>
      <c r="CN253" s="19"/>
      <c r="CO253" s="9" t="n">
        <f aca="false">(CJ253/AP253)</f>
        <v>0</v>
      </c>
      <c r="CP253" s="9" t="n">
        <f aca="false">(CK253/AQ253)</f>
        <v>0</v>
      </c>
      <c r="CQ253" s="9" t="n">
        <f aca="false">(100*CP253)</f>
        <v>0</v>
      </c>
      <c r="CR253" s="18" t="n">
        <v>0</v>
      </c>
      <c r="CS253" s="9" t="n">
        <v>56.8</v>
      </c>
      <c r="CT253" s="9" t="n">
        <v>54.3</v>
      </c>
      <c r="CU253" s="9" t="n">
        <v>46.6</v>
      </c>
      <c r="CV253" s="9" t="n">
        <v>55.9</v>
      </c>
      <c r="CW253" s="11" t="n">
        <f aca="false">(CS253+CT253+CU253+CV253)/4</f>
        <v>53.4</v>
      </c>
      <c r="CX253" s="9" t="n">
        <v>0</v>
      </c>
      <c r="CY253" s="9" t="n">
        <v>0</v>
      </c>
      <c r="CZ253" s="9" t="n">
        <v>0</v>
      </c>
      <c r="DA253" s="9" t="n">
        <v>0</v>
      </c>
      <c r="DB253" s="11" t="n">
        <f aca="false">(CX253+CY253+CZ253+DA253)/4</f>
        <v>0</v>
      </c>
      <c r="DC253" s="9" t="n">
        <v>1</v>
      </c>
      <c r="DD253" s="9" t="n">
        <v>1</v>
      </c>
      <c r="DE253" s="9" t="n">
        <v>1</v>
      </c>
      <c r="DF253" s="9" t="n">
        <v>1</v>
      </c>
      <c r="DG253" s="11" t="n">
        <f aca="false">(DC253+DD253+DE253+DF253)/4</f>
        <v>1</v>
      </c>
      <c r="DH253" s="9" t="n">
        <v>1</v>
      </c>
      <c r="DI253" s="9" t="n">
        <v>1</v>
      </c>
      <c r="DJ253" s="9" t="n">
        <v>1</v>
      </c>
      <c r="DK253" s="9" t="n">
        <v>1</v>
      </c>
      <c r="DL253" s="11" t="n">
        <f aca="false">(DH253+DI253+DJ253+DK253)/4</f>
        <v>1</v>
      </c>
      <c r="DM253" s="9" t="n">
        <v>154</v>
      </c>
      <c r="DN253" s="9" t="n">
        <v>203</v>
      </c>
      <c r="DO253" s="9" t="n">
        <v>154</v>
      </c>
      <c r="DP253" s="9" t="n">
        <v>162</v>
      </c>
      <c r="DQ253" s="11" t="n">
        <f aca="false">(DM253+DN253+DO253+DP253)/4</f>
        <v>168.25</v>
      </c>
      <c r="DR253" s="9" t="n">
        <v>7</v>
      </c>
      <c r="DS253" s="9" t="n">
        <v>13</v>
      </c>
      <c r="DT253" s="9" t="n">
        <v>11</v>
      </c>
      <c r="DU253" s="9" t="n">
        <v>12</v>
      </c>
      <c r="DV253" s="11" t="n">
        <f aca="false">(DR253+DS253+DT253+DU253)/4</f>
        <v>10.75</v>
      </c>
      <c r="DW253" s="9" t="n">
        <v>0</v>
      </c>
      <c r="DX253" s="9" t="n">
        <v>0</v>
      </c>
      <c r="DY253" s="9" t="n">
        <v>0</v>
      </c>
      <c r="DZ253" s="9" t="n">
        <v>0</v>
      </c>
      <c r="EA253" s="11" t="n">
        <f aca="false">(DW253+DX253+DY253+DZ253)/4</f>
        <v>0</v>
      </c>
      <c r="EB253" s="11" t="n">
        <f aca="false">(DW253/DR253)</f>
        <v>0</v>
      </c>
      <c r="EC253" s="11" t="n">
        <f aca="false">(DX253/DS253)</f>
        <v>0</v>
      </c>
      <c r="ED253" s="11" t="n">
        <f aca="false">(DY253/DT253)</f>
        <v>0</v>
      </c>
      <c r="EE253" s="11" t="n">
        <f aca="false">(DZ253/DU253)</f>
        <v>0</v>
      </c>
      <c r="EF253" s="11" t="n">
        <f aca="false">(EA253/DV253)</f>
        <v>0</v>
      </c>
      <c r="EG253" s="11" t="n">
        <f aca="false">(100*EF253)</f>
        <v>0</v>
      </c>
      <c r="EH253" s="9" t="n">
        <v>0</v>
      </c>
      <c r="EI253" s="9" t="n">
        <v>1</v>
      </c>
      <c r="EJ253" s="9" t="n">
        <v>6</v>
      </c>
      <c r="EK253" s="19" t="n">
        <v>6</v>
      </c>
      <c r="EL253" s="9" t="n">
        <v>5</v>
      </c>
      <c r="EM253" s="9" t="n">
        <f aca="false">(EI253+EJ253+EK253+EL253)/4</f>
        <v>4.5</v>
      </c>
      <c r="EN253" s="9" t="n">
        <f aca="false">(EI253/DR253)</f>
        <v>0.142857142857143</v>
      </c>
      <c r="EO253" s="9" t="n">
        <f aca="false">(EJ253/DS253)</f>
        <v>0.461538461538462</v>
      </c>
      <c r="EP253" s="9" t="n">
        <f aca="false">(EK253/DT253)</f>
        <v>0.545454545454545</v>
      </c>
      <c r="EQ253" s="9" t="n">
        <f aca="false">(EL253/DU253)</f>
        <v>0.416666666666667</v>
      </c>
      <c r="ER253" s="9" t="n">
        <f aca="false">EM253/DV253</f>
        <v>0.418604651162791</v>
      </c>
      <c r="ES253" s="9" t="n">
        <f aca="false">(100*ER253)</f>
        <v>41.8604651162791</v>
      </c>
      <c r="ET253" s="9" t="n">
        <v>3</v>
      </c>
      <c r="EU253" s="18" t="n">
        <v>0</v>
      </c>
      <c r="EV253" s="9" t="n">
        <v>0</v>
      </c>
      <c r="EW253" s="9" t="n">
        <v>0</v>
      </c>
      <c r="EX253" s="9" t="n">
        <v>0</v>
      </c>
      <c r="EY253" s="11" t="n">
        <f aca="false">(EU253+EV253+EW253+EX253)/4</f>
        <v>0</v>
      </c>
      <c r="EZ253" s="11" t="n">
        <f aca="false">(EU253/DR253)</f>
        <v>0</v>
      </c>
      <c r="FA253" s="11" t="n">
        <f aca="false">(EV253/DS253)</f>
        <v>0</v>
      </c>
      <c r="FB253" s="11" t="n">
        <f aca="false">(EW253/DT253)</f>
        <v>0</v>
      </c>
      <c r="FC253" s="11" t="n">
        <f aca="false">(EX253/DU253)</f>
        <v>0</v>
      </c>
      <c r="FD253" s="11" t="n">
        <f aca="false">(EY253/DV253)</f>
        <v>0</v>
      </c>
      <c r="FE253" s="11" t="n">
        <f aca="false">(100*FD253)</f>
        <v>0</v>
      </c>
      <c r="FF253" s="9" t="n">
        <v>0</v>
      </c>
      <c r="FG253" s="9" t="n">
        <v>3</v>
      </c>
      <c r="FH253" s="9" t="n">
        <v>30</v>
      </c>
      <c r="FI253" s="9" t="n">
        <v>4</v>
      </c>
      <c r="FJ253" s="9" t="n">
        <v>4</v>
      </c>
      <c r="FK253" s="11" t="n">
        <f aca="false">(FG253+FH253+FI253+FJ253)/4</f>
        <v>10.25</v>
      </c>
      <c r="FL253" s="11" t="n">
        <f aca="false">(FG253/DR253)</f>
        <v>0.428571428571429</v>
      </c>
      <c r="FM253" s="11" t="n">
        <f aca="false">(FH253/DS253)</f>
        <v>2.30769230769231</v>
      </c>
      <c r="FN253" s="11" t="n">
        <f aca="false">(FI253/DT253)</f>
        <v>0.363636363636364</v>
      </c>
      <c r="FO253" s="11" t="n">
        <f aca="false">(FJ253/DU253)</f>
        <v>0.333333333333333</v>
      </c>
      <c r="FP253" s="11" t="n">
        <f aca="false">(FK253/DV253)</f>
        <v>0.953488372093023</v>
      </c>
      <c r="FQ253" s="11" t="n">
        <f aca="false">(100*FP253)</f>
        <v>95.3488372093023</v>
      </c>
      <c r="FR253" s="9" t="n">
        <v>3</v>
      </c>
      <c r="FS253" s="9" t="n">
        <v>60.5</v>
      </c>
      <c r="FT253" s="9" t="n">
        <v>63.9</v>
      </c>
      <c r="FU253" s="9" t="n">
        <v>64.6</v>
      </c>
      <c r="FV253" s="9" t="n">
        <v>65</v>
      </c>
      <c r="FW253" s="11" t="n">
        <f aca="false">(FS253+FT253+FU253+FV253)/4</f>
        <v>63.5</v>
      </c>
      <c r="FX253" s="9" t="n">
        <v>0</v>
      </c>
      <c r="FY253" s="9" t="n">
        <v>0</v>
      </c>
      <c r="FZ253" s="9" t="n">
        <v>0</v>
      </c>
      <c r="GA253" s="9" t="n">
        <v>0</v>
      </c>
      <c r="GB253" s="11" t="n">
        <f aca="false">(FX253+FY253+FZ253+GA253)/4</f>
        <v>0</v>
      </c>
      <c r="GC253" s="9" t="n">
        <v>1</v>
      </c>
      <c r="GD253" s="9" t="n">
        <v>1</v>
      </c>
      <c r="GE253" s="9" t="n">
        <v>1</v>
      </c>
      <c r="GF253" s="9" t="n">
        <v>1</v>
      </c>
      <c r="GG253" s="11" t="n">
        <f aca="false">(GC253+GD253+GE253+GF253)/4</f>
        <v>1</v>
      </c>
      <c r="GH253" s="9" t="n">
        <v>1</v>
      </c>
      <c r="GI253" s="9" t="n">
        <v>1</v>
      </c>
      <c r="GJ253" s="9" t="n">
        <v>0</v>
      </c>
      <c r="GK253" s="9" t="n">
        <v>1</v>
      </c>
      <c r="GL253" s="11" t="n">
        <f aca="false">(GH253+GI253+GJ253+GK253)/4</f>
        <v>0.75</v>
      </c>
      <c r="GM253" s="9" t="n">
        <v>78</v>
      </c>
      <c r="GN253" s="9" t="n">
        <v>111</v>
      </c>
      <c r="GO253" s="9" t="n">
        <v>65</v>
      </c>
      <c r="GP253" s="9" t="n">
        <v>18</v>
      </c>
      <c r="GQ253" s="11" t="n">
        <f aca="false">(GM253+GN253+GO253+GP253)/4</f>
        <v>68</v>
      </c>
      <c r="GR253" s="9" t="n">
        <v>8</v>
      </c>
      <c r="GS253" s="9" t="n">
        <v>17</v>
      </c>
      <c r="GT253" s="9" t="n">
        <v>11</v>
      </c>
      <c r="GU253" s="9" t="n">
        <v>15</v>
      </c>
      <c r="GV253" s="11" t="n">
        <f aca="false">(GR253+GS253+GT253+GU253)/4</f>
        <v>12.75</v>
      </c>
      <c r="GW253" s="9" t="n">
        <v>0</v>
      </c>
      <c r="GX253" s="9" t="n">
        <v>0</v>
      </c>
      <c r="GY253" s="9" t="n">
        <v>0</v>
      </c>
      <c r="GZ253" s="9" t="n">
        <v>0</v>
      </c>
      <c r="HA253" s="11" t="n">
        <f aca="false">(GW253+GX253+GY253+GZ253)/4</f>
        <v>0</v>
      </c>
      <c r="HB253" s="9"/>
      <c r="HC253" s="9" t="n">
        <f aca="false">(GX253/GS253)</f>
        <v>0</v>
      </c>
      <c r="HD253" s="9" t="n">
        <f aca="false">(GY253/GT253)</f>
        <v>0</v>
      </c>
      <c r="HE253" s="9" t="n">
        <f aca="false">(GZ253/GU253)/4</f>
        <v>0</v>
      </c>
      <c r="HF253" s="9" t="n">
        <f aca="false">(HB253+HC253+HD253+HE253)/4</f>
        <v>0</v>
      </c>
      <c r="HG253" s="9" t="n">
        <f aca="false">(100*HF253)</f>
        <v>0</v>
      </c>
      <c r="HH253" s="18" t="n">
        <v>0</v>
      </c>
      <c r="HI253" s="9" t="n">
        <v>4</v>
      </c>
      <c r="HJ253" s="9" t="n">
        <v>10</v>
      </c>
      <c r="HK253" s="9" t="n">
        <v>6</v>
      </c>
      <c r="HL253" s="19" t="n">
        <v>4</v>
      </c>
      <c r="HM253" s="9" t="n">
        <f aca="false">(HI253+HJ253+HK253+HL253)/4</f>
        <v>6</v>
      </c>
      <c r="HN253" s="9" t="n">
        <f aca="false">(HI253/GR253)</f>
        <v>0.5</v>
      </c>
      <c r="HO253" s="9" t="n">
        <f aca="false">(HJ253/GS253)</f>
        <v>0.588235294117647</v>
      </c>
      <c r="HP253" s="9" t="n">
        <f aca="false">(HK253/GT253)</f>
        <v>0.545454545454545</v>
      </c>
      <c r="HQ253" s="9" t="n">
        <f aca="false">(HL253/GU253)</f>
        <v>0.266666666666667</v>
      </c>
      <c r="HR253" s="9" t="n">
        <f aca="false">(HM253/GV253)</f>
        <v>0.470588235294118</v>
      </c>
      <c r="HS253" s="9" t="n">
        <f aca="false">(100*HR253)</f>
        <v>47.0588235294118</v>
      </c>
      <c r="HT253" s="18" t="n">
        <v>3</v>
      </c>
      <c r="HU253" s="9" t="n">
        <v>0</v>
      </c>
      <c r="HV253" s="9" t="n">
        <v>0</v>
      </c>
      <c r="HW253" s="9" t="n">
        <v>0</v>
      </c>
      <c r="HX253" s="19" t="n">
        <v>0</v>
      </c>
      <c r="HY253" s="9" t="n">
        <f aca="false">(HU253+HV253+HW253+HX253)/4</f>
        <v>0</v>
      </c>
      <c r="HZ253" s="9" t="n">
        <f aca="false">(HU253/GR253)</f>
        <v>0</v>
      </c>
      <c r="IA253" s="9" t="n">
        <f aca="false">HV253/GS253</f>
        <v>0</v>
      </c>
      <c r="IB253" s="9" t="n">
        <f aca="false">(HW253/GT253)</f>
        <v>0</v>
      </c>
      <c r="IC253" s="9" t="n">
        <f aca="false">(HX253/GU253)</f>
        <v>0</v>
      </c>
      <c r="ID253" s="9" t="n">
        <f aca="false">(HY253/GV253)</f>
        <v>0</v>
      </c>
      <c r="IE253" s="9" t="n">
        <f aca="false">(100*ID253)</f>
        <v>0</v>
      </c>
      <c r="IF253" s="18" t="n">
        <v>0</v>
      </c>
      <c r="IG253" s="9" t="n">
        <v>3</v>
      </c>
      <c r="IH253" s="9" t="n">
        <v>5</v>
      </c>
      <c r="II253" s="19" t="n">
        <v>0</v>
      </c>
      <c r="IJ253" s="9" t="n">
        <v>2</v>
      </c>
      <c r="IK253" s="9" t="n">
        <f aca="false">(IG253+IH253+II253+IJ253)/4</f>
        <v>2.5</v>
      </c>
      <c r="IL253" s="9" t="n">
        <f aca="false">(IG253/GM253)</f>
        <v>0.0384615384615385</v>
      </c>
      <c r="IM253" s="9" t="n">
        <f aca="false">(IH253/GN253)</f>
        <v>0.045045045045045</v>
      </c>
      <c r="IN253" s="9" t="n">
        <f aca="false">(II253/GO253)</f>
        <v>0</v>
      </c>
      <c r="IO253" s="9" t="n">
        <f aca="false">(IJ253/GP253)</f>
        <v>0.111111111111111</v>
      </c>
      <c r="IP253" s="9" t="n">
        <f aca="false">(IK253/GQ253)</f>
        <v>0.0367647058823529</v>
      </c>
      <c r="IQ253" s="9" t="n">
        <f aca="false">(100*IP253)</f>
        <v>3.67647058823529</v>
      </c>
      <c r="IR253" s="18" t="n">
        <v>1</v>
      </c>
      <c r="IS253" s="9" t="n">
        <v>58.2</v>
      </c>
      <c r="IT253" s="9" t="n">
        <v>62.4</v>
      </c>
      <c r="IU253" s="19" t="n">
        <v>73.2</v>
      </c>
      <c r="IV253" s="9" t="n">
        <v>66.6</v>
      </c>
      <c r="IW253" s="9" t="n">
        <f aca="false">(IS253+IT253+IU253+IV253)/4</f>
        <v>65.1</v>
      </c>
      <c r="IX253" s="16" t="n">
        <v>45204</v>
      </c>
      <c r="IY253" s="10" t="s">
        <v>268</v>
      </c>
    </row>
    <row r="254" customFormat="false" ht="15.75" hidden="false" customHeight="true" outlineLevel="0" collapsed="false">
      <c r="A254" s="9" t="s">
        <v>370</v>
      </c>
      <c r="B254" s="10" t="s">
        <v>829</v>
      </c>
      <c r="C254" s="10" t="s">
        <v>727</v>
      </c>
      <c r="D254" s="9" t="n">
        <v>4</v>
      </c>
      <c r="E254" s="9" t="n">
        <v>85</v>
      </c>
      <c r="F254" s="10" t="s">
        <v>830</v>
      </c>
      <c r="G254" s="10" t="s">
        <v>297</v>
      </c>
      <c r="H254" s="9" t="n">
        <v>21</v>
      </c>
      <c r="I254" s="9" t="n">
        <v>5</v>
      </c>
      <c r="J254" s="12" t="s">
        <v>264</v>
      </c>
      <c r="K254" s="13" t="s">
        <v>831</v>
      </c>
      <c r="L254" s="13" t="s">
        <v>832</v>
      </c>
      <c r="M254" s="14" t="n">
        <v>1308</v>
      </c>
      <c r="N254" s="15" t="n">
        <v>45155</v>
      </c>
      <c r="O254" s="10" t="s">
        <v>294</v>
      </c>
      <c r="P254" s="9"/>
      <c r="Q254" s="9" t="n">
        <v>17.37</v>
      </c>
      <c r="R254" s="9" t="n">
        <v>10</v>
      </c>
      <c r="S254" s="9" t="n">
        <v>-10</v>
      </c>
      <c r="T254" s="9" t="n">
        <v>100</v>
      </c>
      <c r="U254" s="9"/>
      <c r="V254" s="9" t="n">
        <f aca="false">(25.5/100)</f>
        <v>0.255</v>
      </c>
      <c r="W254" s="22" t="s">
        <v>833</v>
      </c>
      <c r="X254" s="9" t="n">
        <v>0</v>
      </c>
      <c r="Y254" s="9" t="n">
        <v>0</v>
      </c>
      <c r="Z254" s="9" t="n">
        <v>0</v>
      </c>
      <c r="AA254" s="9" t="n">
        <v>0</v>
      </c>
      <c r="AB254" s="11" t="n">
        <f aca="false">(X254+Y254+Z254+AA254)/4</f>
        <v>0</v>
      </c>
      <c r="AC254" s="9" t="n">
        <v>1</v>
      </c>
      <c r="AD254" s="9" t="n">
        <v>1</v>
      </c>
      <c r="AE254" s="9" t="n">
        <v>1</v>
      </c>
      <c r="AF254" s="9" t="n">
        <v>1</v>
      </c>
      <c r="AG254" s="11" t="n">
        <f aca="false">(AC254+AD254+AE254+AF254)/4</f>
        <v>1</v>
      </c>
      <c r="AH254" s="9" t="n">
        <v>0</v>
      </c>
      <c r="AI254" s="9" t="n">
        <v>1</v>
      </c>
      <c r="AJ254" s="9" t="n">
        <v>1</v>
      </c>
      <c r="AK254" s="9" t="n">
        <v>0</v>
      </c>
      <c r="AL254" s="11" t="n">
        <f aca="false">(AH254+AI254+AJ254+AK254)/4</f>
        <v>0.5</v>
      </c>
      <c r="AM254" s="9" t="n">
        <v>2</v>
      </c>
      <c r="AN254" s="9" t="n">
        <v>264</v>
      </c>
      <c r="AO254" s="9" t="n">
        <v>143</v>
      </c>
      <c r="AP254" s="9" t="n">
        <v>174</v>
      </c>
      <c r="AQ254" s="11" t="n">
        <f aca="false">(AM254+AN254+AO254+AP254)/4</f>
        <v>145.75</v>
      </c>
      <c r="AR254" s="9" t="n">
        <v>47</v>
      </c>
      <c r="AS254" s="9" t="n">
        <v>22</v>
      </c>
      <c r="AT254" s="9" t="n">
        <v>22</v>
      </c>
      <c r="AU254" s="9" t="n">
        <v>25</v>
      </c>
      <c r="AV254" s="11" t="n">
        <f aca="false">(AR254+AS254+AT254+AU254)/4</f>
        <v>29</v>
      </c>
      <c r="AW254" s="9" t="n">
        <v>0</v>
      </c>
      <c r="AX254" s="9" t="n">
        <v>0</v>
      </c>
      <c r="AY254" s="9" t="n">
        <v>0</v>
      </c>
      <c r="AZ254" s="9" t="n">
        <v>0</v>
      </c>
      <c r="BA254" s="11" t="n">
        <f aca="false">(AW254+AX254+AY254+AZ254)/4</f>
        <v>0</v>
      </c>
      <c r="BB254" s="11" t="n">
        <f aca="false">(AW254/AR254)</f>
        <v>0</v>
      </c>
      <c r="BC254" s="11" t="n">
        <f aca="false">(AX254/AS254)</f>
        <v>0</v>
      </c>
      <c r="BD254" s="11" t="n">
        <f aca="false">(AY254/AT254)</f>
        <v>0</v>
      </c>
      <c r="BE254" s="11" t="n">
        <f aca="false">(AZ254/AU254)</f>
        <v>0</v>
      </c>
      <c r="BF254" s="11" t="n">
        <f aca="false">(BA254/AV254)</f>
        <v>0</v>
      </c>
      <c r="BG254" s="11" t="n">
        <f aca="false">(BF254*100)</f>
        <v>0</v>
      </c>
      <c r="BH254" s="9" t="n">
        <v>0</v>
      </c>
      <c r="BI254" s="9" t="n">
        <v>16</v>
      </c>
      <c r="BJ254" s="9" t="n">
        <v>14</v>
      </c>
      <c r="BK254" s="9" t="n">
        <v>8</v>
      </c>
      <c r="BL254" s="9" t="n">
        <v>21</v>
      </c>
      <c r="BM254" s="11" t="n">
        <f aca="false">(BI254+BJ254+BK254+BL254)/4</f>
        <v>14.75</v>
      </c>
      <c r="BN254" s="11" t="n">
        <f aca="false">(BI254/AR254)</f>
        <v>0.340425531914894</v>
      </c>
      <c r="BO254" s="11" t="n">
        <f aca="false">(BJ254/AS254)</f>
        <v>0.636363636363636</v>
      </c>
      <c r="BP254" s="11" t="n">
        <f aca="false">(BK254/AT254)</f>
        <v>0.363636363636364</v>
      </c>
      <c r="BQ254" s="11" t="n">
        <f aca="false">(BL254/AU254)</f>
        <v>0.84</v>
      </c>
      <c r="BR254" s="11" t="n">
        <f aca="false">(BM254/AV254)</f>
        <v>0.508620689655172</v>
      </c>
      <c r="BS254" s="11" t="n">
        <f aca="false">(100*BR254)</f>
        <v>50.8620689655172</v>
      </c>
      <c r="BT254" s="9" t="n">
        <v>3</v>
      </c>
      <c r="BU254" s="9" t="n">
        <v>0</v>
      </c>
      <c r="BV254" s="9" t="n">
        <v>0</v>
      </c>
      <c r="BW254" s="9" t="n">
        <v>0</v>
      </c>
      <c r="BX254" s="9" t="n">
        <v>0</v>
      </c>
      <c r="BY254" s="11" t="n">
        <f aca="false">(BU254+BV254+BW254+BX254)/4</f>
        <v>0</v>
      </c>
      <c r="BZ254" s="11" t="n">
        <f aca="false">(BU254/AR254)</f>
        <v>0</v>
      </c>
      <c r="CA254" s="11" t="n">
        <f aca="false">(BV254/AS254)</f>
        <v>0</v>
      </c>
      <c r="CB254" s="11" t="n">
        <f aca="false">(BW254/AT254)</f>
        <v>0</v>
      </c>
      <c r="CC254" s="11" t="n">
        <f aca="false">(BX254/AU254)</f>
        <v>0</v>
      </c>
      <c r="CD254" s="11" t="n">
        <f aca="false">(BY254/AV254)</f>
        <v>0</v>
      </c>
      <c r="CE254" s="11" t="n">
        <f aca="false">(100*CD254)</f>
        <v>0</v>
      </c>
      <c r="CF254" s="9" t="n">
        <v>0</v>
      </c>
      <c r="CG254" s="9" t="n">
        <v>0</v>
      </c>
      <c r="CH254" s="9" t="n">
        <v>6</v>
      </c>
      <c r="CI254" s="9" t="n">
        <v>5</v>
      </c>
      <c r="CJ254" s="9" t="n">
        <v>0</v>
      </c>
      <c r="CK254" s="9"/>
      <c r="CL254" s="9"/>
      <c r="CM254" s="9"/>
      <c r="CN254" s="19"/>
      <c r="CO254" s="9" t="n">
        <f aca="false">(CJ254/AP254)</f>
        <v>0</v>
      </c>
      <c r="CP254" s="9" t="n">
        <f aca="false">(CK254/AQ254)</f>
        <v>0</v>
      </c>
      <c r="CQ254" s="9" t="n">
        <f aca="false">(100*CP254)</f>
        <v>0</v>
      </c>
      <c r="CR254" s="18" t="n">
        <v>0</v>
      </c>
      <c r="CS254" s="9" t="n">
        <v>71.1</v>
      </c>
      <c r="CT254" s="9" t="n">
        <v>56.7</v>
      </c>
      <c r="CU254" s="9" t="n">
        <v>51.3</v>
      </c>
      <c r="CV254" s="9" t="n">
        <v>62.8</v>
      </c>
      <c r="CW254" s="11" t="n">
        <f aca="false">(CS254+CT254+CU254+CV254)/4</f>
        <v>60.475</v>
      </c>
      <c r="CX254" s="9" t="n">
        <v>0</v>
      </c>
      <c r="CY254" s="9" t="n">
        <v>0</v>
      </c>
      <c r="CZ254" s="9" t="n">
        <v>0</v>
      </c>
      <c r="DA254" s="9" t="n">
        <v>0</v>
      </c>
      <c r="DB254" s="11" t="n">
        <f aca="false">(CX254+CY254+CZ254+DA254)/4</f>
        <v>0</v>
      </c>
      <c r="DC254" s="9" t="n">
        <v>1</v>
      </c>
      <c r="DD254" s="9" t="n">
        <v>1</v>
      </c>
      <c r="DE254" s="9" t="n">
        <v>1</v>
      </c>
      <c r="DF254" s="9" t="n">
        <v>1</v>
      </c>
      <c r="DG254" s="11" t="n">
        <f aca="false">(DC254+DD254+DE254+DF254)/4</f>
        <v>1</v>
      </c>
      <c r="DH254" s="9" t="n">
        <v>1</v>
      </c>
      <c r="DI254" s="9" t="n">
        <v>1</v>
      </c>
      <c r="DJ254" s="9" t="n">
        <v>1</v>
      </c>
      <c r="DK254" s="9" t="n">
        <v>1</v>
      </c>
      <c r="DL254" s="11" t="n">
        <f aca="false">(DH254+DI254+DJ254+DK254)/4</f>
        <v>1</v>
      </c>
      <c r="DM254" s="9" t="n">
        <v>235</v>
      </c>
      <c r="DN254" s="9" t="n">
        <v>183</v>
      </c>
      <c r="DO254" s="9" t="n">
        <v>104</v>
      </c>
      <c r="DP254" s="9" t="n">
        <v>106</v>
      </c>
      <c r="DQ254" s="11" t="n">
        <f aca="false">(DM254+DN254+DO254+DP254)/4</f>
        <v>157</v>
      </c>
      <c r="DR254" s="9" t="n">
        <v>51</v>
      </c>
      <c r="DS254" s="9" t="n">
        <v>28</v>
      </c>
      <c r="DT254" s="9" t="n">
        <v>7</v>
      </c>
      <c r="DU254" s="9" t="n">
        <v>14</v>
      </c>
      <c r="DV254" s="11" t="n">
        <f aca="false">(DR254+DS254+DT254+DU254)/4</f>
        <v>25</v>
      </c>
      <c r="DW254" s="9" t="n">
        <v>0</v>
      </c>
      <c r="DX254" s="9" t="n">
        <v>0</v>
      </c>
      <c r="DY254" s="9" t="n">
        <v>0</v>
      </c>
      <c r="DZ254" s="9" t="n">
        <v>0</v>
      </c>
      <c r="EA254" s="11" t="n">
        <f aca="false">(DW254+DX254+DY254+DZ254)/4</f>
        <v>0</v>
      </c>
      <c r="EB254" s="11" t="n">
        <f aca="false">(DW254/DR254)</f>
        <v>0</v>
      </c>
      <c r="EC254" s="11" t="n">
        <f aca="false">(DX254/DS254)</f>
        <v>0</v>
      </c>
      <c r="ED254" s="11" t="n">
        <f aca="false">(DY254/DT254)</f>
        <v>0</v>
      </c>
      <c r="EE254" s="11" t="n">
        <f aca="false">(DZ254/DU254)</f>
        <v>0</v>
      </c>
      <c r="EF254" s="11" t="n">
        <f aca="false">(EA254/DV254)</f>
        <v>0</v>
      </c>
      <c r="EG254" s="11" t="n">
        <f aca="false">(100*EF254)</f>
        <v>0</v>
      </c>
      <c r="EH254" s="9" t="n">
        <v>0</v>
      </c>
      <c r="EI254" s="9" t="n">
        <v>21</v>
      </c>
      <c r="EJ254" s="9" t="n">
        <v>6</v>
      </c>
      <c r="EK254" s="19" t="n">
        <v>4</v>
      </c>
      <c r="EL254" s="9" t="n">
        <v>5</v>
      </c>
      <c r="EM254" s="9" t="n">
        <f aca="false">(EI254+EJ254+EK254+EL254)/4</f>
        <v>9</v>
      </c>
      <c r="EN254" s="9" t="n">
        <f aca="false">(EI254/DR254)</f>
        <v>0.411764705882353</v>
      </c>
      <c r="EO254" s="9" t="n">
        <f aca="false">(EJ254/DS254)</f>
        <v>0.214285714285714</v>
      </c>
      <c r="EP254" s="9" t="n">
        <f aca="false">(EK254/DT254)</f>
        <v>0.571428571428571</v>
      </c>
      <c r="EQ254" s="9" t="n">
        <f aca="false">(EL254/DU254)</f>
        <v>0.357142857142857</v>
      </c>
      <c r="ER254" s="9" t="n">
        <f aca="false">EM254/DV254</f>
        <v>0.36</v>
      </c>
      <c r="ES254" s="9" t="n">
        <f aca="false">(100*ER254)</f>
        <v>36</v>
      </c>
      <c r="ET254" s="9" t="n">
        <v>3</v>
      </c>
      <c r="EU254" s="18" t="n">
        <v>0</v>
      </c>
      <c r="EV254" s="9" t="n">
        <v>0</v>
      </c>
      <c r="EW254" s="9" t="n">
        <v>0</v>
      </c>
      <c r="EX254" s="9" t="n">
        <v>0</v>
      </c>
      <c r="EY254" s="11" t="n">
        <f aca="false">(EU254+EV254+EW254+EX254)/4</f>
        <v>0</v>
      </c>
      <c r="EZ254" s="11" t="n">
        <f aca="false">(EU254/DR254)</f>
        <v>0</v>
      </c>
      <c r="FA254" s="11" t="n">
        <f aca="false">(EV254/DS254)</f>
        <v>0</v>
      </c>
      <c r="FB254" s="11" t="n">
        <f aca="false">(EW254/DT254)</f>
        <v>0</v>
      </c>
      <c r="FC254" s="11" t="n">
        <f aca="false">(EX254/DU254)</f>
        <v>0</v>
      </c>
      <c r="FD254" s="11" t="n">
        <f aca="false">(EY254/DV254)</f>
        <v>0</v>
      </c>
      <c r="FE254" s="11" t="n">
        <f aca="false">(100*FD254)</f>
        <v>0</v>
      </c>
      <c r="FF254" s="9" t="n">
        <v>0</v>
      </c>
      <c r="FG254" s="9" t="n">
        <v>14</v>
      </c>
      <c r="FH254" s="9" t="n">
        <v>3</v>
      </c>
      <c r="FI254" s="9" t="n">
        <v>6</v>
      </c>
      <c r="FJ254" s="9" t="n">
        <v>17</v>
      </c>
      <c r="FK254" s="11" t="n">
        <f aca="false">(FG254+FH254+FI254+FJ254)/4</f>
        <v>10</v>
      </c>
      <c r="FL254" s="11" t="n">
        <f aca="false">(FG254/DR254)</f>
        <v>0.274509803921569</v>
      </c>
      <c r="FM254" s="11" t="n">
        <f aca="false">(FH254/DS254)</f>
        <v>0.107142857142857</v>
      </c>
      <c r="FN254" s="11" t="n">
        <f aca="false">(FI254/DT254)</f>
        <v>0.857142857142857</v>
      </c>
      <c r="FO254" s="11" t="n">
        <f aca="false">(FJ254/DU254)</f>
        <v>1.21428571428571</v>
      </c>
      <c r="FP254" s="11" t="n">
        <f aca="false">(FK254/DV254)</f>
        <v>0.4</v>
      </c>
      <c r="FQ254" s="11" t="n">
        <f aca="false">(100*FP254)</f>
        <v>40</v>
      </c>
      <c r="FR254" s="9" t="n">
        <v>3</v>
      </c>
      <c r="FS254" s="9" t="n">
        <v>68.9</v>
      </c>
      <c r="FT254" s="9" t="n">
        <v>56.6</v>
      </c>
      <c r="FU254" s="9" t="n">
        <v>52.3</v>
      </c>
      <c r="FV254" s="9" t="n">
        <v>66</v>
      </c>
      <c r="FW254" s="11" t="n">
        <f aca="false">(FS254+FT254+FU254+FV254)/4</f>
        <v>60.95</v>
      </c>
      <c r="FX254" s="9" t="n">
        <v>0</v>
      </c>
      <c r="FY254" s="9" t="n">
        <v>0</v>
      </c>
      <c r="FZ254" s="9" t="n">
        <v>0</v>
      </c>
      <c r="GA254" s="9" t="n">
        <v>0</v>
      </c>
      <c r="GB254" s="11" t="n">
        <f aca="false">(FX254+FY254+FZ254+GA254)/4</f>
        <v>0</v>
      </c>
      <c r="GC254" s="9" t="n">
        <v>1</v>
      </c>
      <c r="GD254" s="9" t="n">
        <v>1</v>
      </c>
      <c r="GE254" s="9" t="n">
        <v>1</v>
      </c>
      <c r="GF254" s="9" t="n">
        <v>1</v>
      </c>
      <c r="GG254" s="11" t="n">
        <f aca="false">(GC254+GD254+GE254+GF254)/4</f>
        <v>1</v>
      </c>
      <c r="GH254" s="9" t="n">
        <v>1</v>
      </c>
      <c r="GI254" s="9" t="n">
        <v>1</v>
      </c>
      <c r="GJ254" s="9" t="n">
        <v>1</v>
      </c>
      <c r="GK254" s="9" t="n">
        <v>1</v>
      </c>
      <c r="GL254" s="11" t="n">
        <f aca="false">(GH254+GI254+GJ254+GK254)/4</f>
        <v>1</v>
      </c>
      <c r="GM254" s="9" t="n">
        <v>203</v>
      </c>
      <c r="GN254" s="9" t="n">
        <v>94</v>
      </c>
      <c r="GO254" s="9" t="n">
        <v>268</v>
      </c>
      <c r="GP254" s="9" t="n">
        <v>195</v>
      </c>
      <c r="GQ254" s="11" t="n">
        <f aca="false">(GM254+GN254+GO254+GP254)/4</f>
        <v>190</v>
      </c>
      <c r="GR254" s="9" t="n">
        <v>7</v>
      </c>
      <c r="GS254" s="9" t="n">
        <v>7</v>
      </c>
      <c r="GT254" s="9" t="n">
        <v>36</v>
      </c>
      <c r="GU254" s="9" t="n">
        <v>11</v>
      </c>
      <c r="GV254" s="11" t="n">
        <f aca="false">(GR254+GS254+GT254+GU254)/4</f>
        <v>15.25</v>
      </c>
      <c r="GW254" s="9" t="n">
        <v>0</v>
      </c>
      <c r="GX254" s="9" t="n">
        <v>0</v>
      </c>
      <c r="GY254" s="9" t="n">
        <v>0</v>
      </c>
      <c r="GZ254" s="9" t="n">
        <v>0</v>
      </c>
      <c r="HA254" s="11" t="n">
        <f aca="false">(GW254+GX254+GY254+GZ254)/4</f>
        <v>0</v>
      </c>
      <c r="HB254" s="9"/>
      <c r="HC254" s="9" t="n">
        <f aca="false">(GX254/GS254)</f>
        <v>0</v>
      </c>
      <c r="HD254" s="9" t="n">
        <f aca="false">(GY254/GT254)</f>
        <v>0</v>
      </c>
      <c r="HE254" s="9" t="n">
        <f aca="false">(GZ254/GU254)/4</f>
        <v>0</v>
      </c>
      <c r="HF254" s="9" t="n">
        <f aca="false">(HB254+HC254+HD254+HE254)/4</f>
        <v>0</v>
      </c>
      <c r="HG254" s="9" t="n">
        <f aca="false">(100*HF254)</f>
        <v>0</v>
      </c>
      <c r="HH254" s="18" t="n">
        <v>0</v>
      </c>
      <c r="HI254" s="9" t="n">
        <v>6</v>
      </c>
      <c r="HJ254" s="9" t="n">
        <v>5</v>
      </c>
      <c r="HK254" s="9" t="n">
        <v>15</v>
      </c>
      <c r="HL254" s="19" t="n">
        <v>6</v>
      </c>
      <c r="HM254" s="9" t="n">
        <f aca="false">(HI254+HJ254+HK254+HL254)/4</f>
        <v>8</v>
      </c>
      <c r="HN254" s="9" t="n">
        <f aca="false">(HI254/GR254)</f>
        <v>0.857142857142857</v>
      </c>
      <c r="HO254" s="9" t="n">
        <f aca="false">(HJ254/GS254)</f>
        <v>0.714285714285714</v>
      </c>
      <c r="HP254" s="9" t="n">
        <f aca="false">(HK254/GT254)</f>
        <v>0.416666666666667</v>
      </c>
      <c r="HQ254" s="9" t="n">
        <f aca="false">(HL254/GU254)</f>
        <v>0.545454545454545</v>
      </c>
      <c r="HR254" s="9" t="n">
        <f aca="false">(HM254/GV254)</f>
        <v>0.524590163934426</v>
      </c>
      <c r="HS254" s="9" t="n">
        <f aca="false">(100*HR254)</f>
        <v>52.4590163934426</v>
      </c>
      <c r="HT254" s="18" t="n">
        <v>3</v>
      </c>
      <c r="HU254" s="9" t="n">
        <v>0</v>
      </c>
      <c r="HV254" s="9" t="n">
        <v>0</v>
      </c>
      <c r="HW254" s="9" t="n">
        <v>0</v>
      </c>
      <c r="HX254" s="19" t="n">
        <v>0</v>
      </c>
      <c r="HY254" s="9" t="n">
        <f aca="false">(HU254+HV254+HW254+HX254)/4</f>
        <v>0</v>
      </c>
      <c r="HZ254" s="9" t="n">
        <f aca="false">(HU254/GR254)</f>
        <v>0</v>
      </c>
      <c r="IA254" s="9" t="n">
        <f aca="false">HV254/GS254</f>
        <v>0</v>
      </c>
      <c r="IB254" s="9" t="n">
        <f aca="false">(HW254/GT254)</f>
        <v>0</v>
      </c>
      <c r="IC254" s="9" t="n">
        <f aca="false">(HX254/GU254)</f>
        <v>0</v>
      </c>
      <c r="ID254" s="9" t="n">
        <f aca="false">(HY254/GV254)</f>
        <v>0</v>
      </c>
      <c r="IE254" s="9" t="n">
        <f aca="false">(100*ID254)</f>
        <v>0</v>
      </c>
      <c r="IF254" s="18" t="n">
        <v>0</v>
      </c>
      <c r="IG254" s="9" t="n">
        <v>8</v>
      </c>
      <c r="IH254" s="9" t="n">
        <v>8</v>
      </c>
      <c r="II254" s="19" t="n">
        <v>12</v>
      </c>
      <c r="IJ254" s="9" t="n">
        <v>8</v>
      </c>
      <c r="IK254" s="9" t="n">
        <f aca="false">(IG254+IH254+II254+IJ254)/4</f>
        <v>9</v>
      </c>
      <c r="IL254" s="9" t="n">
        <f aca="false">(IG254/GM254)</f>
        <v>0.0394088669950739</v>
      </c>
      <c r="IM254" s="9" t="n">
        <f aca="false">(IH254/GN254)</f>
        <v>0.0851063829787234</v>
      </c>
      <c r="IN254" s="9" t="n">
        <f aca="false">(II254/GO254)</f>
        <v>0.0447761194029851</v>
      </c>
      <c r="IO254" s="9" t="n">
        <f aca="false">(IJ254/GP254)</f>
        <v>0.041025641025641</v>
      </c>
      <c r="IP254" s="9" t="n">
        <f aca="false">(IK254/GQ254)</f>
        <v>0.0473684210526316</v>
      </c>
      <c r="IQ254" s="9" t="n">
        <f aca="false">(100*IP254)</f>
        <v>4.73684210526316</v>
      </c>
      <c r="IR254" s="18" t="n">
        <v>1</v>
      </c>
      <c r="IS254" s="9" t="n">
        <v>62.8</v>
      </c>
      <c r="IT254" s="9" t="n">
        <v>62.2</v>
      </c>
      <c r="IU254" s="19" t="n">
        <v>66.7</v>
      </c>
      <c r="IV254" s="9" t="n">
        <v>65.9</v>
      </c>
      <c r="IW254" s="9" t="n">
        <f aca="false">(IS254+IT254+IU254+IV254)/4</f>
        <v>64.4</v>
      </c>
      <c r="IX254" s="16" t="n">
        <v>45208</v>
      </c>
      <c r="IY254" s="10" t="s">
        <v>268</v>
      </c>
    </row>
    <row r="255" customFormat="false" ht="15.75" hidden="false" customHeight="true" outlineLevel="0" collapsed="false">
      <c r="A255" s="9" t="s">
        <v>370</v>
      </c>
      <c r="B255" s="10" t="s">
        <v>829</v>
      </c>
      <c r="C255" s="10" t="s">
        <v>727</v>
      </c>
      <c r="D255" s="9" t="n">
        <v>4</v>
      </c>
      <c r="E255" s="9" t="n">
        <v>85</v>
      </c>
      <c r="F255" s="10" t="s">
        <v>834</v>
      </c>
      <c r="G255" s="10" t="s">
        <v>275</v>
      </c>
      <c r="H255" s="9" t="n">
        <v>21</v>
      </c>
      <c r="I255" s="9" t="n">
        <v>11</v>
      </c>
      <c r="J255" s="12" t="s">
        <v>270</v>
      </c>
      <c r="K255" s="20"/>
      <c r="L255" s="20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 t="n">
        <v>0</v>
      </c>
      <c r="Y255" s="9" t="n">
        <v>0</v>
      </c>
      <c r="Z255" s="9" t="n">
        <v>0</v>
      </c>
      <c r="AA255" s="9" t="n">
        <v>0</v>
      </c>
      <c r="AB255" s="11" t="n">
        <f aca="false">(X255+Y255+Z255+AA255)/4</f>
        <v>0</v>
      </c>
      <c r="AC255" s="9" t="n">
        <v>1</v>
      </c>
      <c r="AD255" s="9" t="n">
        <v>1</v>
      </c>
      <c r="AE255" s="9" t="n">
        <v>1</v>
      </c>
      <c r="AF255" s="9" t="n">
        <v>1</v>
      </c>
      <c r="AG255" s="11" t="n">
        <f aca="false">(AC255+AD255+AE255+AF255)/4</f>
        <v>1</v>
      </c>
      <c r="AH255" s="9" t="n">
        <v>1</v>
      </c>
      <c r="AI255" s="9" t="n">
        <v>1</v>
      </c>
      <c r="AJ255" s="9" t="n">
        <v>0</v>
      </c>
      <c r="AK255" s="9" t="n">
        <v>1</v>
      </c>
      <c r="AL255" s="11" t="n">
        <f aca="false">(AH255+AI255+AJ255+AK255)/4</f>
        <v>0.75</v>
      </c>
      <c r="AM255" s="9" t="n">
        <v>62</v>
      </c>
      <c r="AN255" s="9" t="n">
        <v>34</v>
      </c>
      <c r="AO255" s="9" t="n">
        <v>8</v>
      </c>
      <c r="AP255" s="9" t="n">
        <v>21</v>
      </c>
      <c r="AQ255" s="11" t="n">
        <f aca="false">(AM255+AN255+AO255+AP255)/4</f>
        <v>31.25</v>
      </c>
      <c r="AR255" s="9" t="n">
        <v>6</v>
      </c>
      <c r="AS255" s="9" t="n">
        <v>15</v>
      </c>
      <c r="AT255" s="9" t="n">
        <v>6</v>
      </c>
      <c r="AU255" s="9" t="n">
        <v>5</v>
      </c>
      <c r="AV255" s="11" t="n">
        <f aca="false">(AR255+AS255+AT255+AU255)/4</f>
        <v>8</v>
      </c>
      <c r="AW255" s="9" t="n">
        <v>0</v>
      </c>
      <c r="AX255" s="9" t="n">
        <v>0</v>
      </c>
      <c r="AY255" s="9" t="n">
        <v>0</v>
      </c>
      <c r="AZ255" s="9" t="n">
        <v>0</v>
      </c>
      <c r="BA255" s="11" t="n">
        <f aca="false">(AW255+AX255+AY255+AZ255)/4</f>
        <v>0</v>
      </c>
      <c r="BB255" s="11" t="n">
        <f aca="false">(AW255/AR255)</f>
        <v>0</v>
      </c>
      <c r="BC255" s="11" t="n">
        <f aca="false">(AX255/AS255)</f>
        <v>0</v>
      </c>
      <c r="BD255" s="11" t="n">
        <f aca="false">(AY255/AT255)</f>
        <v>0</v>
      </c>
      <c r="BE255" s="11" t="n">
        <f aca="false">(AZ255/AU255)</f>
        <v>0</v>
      </c>
      <c r="BF255" s="11" t="n">
        <f aca="false">(BA255/AV255)</f>
        <v>0</v>
      </c>
      <c r="BG255" s="11" t="n">
        <f aca="false">(BF255*100)</f>
        <v>0</v>
      </c>
      <c r="BH255" s="9" t="n">
        <v>0</v>
      </c>
      <c r="BI255" s="9" t="n">
        <v>2</v>
      </c>
      <c r="BJ255" s="9" t="n">
        <v>5</v>
      </c>
      <c r="BK255" s="9" t="n">
        <v>2</v>
      </c>
      <c r="BL255" s="9" t="n">
        <v>3</v>
      </c>
      <c r="BM255" s="11" t="n">
        <f aca="false">(BI255+BJ255+BK255+BL255)/4</f>
        <v>3</v>
      </c>
      <c r="BN255" s="11" t="n">
        <f aca="false">(BI255/AR255)</f>
        <v>0.333333333333333</v>
      </c>
      <c r="BO255" s="11" t="n">
        <f aca="false">(BJ255/AS255)</f>
        <v>0.333333333333333</v>
      </c>
      <c r="BP255" s="11" t="n">
        <f aca="false">(BK255/AT255)</f>
        <v>0.333333333333333</v>
      </c>
      <c r="BQ255" s="11" t="n">
        <f aca="false">(BL255/AU255)</f>
        <v>0.6</v>
      </c>
      <c r="BR255" s="11" t="n">
        <f aca="false">(BM255/AV255)</f>
        <v>0.375</v>
      </c>
      <c r="BS255" s="11" t="n">
        <f aca="false">(100*BR255)</f>
        <v>37.5</v>
      </c>
      <c r="BT255" s="9" t="n">
        <v>3</v>
      </c>
      <c r="BU255" s="9" t="n">
        <v>0</v>
      </c>
      <c r="BV255" s="9" t="n">
        <v>5</v>
      </c>
      <c r="BW255" s="9" t="n">
        <v>0</v>
      </c>
      <c r="BX255" s="9" t="n">
        <v>0</v>
      </c>
      <c r="BY255" s="11" t="n">
        <f aca="false">(BU255+BV255+BW255+BX255)/4</f>
        <v>1.25</v>
      </c>
      <c r="BZ255" s="11" t="n">
        <f aca="false">(BU255/AR255)</f>
        <v>0</v>
      </c>
      <c r="CA255" s="11" t="n">
        <f aca="false">(BV255/AS255)</f>
        <v>0.333333333333333</v>
      </c>
      <c r="CB255" s="11" t="n">
        <f aca="false">(BW255/AT255)</f>
        <v>0</v>
      </c>
      <c r="CC255" s="11" t="n">
        <f aca="false">(BX255/AU255)</f>
        <v>0</v>
      </c>
      <c r="CD255" s="11" t="n">
        <f aca="false">(BY255/AV255)</f>
        <v>0.15625</v>
      </c>
      <c r="CE255" s="11" t="n">
        <f aca="false">(100*CD255)</f>
        <v>15.625</v>
      </c>
      <c r="CF255" s="9" t="n">
        <v>3</v>
      </c>
      <c r="CG255" s="9" t="n">
        <v>6</v>
      </c>
      <c r="CH255" s="9" t="n">
        <v>0</v>
      </c>
      <c r="CI255" s="9" t="n">
        <v>0</v>
      </c>
      <c r="CJ255" s="9" t="n">
        <v>11</v>
      </c>
      <c r="CK255" s="9"/>
      <c r="CL255" s="9"/>
      <c r="CM255" s="9"/>
      <c r="CN255" s="19"/>
      <c r="CO255" s="9" t="n">
        <f aca="false">(CJ255/AP255)</f>
        <v>0.523809523809524</v>
      </c>
      <c r="CP255" s="9" t="n">
        <f aca="false">(CK255/AQ255)</f>
        <v>0</v>
      </c>
      <c r="CQ255" s="9" t="n">
        <f aca="false">(100*CP255)</f>
        <v>0</v>
      </c>
      <c r="CR255" s="18" t="n">
        <v>0</v>
      </c>
      <c r="CS255" s="9" t="n">
        <v>42.6</v>
      </c>
      <c r="CT255" s="9" t="n">
        <v>47.5</v>
      </c>
      <c r="CU255" s="9" t="n">
        <v>42.1</v>
      </c>
      <c r="CV255" s="9" t="n">
        <v>50.8</v>
      </c>
      <c r="CW255" s="11" t="n">
        <f aca="false">(CS255+CT255+CU255+CV255)/4</f>
        <v>45.75</v>
      </c>
      <c r="CX255" s="9" t="n">
        <v>0</v>
      </c>
      <c r="CY255" s="9" t="n">
        <v>0</v>
      </c>
      <c r="CZ255" s="9" t="n">
        <v>0</v>
      </c>
      <c r="DA255" s="9" t="n">
        <v>0</v>
      </c>
      <c r="DB255" s="11" t="n">
        <f aca="false">(CX255+CY255+CZ255+DA255)/4</f>
        <v>0</v>
      </c>
      <c r="DC255" s="9" t="n">
        <v>1</v>
      </c>
      <c r="DD255" s="9" t="n">
        <v>1</v>
      </c>
      <c r="DE255" s="9" t="n">
        <v>1</v>
      </c>
      <c r="DF255" s="9" t="n">
        <v>1</v>
      </c>
      <c r="DG255" s="11" t="n">
        <f aca="false">(DC255+DD255+DE255+DF255)/4</f>
        <v>1</v>
      </c>
      <c r="DH255" s="9" t="n">
        <v>1</v>
      </c>
      <c r="DI255" s="9" t="n">
        <v>1</v>
      </c>
      <c r="DJ255" s="9" t="n">
        <v>1</v>
      </c>
      <c r="DK255" s="9" t="n">
        <v>1</v>
      </c>
      <c r="DL255" s="11" t="n">
        <f aca="false">(DH255+DI255+DJ255+DK255)/4</f>
        <v>1</v>
      </c>
      <c r="DM255" s="9" t="n">
        <v>100</v>
      </c>
      <c r="DN255" s="9" t="n">
        <v>89</v>
      </c>
      <c r="DO255" s="9" t="n">
        <v>98</v>
      </c>
      <c r="DP255" s="9" t="n">
        <v>120</v>
      </c>
      <c r="DQ255" s="11" t="n">
        <f aca="false">(DM255+DN255+DO255+DP255)/4</f>
        <v>101.75</v>
      </c>
      <c r="DR255" s="9" t="n">
        <v>2</v>
      </c>
      <c r="DS255" s="9" t="n">
        <v>6</v>
      </c>
      <c r="DT255" s="9" t="n">
        <v>7</v>
      </c>
      <c r="DU255" s="9" t="n">
        <v>11</v>
      </c>
      <c r="DV255" s="11" t="n">
        <f aca="false">(DR255+DS255+DT255+DU255)/4</f>
        <v>6.5</v>
      </c>
      <c r="DW255" s="9" t="n">
        <v>0</v>
      </c>
      <c r="DX255" s="9" t="n">
        <v>0</v>
      </c>
      <c r="DY255" s="9" t="n">
        <v>0</v>
      </c>
      <c r="DZ255" s="9" t="n">
        <v>0</v>
      </c>
      <c r="EA255" s="11" t="n">
        <f aca="false">(DW255+DX255+DY255+DZ255)/4</f>
        <v>0</v>
      </c>
      <c r="EB255" s="11" t="n">
        <f aca="false">(DW255/DR255)</f>
        <v>0</v>
      </c>
      <c r="EC255" s="11" t="n">
        <f aca="false">(DX255/DS255)</f>
        <v>0</v>
      </c>
      <c r="ED255" s="11" t="n">
        <f aca="false">(DY255/DT255)</f>
        <v>0</v>
      </c>
      <c r="EE255" s="11" t="n">
        <f aca="false">(DZ255/DU255)</f>
        <v>0</v>
      </c>
      <c r="EF255" s="11" t="n">
        <f aca="false">(EA255/DV255)</f>
        <v>0</v>
      </c>
      <c r="EG255" s="11" t="n">
        <f aca="false">(100*EF255)</f>
        <v>0</v>
      </c>
      <c r="EH255" s="9" t="n">
        <v>0</v>
      </c>
      <c r="EI255" s="9" t="n">
        <v>2</v>
      </c>
      <c r="EJ255" s="9" t="n">
        <v>2</v>
      </c>
      <c r="EK255" s="19" t="n">
        <v>5</v>
      </c>
      <c r="EL255" s="9" t="n">
        <v>8</v>
      </c>
      <c r="EM255" s="9" t="n">
        <f aca="false">(EI255+EJ255+EK255+EL255)/4</f>
        <v>4.25</v>
      </c>
      <c r="EN255" s="9" t="n">
        <f aca="false">(EI255/DR255)</f>
        <v>1</v>
      </c>
      <c r="EO255" s="9" t="n">
        <f aca="false">(EJ255/DS255)</f>
        <v>0.333333333333333</v>
      </c>
      <c r="EP255" s="9" t="n">
        <f aca="false">(EK255/DT255)</f>
        <v>0.714285714285714</v>
      </c>
      <c r="EQ255" s="9" t="n">
        <f aca="false">(EL255/DU255)</f>
        <v>0.727272727272727</v>
      </c>
      <c r="ER255" s="9" t="n">
        <f aca="false">EM255/DV255</f>
        <v>0.653846153846154</v>
      </c>
      <c r="ES255" s="9" t="n">
        <f aca="false">(100*ER255)</f>
        <v>65.3846153846154</v>
      </c>
      <c r="ET255" s="9" t="n">
        <v>3</v>
      </c>
      <c r="EU255" s="18" t="n">
        <v>0</v>
      </c>
      <c r="EV255" s="9" t="n">
        <v>0</v>
      </c>
      <c r="EW255" s="9" t="n">
        <v>0</v>
      </c>
      <c r="EX255" s="9" t="n">
        <v>0</v>
      </c>
      <c r="EY255" s="11" t="n">
        <f aca="false">(EU255+EV255+EW255+EX255)/4</f>
        <v>0</v>
      </c>
      <c r="EZ255" s="11" t="n">
        <f aca="false">(EU255/DR255)</f>
        <v>0</v>
      </c>
      <c r="FA255" s="11" t="n">
        <f aca="false">(EV255/DS255)</f>
        <v>0</v>
      </c>
      <c r="FB255" s="11" t="n">
        <f aca="false">(EW255/DT255)</f>
        <v>0</v>
      </c>
      <c r="FC255" s="11" t="n">
        <f aca="false">(EX255/DU255)</f>
        <v>0</v>
      </c>
      <c r="FD255" s="11" t="n">
        <f aca="false">(EY255/DV255)</f>
        <v>0</v>
      </c>
      <c r="FE255" s="11" t="n">
        <f aca="false">(100*FD255)</f>
        <v>0</v>
      </c>
      <c r="FF255" s="9" t="n">
        <v>0</v>
      </c>
      <c r="FG255" s="9" t="n">
        <v>11</v>
      </c>
      <c r="FH255" s="9" t="n">
        <v>16</v>
      </c>
      <c r="FI255" s="9" t="n">
        <v>13</v>
      </c>
      <c r="FJ255" s="9" t="n">
        <v>16</v>
      </c>
      <c r="FK255" s="11" t="n">
        <f aca="false">(FG255+FH255+FI255+FJ255)/4</f>
        <v>14</v>
      </c>
      <c r="FL255" s="11" t="n">
        <f aca="false">(FG255/DR255)</f>
        <v>5.5</v>
      </c>
      <c r="FM255" s="11" t="n">
        <f aca="false">(FH255/DS255)</f>
        <v>2.66666666666667</v>
      </c>
      <c r="FN255" s="11" t="n">
        <f aca="false">(FI255/DT255)</f>
        <v>1.85714285714286</v>
      </c>
      <c r="FO255" s="11" t="n">
        <f aca="false">(FJ255/DU255)</f>
        <v>1.45454545454545</v>
      </c>
      <c r="FP255" s="11" t="n">
        <f aca="false">(FK255/DV255)</f>
        <v>2.15384615384615</v>
      </c>
      <c r="FQ255" s="11" t="n">
        <f aca="false">(100*FP255)</f>
        <v>215.384615384615</v>
      </c>
      <c r="FR255" s="9" t="n">
        <v>3</v>
      </c>
      <c r="FS255" s="9" t="n">
        <v>60.8</v>
      </c>
      <c r="FT255" s="9" t="n">
        <v>62.8</v>
      </c>
      <c r="FU255" s="9" t="n">
        <v>60.5</v>
      </c>
      <c r="FV255" s="9" t="n">
        <v>71.5</v>
      </c>
      <c r="FW255" s="11" t="n">
        <f aca="false">(FS255+FT255+FU255+FV255)/4</f>
        <v>63.9</v>
      </c>
      <c r="FX255" s="9" t="n">
        <v>0</v>
      </c>
      <c r="FY255" s="9" t="n">
        <v>0</v>
      </c>
      <c r="FZ255" s="9" t="n">
        <v>0</v>
      </c>
      <c r="GA255" s="9" t="n">
        <v>0</v>
      </c>
      <c r="GB255" s="11" t="n">
        <f aca="false">(FX255+FY255+FZ255+GA255)/4</f>
        <v>0</v>
      </c>
      <c r="GC255" s="9" t="n">
        <v>1</v>
      </c>
      <c r="GD255" s="9" t="n">
        <v>1</v>
      </c>
      <c r="GE255" s="9" t="n">
        <v>1</v>
      </c>
      <c r="GF255" s="9" t="n">
        <v>1</v>
      </c>
      <c r="GG255" s="11" t="n">
        <f aca="false">(GC255+GD255+GE255+GF255)/4</f>
        <v>1</v>
      </c>
      <c r="GH255" s="9" t="n">
        <v>0</v>
      </c>
      <c r="GI255" s="9" t="n">
        <v>1</v>
      </c>
      <c r="GJ255" s="9" t="n">
        <v>0</v>
      </c>
      <c r="GK255" s="9" t="n">
        <v>1</v>
      </c>
      <c r="GL255" s="11" t="n">
        <f aca="false">(GH255+GI255+GJ255+GK255)/4</f>
        <v>0.5</v>
      </c>
      <c r="GM255" s="9" t="n">
        <v>74</v>
      </c>
      <c r="GN255" s="9" t="n">
        <v>120</v>
      </c>
      <c r="GO255" s="9" t="n">
        <v>32</v>
      </c>
      <c r="GP255" s="9" t="n">
        <v>68</v>
      </c>
      <c r="GQ255" s="11" t="n">
        <f aca="false">(GM255+GN255+GO255+GP255)/4</f>
        <v>73.5</v>
      </c>
      <c r="GR255" s="9" t="n">
        <v>10</v>
      </c>
      <c r="GS255" s="9" t="n">
        <v>11</v>
      </c>
      <c r="GT255" s="9" t="n">
        <v>6</v>
      </c>
      <c r="GU255" s="9" t="n">
        <v>15</v>
      </c>
      <c r="GV255" s="11" t="n">
        <f aca="false">(GR255+GS255+GT255+GU255)/4</f>
        <v>10.5</v>
      </c>
      <c r="GW255" s="9" t="n">
        <v>0</v>
      </c>
      <c r="GX255" s="9" t="n">
        <v>0</v>
      </c>
      <c r="GY255" s="9" t="n">
        <v>0</v>
      </c>
      <c r="GZ255" s="9" t="n">
        <v>0</v>
      </c>
      <c r="HA255" s="11" t="n">
        <f aca="false">(GW255+GX255+GY255+GZ255)/4</f>
        <v>0</v>
      </c>
      <c r="HB255" s="9" t="n">
        <f aca="false">(GW255/GR255)</f>
        <v>0</v>
      </c>
      <c r="HC255" s="9" t="n">
        <f aca="false">(GX255/GS255)</f>
        <v>0</v>
      </c>
      <c r="HD255" s="9" t="n">
        <f aca="false">(GY255/GT255)</f>
        <v>0</v>
      </c>
      <c r="HE255" s="9" t="n">
        <f aca="false">(GZ255/GU255)/4</f>
        <v>0</v>
      </c>
      <c r="HF255" s="9" t="n">
        <f aca="false">(HB255+HC255+HD255+HE255)/4</f>
        <v>0</v>
      </c>
      <c r="HG255" s="9" t="n">
        <f aca="false">(100*HF255)</f>
        <v>0</v>
      </c>
      <c r="HH255" s="18" t="n">
        <v>0</v>
      </c>
      <c r="HI255" s="9" t="n">
        <v>3</v>
      </c>
      <c r="HJ255" s="9" t="n">
        <v>2</v>
      </c>
      <c r="HK255" s="9" t="n">
        <v>3</v>
      </c>
      <c r="HL255" s="19" t="n">
        <v>9</v>
      </c>
      <c r="HM255" s="9" t="n">
        <f aca="false">(HI255+HJ255+HK255+HL255)/4</f>
        <v>4.25</v>
      </c>
      <c r="HN255" s="9" t="n">
        <f aca="false">(HI255/GR255)</f>
        <v>0.3</v>
      </c>
      <c r="HO255" s="9" t="n">
        <f aca="false">(HJ255/GS255)</f>
        <v>0.181818181818182</v>
      </c>
      <c r="HP255" s="9" t="n">
        <f aca="false">(HK255/GT255)</f>
        <v>0.5</v>
      </c>
      <c r="HQ255" s="9" t="n">
        <f aca="false">(HL255/GU255)</f>
        <v>0.6</v>
      </c>
      <c r="HR255" s="9" t="n">
        <f aca="false">(HM255/GV255)</f>
        <v>0.404761904761905</v>
      </c>
      <c r="HS255" s="9" t="n">
        <f aca="false">(100*HR255)</f>
        <v>40.4761904761905</v>
      </c>
      <c r="HT255" s="18" t="n">
        <v>3</v>
      </c>
      <c r="HU255" s="9" t="n">
        <v>0</v>
      </c>
      <c r="HV255" s="9" t="n">
        <v>0</v>
      </c>
      <c r="HW255" s="9" t="n">
        <v>0</v>
      </c>
      <c r="HX255" s="19" t="n">
        <v>0</v>
      </c>
      <c r="HY255" s="9" t="n">
        <f aca="false">(HU255+HV255+HW255+HX255)/4</f>
        <v>0</v>
      </c>
      <c r="HZ255" s="9" t="n">
        <f aca="false">(HU255/GR255)</f>
        <v>0</v>
      </c>
      <c r="IA255" s="9" t="n">
        <f aca="false">HV255/GS255</f>
        <v>0</v>
      </c>
      <c r="IB255" s="9" t="n">
        <f aca="false">(HW255/GT255)</f>
        <v>0</v>
      </c>
      <c r="IC255" s="9" t="n">
        <f aca="false">(HX255/GU255)</f>
        <v>0</v>
      </c>
      <c r="ID255" s="9" t="n">
        <f aca="false">(HY255/GV255)</f>
        <v>0</v>
      </c>
      <c r="IE255" s="9" t="n">
        <f aca="false">(100*ID255)</f>
        <v>0</v>
      </c>
      <c r="IF255" s="18" t="n">
        <v>0</v>
      </c>
      <c r="IG255" s="9" t="n">
        <v>0</v>
      </c>
      <c r="IH255" s="9" t="n">
        <v>6</v>
      </c>
      <c r="II255" s="19" t="n">
        <v>0</v>
      </c>
      <c r="IJ255" s="9" t="n">
        <v>5</v>
      </c>
      <c r="IK255" s="9" t="n">
        <f aca="false">(IG255+IH255+II255+IJ255)/4</f>
        <v>2.75</v>
      </c>
      <c r="IL255" s="9" t="n">
        <f aca="false">(IG255/GM255)</f>
        <v>0</v>
      </c>
      <c r="IM255" s="9" t="n">
        <f aca="false">(IH255/GN255)</f>
        <v>0.05</v>
      </c>
      <c r="IN255" s="9" t="n">
        <f aca="false">(II255/GO255)</f>
        <v>0</v>
      </c>
      <c r="IO255" s="9" t="n">
        <f aca="false">(IJ255/GP255)</f>
        <v>0.0735294117647059</v>
      </c>
      <c r="IP255" s="9" t="n">
        <f aca="false">(IK255/GQ255)</f>
        <v>0.0374149659863946</v>
      </c>
      <c r="IQ255" s="9" t="n">
        <f aca="false">(100*IP255)</f>
        <v>3.74149659863946</v>
      </c>
      <c r="IR255" s="18" t="n">
        <v>1</v>
      </c>
      <c r="IS255" s="9" t="n">
        <v>71.1</v>
      </c>
      <c r="IT255" s="9" t="n">
        <v>68.2</v>
      </c>
      <c r="IU255" s="19" t="n">
        <v>73</v>
      </c>
      <c r="IV255" s="9" t="n">
        <v>68.7</v>
      </c>
      <c r="IW255" s="9" t="n">
        <f aca="false">(IS255+IT255+IU255+IV255)/4</f>
        <v>70.25</v>
      </c>
      <c r="IX255" s="16" t="n">
        <v>45208</v>
      </c>
      <c r="IY255" s="10" t="s">
        <v>268</v>
      </c>
    </row>
    <row r="256" customFormat="false" ht="15.75" hidden="false" customHeight="true" outlineLevel="0" collapsed="false">
      <c r="A256" s="9" t="s">
        <v>370</v>
      </c>
      <c r="B256" s="10" t="s">
        <v>829</v>
      </c>
      <c r="C256" s="10" t="s">
        <v>727</v>
      </c>
      <c r="D256" s="9" t="n">
        <v>4</v>
      </c>
      <c r="E256" s="9" t="n">
        <v>85</v>
      </c>
      <c r="F256" s="10" t="s">
        <v>835</v>
      </c>
      <c r="G256" s="10" t="s">
        <v>394</v>
      </c>
      <c r="H256" s="9" t="n">
        <v>21</v>
      </c>
      <c r="I256" s="9" t="n">
        <v>20</v>
      </c>
      <c r="J256" s="10" t="s">
        <v>272</v>
      </c>
      <c r="K256" s="20"/>
      <c r="L256" s="20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 t="n">
        <v>0</v>
      </c>
      <c r="Y256" s="9" t="n">
        <v>0</v>
      </c>
      <c r="Z256" s="9" t="n">
        <v>0</v>
      </c>
      <c r="AA256" s="9" t="n">
        <v>0</v>
      </c>
      <c r="AB256" s="11" t="n">
        <f aca="false">(X256+Y256+Z256+AA256)/4</f>
        <v>0</v>
      </c>
      <c r="AC256" s="9" t="n">
        <v>0</v>
      </c>
      <c r="AD256" s="9" t="n">
        <v>1</v>
      </c>
      <c r="AE256" s="9" t="n">
        <v>1</v>
      </c>
      <c r="AF256" s="9" t="n">
        <v>1</v>
      </c>
      <c r="AG256" s="11" t="n">
        <f aca="false">(AC256+AD256+AE256+AF256)/4</f>
        <v>0.75</v>
      </c>
      <c r="AH256" s="9" t="n">
        <v>1</v>
      </c>
      <c r="AI256" s="9" t="n">
        <v>0</v>
      </c>
      <c r="AJ256" s="9" t="n">
        <v>1</v>
      </c>
      <c r="AK256" s="9" t="n">
        <v>0</v>
      </c>
      <c r="AL256" s="11" t="n">
        <f aca="false">(AH256+AI256+AJ256+AK256)/4</f>
        <v>0.5</v>
      </c>
      <c r="AM256" s="9" t="n">
        <v>81</v>
      </c>
      <c r="AN256" s="9" t="n">
        <v>45</v>
      </c>
      <c r="AO256" s="9" t="n">
        <v>50</v>
      </c>
      <c r="AP256" s="9" t="n">
        <v>29</v>
      </c>
      <c r="AQ256" s="11" t="n">
        <f aca="false">(AM256+AN256+AO256+AP256)/4</f>
        <v>51.25</v>
      </c>
      <c r="AR256" s="9" t="n">
        <v>53</v>
      </c>
      <c r="AS256" s="9" t="n">
        <v>54</v>
      </c>
      <c r="AT256" s="9" t="n">
        <v>86</v>
      </c>
      <c r="AU256" s="9" t="n">
        <v>31</v>
      </c>
      <c r="AV256" s="11" t="n">
        <f aca="false">(AR256+AS256+AT256+AU256)/4</f>
        <v>56</v>
      </c>
      <c r="AW256" s="9" t="n">
        <v>0</v>
      </c>
      <c r="AX256" s="9" t="n">
        <v>0</v>
      </c>
      <c r="AY256" s="9" t="n">
        <v>0</v>
      </c>
      <c r="AZ256" s="9" t="n">
        <v>0</v>
      </c>
      <c r="BA256" s="11" t="n">
        <f aca="false">(AW256+AX256+AY256+AZ256)/4</f>
        <v>0</v>
      </c>
      <c r="BB256" s="11" t="n">
        <f aca="false">(AW256/AR256)</f>
        <v>0</v>
      </c>
      <c r="BC256" s="11" t="n">
        <f aca="false">(AX256/AS256)</f>
        <v>0</v>
      </c>
      <c r="BD256" s="11" t="n">
        <f aca="false">(AY256/AT256)</f>
        <v>0</v>
      </c>
      <c r="BE256" s="11" t="n">
        <f aca="false">(AZ256/AU256)</f>
        <v>0</v>
      </c>
      <c r="BF256" s="11" t="n">
        <f aca="false">(BA256/AV256)</f>
        <v>0</v>
      </c>
      <c r="BG256" s="11" t="n">
        <f aca="false">(BF256*100)</f>
        <v>0</v>
      </c>
      <c r="BH256" s="9" t="n">
        <v>0</v>
      </c>
      <c r="BI256" s="9" t="n">
        <v>0</v>
      </c>
      <c r="BJ256" s="9" t="n">
        <v>10</v>
      </c>
      <c r="BK256" s="9" t="n">
        <v>8</v>
      </c>
      <c r="BL256" s="9" t="n">
        <v>12</v>
      </c>
      <c r="BM256" s="11" t="n">
        <f aca="false">(BI256+BJ256+BK256+BL256)/4</f>
        <v>7.5</v>
      </c>
      <c r="BN256" s="11" t="n">
        <f aca="false">(BI256/AR256)</f>
        <v>0</v>
      </c>
      <c r="BO256" s="11" t="n">
        <f aca="false">(BJ256/AS256)</f>
        <v>0.185185185185185</v>
      </c>
      <c r="BP256" s="11" t="n">
        <f aca="false">(BK256/AT256)</f>
        <v>0.0930232558139535</v>
      </c>
      <c r="BQ256" s="11" t="n">
        <f aca="false">(BL256/AU256)</f>
        <v>0.387096774193548</v>
      </c>
      <c r="BR256" s="11" t="n">
        <f aca="false">(BM256/AV256)</f>
        <v>0.133928571428571</v>
      </c>
      <c r="BS256" s="11" t="n">
        <f aca="false">(100*BR256)</f>
        <v>13.3928571428571</v>
      </c>
      <c r="BT256" s="9" t="n">
        <v>2</v>
      </c>
      <c r="BU256" s="9" t="n">
        <v>4</v>
      </c>
      <c r="BV256" s="9" t="n">
        <v>0</v>
      </c>
      <c r="BW256" s="9" t="n">
        <v>0</v>
      </c>
      <c r="BX256" s="9" t="n">
        <v>0</v>
      </c>
      <c r="BY256" s="11" t="n">
        <f aca="false">(BU256+BV256+BW256+BX256)/4</f>
        <v>1</v>
      </c>
      <c r="BZ256" s="11" t="n">
        <f aca="false">(BU256/AR256)</f>
        <v>0.0754716981132075</v>
      </c>
      <c r="CA256" s="11" t="n">
        <f aca="false">(BV256/AS256)</f>
        <v>0</v>
      </c>
      <c r="CB256" s="11" t="n">
        <f aca="false">(BW256/AT256)</f>
        <v>0</v>
      </c>
      <c r="CC256" s="11" t="n">
        <f aca="false">(BX256/AU256)</f>
        <v>0</v>
      </c>
      <c r="CD256" s="11" t="n">
        <f aca="false">(BY256/AV256)</f>
        <v>0.0178571428571429</v>
      </c>
      <c r="CE256" s="11" t="n">
        <f aca="false">(100*CD256)</f>
        <v>1.78571428571429</v>
      </c>
      <c r="CF256" s="9" t="n">
        <v>1</v>
      </c>
      <c r="CG256" s="9" t="n">
        <v>2</v>
      </c>
      <c r="CH256" s="9" t="n">
        <v>0</v>
      </c>
      <c r="CI256" s="9" t="n">
        <v>3</v>
      </c>
      <c r="CJ256" s="9" t="n">
        <v>0</v>
      </c>
      <c r="CK256" s="9"/>
      <c r="CL256" s="9"/>
      <c r="CM256" s="9"/>
      <c r="CN256" s="19"/>
      <c r="CO256" s="9" t="n">
        <f aca="false">(CJ256/AP256)</f>
        <v>0</v>
      </c>
      <c r="CP256" s="9" t="n">
        <f aca="false">(CK256/AQ256)</f>
        <v>0</v>
      </c>
      <c r="CQ256" s="9" t="n">
        <f aca="false">(100*CP256)</f>
        <v>0</v>
      </c>
      <c r="CR256" s="18" t="n">
        <v>0</v>
      </c>
      <c r="CS256" s="9" t="n">
        <v>67.2</v>
      </c>
      <c r="CT256" s="9" t="n">
        <v>60.5</v>
      </c>
      <c r="CU256" s="9" t="n">
        <v>68.8</v>
      </c>
      <c r="CV256" s="9" t="n">
        <v>72.2</v>
      </c>
      <c r="CW256" s="11" t="n">
        <f aca="false">(CS256+CT256+CU256+CV256)/4</f>
        <v>67.175</v>
      </c>
      <c r="CX256" s="9" t="n">
        <v>0</v>
      </c>
      <c r="CY256" s="9" t="n">
        <v>0</v>
      </c>
      <c r="CZ256" s="9" t="n">
        <v>0</v>
      </c>
      <c r="DA256" s="9" t="n">
        <v>0</v>
      </c>
      <c r="DB256" s="11" t="n">
        <f aca="false">(CX256+CY256+CZ256+DA256)/4</f>
        <v>0</v>
      </c>
      <c r="DC256" s="9" t="n">
        <v>1</v>
      </c>
      <c r="DD256" s="9" t="n">
        <v>1</v>
      </c>
      <c r="DE256" s="9" t="n">
        <v>1</v>
      </c>
      <c r="DF256" s="9" t="n">
        <v>1</v>
      </c>
      <c r="DG256" s="11" t="n">
        <f aca="false">(DC256+DD256+DE256+DF256)/4</f>
        <v>1</v>
      </c>
      <c r="DH256" s="9" t="n">
        <v>1</v>
      </c>
      <c r="DI256" s="9" t="n">
        <v>1</v>
      </c>
      <c r="DJ256" s="9" t="n">
        <v>1</v>
      </c>
      <c r="DK256" s="9" t="n">
        <v>1</v>
      </c>
      <c r="DL256" s="11" t="n">
        <f aca="false">(DH256+DI256+DJ256+DK256)/4</f>
        <v>1</v>
      </c>
      <c r="DM256" s="9" t="n">
        <v>34</v>
      </c>
      <c r="DN256" s="9" t="n">
        <v>127</v>
      </c>
      <c r="DO256" s="9" t="n">
        <v>140</v>
      </c>
      <c r="DP256" s="9" t="n">
        <v>101</v>
      </c>
      <c r="DQ256" s="11" t="n">
        <f aca="false">(DM256+DN256+DO256+DP256)/4</f>
        <v>100.5</v>
      </c>
      <c r="DR256" s="9" t="n">
        <v>19</v>
      </c>
      <c r="DS256" s="9" t="n">
        <v>6</v>
      </c>
      <c r="DT256" s="9" t="n">
        <v>6</v>
      </c>
      <c r="DU256" s="9" t="n">
        <v>4</v>
      </c>
      <c r="DV256" s="11" t="n">
        <f aca="false">(DR256+DS256+DT256+DU256)/4</f>
        <v>8.75</v>
      </c>
      <c r="DW256" s="9" t="n">
        <v>0</v>
      </c>
      <c r="DX256" s="9" t="n">
        <v>0</v>
      </c>
      <c r="DY256" s="9" t="n">
        <v>0</v>
      </c>
      <c r="DZ256" s="9" t="n">
        <v>0</v>
      </c>
      <c r="EA256" s="11" t="n">
        <f aca="false">(DW256+DX256+DY256+DZ256)/4</f>
        <v>0</v>
      </c>
      <c r="EB256" s="11" t="n">
        <f aca="false">(DW256/DR256)</f>
        <v>0</v>
      </c>
      <c r="EC256" s="11" t="n">
        <f aca="false">(DX256/DS256)</f>
        <v>0</v>
      </c>
      <c r="ED256" s="11" t="n">
        <f aca="false">(DY256/DT256)</f>
        <v>0</v>
      </c>
      <c r="EE256" s="11" t="n">
        <f aca="false">(DZ256/DU256)</f>
        <v>0</v>
      </c>
      <c r="EF256" s="11" t="n">
        <f aca="false">(EA256/DV256)</f>
        <v>0</v>
      </c>
      <c r="EG256" s="11" t="n">
        <f aca="false">(100*EF256)</f>
        <v>0</v>
      </c>
      <c r="EH256" s="9" t="n">
        <v>0</v>
      </c>
      <c r="EI256" s="9" t="n">
        <v>15</v>
      </c>
      <c r="EJ256" s="9" t="n">
        <v>6</v>
      </c>
      <c r="EK256" s="19" t="n">
        <v>2</v>
      </c>
      <c r="EL256" s="9" t="n">
        <v>4</v>
      </c>
      <c r="EM256" s="9" t="n">
        <f aca="false">(EI256+EJ256+EK256+EL256)/4</f>
        <v>6.75</v>
      </c>
      <c r="EN256" s="9" t="n">
        <f aca="false">(EI256/DR256)</f>
        <v>0.789473684210526</v>
      </c>
      <c r="EO256" s="9" t="n">
        <f aca="false">(EJ256/DS256)</f>
        <v>1</v>
      </c>
      <c r="EP256" s="9" t="n">
        <f aca="false">(EK256/DT256)</f>
        <v>0.333333333333333</v>
      </c>
      <c r="EQ256" s="9" t="n">
        <f aca="false">(EL256/DU256)</f>
        <v>1</v>
      </c>
      <c r="ER256" s="9" t="n">
        <f aca="false">EM256/DV256</f>
        <v>0.771428571428572</v>
      </c>
      <c r="ES256" s="9" t="n">
        <f aca="false">(100*ER256)</f>
        <v>77.1428571428572</v>
      </c>
      <c r="ET256" s="9" t="n">
        <v>3</v>
      </c>
      <c r="EU256" s="18" t="n">
        <v>0</v>
      </c>
      <c r="EV256" s="9" t="n">
        <v>0</v>
      </c>
      <c r="EW256" s="9" t="n">
        <v>0</v>
      </c>
      <c r="EX256" s="9" t="n">
        <v>0</v>
      </c>
      <c r="EY256" s="11" t="n">
        <f aca="false">(EU256+EV256+EW256+EX256)/4</f>
        <v>0</v>
      </c>
      <c r="EZ256" s="11" t="n">
        <f aca="false">(EU256/DR256)</f>
        <v>0</v>
      </c>
      <c r="FA256" s="11" t="n">
        <f aca="false">(EV256/DS256)</f>
        <v>0</v>
      </c>
      <c r="FB256" s="11" t="n">
        <f aca="false">(EW256/DT256)</f>
        <v>0</v>
      </c>
      <c r="FC256" s="11" t="n">
        <f aca="false">(EX256/DU256)</f>
        <v>0</v>
      </c>
      <c r="FD256" s="11" t="n">
        <f aca="false">(EY256/DV256)</f>
        <v>0</v>
      </c>
      <c r="FE256" s="11" t="n">
        <f aca="false">(100*FD256)</f>
        <v>0</v>
      </c>
      <c r="FF256" s="9" t="n">
        <v>0</v>
      </c>
      <c r="FG256" s="9" t="n">
        <v>7</v>
      </c>
      <c r="FH256" s="9" t="n">
        <v>28</v>
      </c>
      <c r="FI256" s="9" t="n">
        <v>10</v>
      </c>
      <c r="FJ256" s="9" t="n">
        <v>20</v>
      </c>
      <c r="FK256" s="11" t="n">
        <f aca="false">(FG256+FH256+FI256+FJ256)/4</f>
        <v>16.25</v>
      </c>
      <c r="FL256" s="11" t="n">
        <f aca="false">(FG256/DR256)</f>
        <v>0.368421052631579</v>
      </c>
      <c r="FM256" s="11" t="n">
        <f aca="false">(FH256/DS256)</f>
        <v>4.66666666666667</v>
      </c>
      <c r="FN256" s="11" t="n">
        <f aca="false">(FI256/DT256)</f>
        <v>1.66666666666667</v>
      </c>
      <c r="FO256" s="11" t="n">
        <f aca="false">(FJ256/DU256)</f>
        <v>5</v>
      </c>
      <c r="FP256" s="11" t="n">
        <f aca="false">(FK256/DV256)</f>
        <v>1.85714285714286</v>
      </c>
      <c r="FQ256" s="11" t="n">
        <f aca="false">(100*FP256)</f>
        <v>185.714285714286</v>
      </c>
      <c r="FR256" s="9" t="n">
        <v>3</v>
      </c>
      <c r="FS256" s="9" t="n">
        <v>56.5</v>
      </c>
      <c r="FT256" s="9" t="n">
        <v>52.8</v>
      </c>
      <c r="FU256" s="9" t="n">
        <v>48.6</v>
      </c>
      <c r="FV256" s="9" t="n">
        <v>71.6</v>
      </c>
      <c r="FW256" s="11" t="n">
        <f aca="false">(FS256+FT256+FU256+FV256)/4</f>
        <v>57.375</v>
      </c>
      <c r="FX256" s="9" t="n">
        <v>0</v>
      </c>
      <c r="FY256" s="9" t="n">
        <v>0</v>
      </c>
      <c r="FZ256" s="9" t="n">
        <v>0</v>
      </c>
      <c r="GA256" s="9" t="n">
        <v>0</v>
      </c>
      <c r="GB256" s="11" t="n">
        <f aca="false">(FX256+FY256+FZ256+GA256)/4</f>
        <v>0</v>
      </c>
      <c r="GC256" s="9" t="n">
        <v>1</v>
      </c>
      <c r="GD256" s="9" t="n">
        <v>1</v>
      </c>
      <c r="GE256" s="9" t="n">
        <v>1</v>
      </c>
      <c r="GF256" s="9" t="n">
        <v>0</v>
      </c>
      <c r="GG256" s="11" t="n">
        <f aca="false">(GC256+GD256+GE256+GF256)/4</f>
        <v>0.75</v>
      </c>
      <c r="GH256" s="9" t="n">
        <v>1</v>
      </c>
      <c r="GI256" s="9" t="n">
        <v>1</v>
      </c>
      <c r="GJ256" s="9" t="n">
        <v>1</v>
      </c>
      <c r="GK256" s="9" t="n">
        <v>1</v>
      </c>
      <c r="GL256" s="11" t="n">
        <f aca="false">(GH256+GI256+GJ256+GK256)/4</f>
        <v>1</v>
      </c>
      <c r="GM256" s="9" t="n">
        <v>172</v>
      </c>
      <c r="GN256" s="9" t="n">
        <v>64</v>
      </c>
      <c r="GO256" s="9" t="n">
        <v>95</v>
      </c>
      <c r="GP256" s="9" t="n">
        <v>112</v>
      </c>
      <c r="GQ256" s="11" t="n">
        <f aca="false">(GM256+GN256+GO256+GP256)/4</f>
        <v>110.75</v>
      </c>
      <c r="GR256" s="9" t="n">
        <v>7</v>
      </c>
      <c r="GS256" s="9" t="n">
        <v>16</v>
      </c>
      <c r="GT256" s="9" t="n">
        <v>17</v>
      </c>
      <c r="GU256" s="9" t="n">
        <v>14</v>
      </c>
      <c r="GV256" s="11" t="n">
        <f aca="false">(GR256+GS256+GT256+GU256)/4</f>
        <v>13.5</v>
      </c>
      <c r="GW256" s="9" t="n">
        <v>0</v>
      </c>
      <c r="GX256" s="9" t="n">
        <v>0</v>
      </c>
      <c r="GY256" s="9" t="n">
        <v>0</v>
      </c>
      <c r="GZ256" s="9" t="n">
        <v>0</v>
      </c>
      <c r="HA256" s="11" t="n">
        <f aca="false">(GW256+GX256+GY256+GZ256)/4</f>
        <v>0</v>
      </c>
      <c r="HB256" s="9" t="n">
        <f aca="false">(GW256/GR256)</f>
        <v>0</v>
      </c>
      <c r="HC256" s="9" t="n">
        <f aca="false">(GX256/GS256)</f>
        <v>0</v>
      </c>
      <c r="HD256" s="9" t="n">
        <f aca="false">(GY256/GT256)</f>
        <v>0</v>
      </c>
      <c r="HE256" s="9" t="n">
        <f aca="false">(GZ256/GU256)/4</f>
        <v>0</v>
      </c>
      <c r="HF256" s="9" t="n">
        <f aca="false">(HB256+HC256+HD256+HE256)/4</f>
        <v>0</v>
      </c>
      <c r="HG256" s="9" t="n">
        <f aca="false">(100*HF256)</f>
        <v>0</v>
      </c>
      <c r="HH256" s="18" t="n">
        <v>0</v>
      </c>
      <c r="HI256" s="11" t="n">
        <v>5</v>
      </c>
      <c r="HJ256" s="11" t="n">
        <v>3</v>
      </c>
      <c r="HK256" s="11" t="n">
        <v>3</v>
      </c>
      <c r="HL256" s="11" t="n">
        <v>0</v>
      </c>
      <c r="HM256" s="9" t="n">
        <f aca="false">(HI256+HJ256+HK256+HL256)/4</f>
        <v>2.75</v>
      </c>
      <c r="HN256" s="9" t="n">
        <f aca="false">(HI256/GR256)</f>
        <v>0.714285714285714</v>
      </c>
      <c r="HO256" s="9" t="n">
        <f aca="false">(HJ256/GS256)</f>
        <v>0.1875</v>
      </c>
      <c r="HP256" s="9" t="n">
        <f aca="false">(HK256/GT256)</f>
        <v>0.176470588235294</v>
      </c>
      <c r="HQ256" s="9" t="n">
        <f aca="false">(HL256/GU256)</f>
        <v>0</v>
      </c>
      <c r="HR256" s="9" t="n">
        <f aca="false">(HM256/GV256)</f>
        <v>0.203703703703704</v>
      </c>
      <c r="HS256" s="9" t="n">
        <f aca="false">(100*HR256)</f>
        <v>20.3703703703704</v>
      </c>
      <c r="HT256" s="18" t="n">
        <v>2</v>
      </c>
      <c r="HU256" s="9" t="n">
        <v>0</v>
      </c>
      <c r="HV256" s="9" t="n">
        <v>0</v>
      </c>
      <c r="HW256" s="9" t="n">
        <v>0</v>
      </c>
      <c r="HX256" s="19" t="n">
        <v>0</v>
      </c>
      <c r="HY256" s="9" t="n">
        <f aca="false">(HU256+HV256+HW256+HX256)/4</f>
        <v>0</v>
      </c>
      <c r="HZ256" s="9" t="n">
        <f aca="false">(HU256/GR256)</f>
        <v>0</v>
      </c>
      <c r="IA256" s="9" t="n">
        <f aca="false">HV256/GS256</f>
        <v>0</v>
      </c>
      <c r="IB256" s="9" t="n">
        <f aca="false">(HW256/GT256)</f>
        <v>0</v>
      </c>
      <c r="IC256" s="9" t="n">
        <f aca="false">(HX256/GU256)</f>
        <v>0</v>
      </c>
      <c r="ID256" s="9" t="n">
        <f aca="false">(HY256/GV256)</f>
        <v>0</v>
      </c>
      <c r="IE256" s="9" t="n">
        <f aca="false">(100*ID256)</f>
        <v>0</v>
      </c>
      <c r="IF256" s="18" t="n">
        <v>0</v>
      </c>
      <c r="IG256" s="9" t="n">
        <v>11</v>
      </c>
      <c r="IH256" s="9" t="n">
        <v>7</v>
      </c>
      <c r="II256" s="19" t="n">
        <v>3</v>
      </c>
      <c r="IJ256" s="9" t="n">
        <v>5</v>
      </c>
      <c r="IK256" s="9" t="n">
        <f aca="false">(IG256+IH256+II256+IJ256)/4</f>
        <v>6.5</v>
      </c>
      <c r="IL256" s="9" t="n">
        <f aca="false">(IG256/GM256)</f>
        <v>0.063953488372093</v>
      </c>
      <c r="IM256" s="9" t="n">
        <f aca="false">(IH256/GN256)</f>
        <v>0.109375</v>
      </c>
      <c r="IN256" s="9" t="n">
        <f aca="false">(II256/GO256)</f>
        <v>0.0315789473684211</v>
      </c>
      <c r="IO256" s="9" t="n">
        <f aca="false">(IJ256/GP256)</f>
        <v>0.0446428571428571</v>
      </c>
      <c r="IP256" s="9" t="n">
        <f aca="false">(IK256/GQ256)</f>
        <v>0.0586907449209932</v>
      </c>
      <c r="IQ256" s="9" t="n">
        <f aca="false">(100*IP256)</f>
        <v>5.86907449209932</v>
      </c>
      <c r="IR256" s="18" t="n">
        <v>1</v>
      </c>
      <c r="IS256" s="9" t="n">
        <v>66.1</v>
      </c>
      <c r="IT256" s="9" t="n">
        <v>65.9</v>
      </c>
      <c r="IU256" s="9" t="n">
        <v>69.8</v>
      </c>
      <c r="IV256" s="9" t="n">
        <v>76.4</v>
      </c>
      <c r="IW256" s="9" t="n">
        <f aca="false">(IS256+IT256+IU256+IV256)/4</f>
        <v>69.55</v>
      </c>
      <c r="IX256" s="16" t="n">
        <v>45208</v>
      </c>
      <c r="IY256" s="10" t="s">
        <v>268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LibreOffice/24.8.5.2$Windows_X86_64 LibreOffice_project/fddf2685c70b461e7832239a0162a77216259f22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2024-01-02T18:06:42Z</dcterms:created>
  <dc:creator>Ronald Kisekka</dc:creator>
  <dc:description/>
  <dc:language>fr-FR</dc:language>
  <cp:lastModifiedBy/>
  <dcterms:modified xsi:type="dcterms:W3CDTF">2025-04-01T10:52:38Z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b7c051cf851048e2a316b7993c1db506</vt:lpwstr>
  </property>
</Properties>
</file>